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4220f70064ec2c/Github files/"/>
    </mc:Choice>
  </mc:AlternateContent>
  <xr:revisionPtr revIDLastSave="0" documentId="8_{6F32A800-733E-4386-9B79-E80747D08DF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ta" sheetId="1" r:id="rId1"/>
    <sheet name="Results" sheetId="4" r:id="rId2"/>
    <sheet name="Naive" sheetId="2" r:id="rId3"/>
    <sheet name="Moving Average" sheetId="3" r:id="rId4"/>
    <sheet name="Exponential Smoothening" sheetId="5" r:id="rId5"/>
    <sheet name="Linear Regress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ruAlr+t3bMEPtKxbfCpSX3moRZQvd7gFGXNMBZ340E="/>
    </ext>
  </extLst>
</workbook>
</file>

<file path=xl/calcChain.xml><?xml version="1.0" encoding="utf-8"?>
<calcChain xmlns="http://schemas.openxmlformats.org/spreadsheetml/2006/main">
  <c r="N22" i="6" l="1"/>
  <c r="N21" i="6"/>
  <c r="N20" i="6"/>
  <c r="N19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2" i="6"/>
  <c r="Q4" i="6"/>
  <c r="Q5" i="6"/>
  <c r="Q6" i="6"/>
  <c r="Q7" i="6"/>
  <c r="Q8" i="6"/>
  <c r="Q9" i="6"/>
  <c r="Q10" i="6"/>
  <c r="Q11" i="6"/>
  <c r="Q12" i="6"/>
  <c r="Q13" i="6"/>
  <c r="Q14" i="6"/>
  <c r="Q3" i="6"/>
  <c r="P4" i="6"/>
  <c r="R4" i="6" s="1"/>
  <c r="P5" i="6"/>
  <c r="R5" i="6" s="1"/>
  <c r="P6" i="6"/>
  <c r="R6" i="6" s="1"/>
  <c r="P7" i="6"/>
  <c r="R7" i="6" s="1"/>
  <c r="P8" i="6"/>
  <c r="P9" i="6"/>
  <c r="P10" i="6"/>
  <c r="P11" i="6"/>
  <c r="P12" i="6"/>
  <c r="R12" i="6" s="1"/>
  <c r="P13" i="6"/>
  <c r="R13" i="6" s="1"/>
  <c r="P14" i="6"/>
  <c r="R14" i="6" s="1"/>
  <c r="P3" i="6"/>
  <c r="R3" i="6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2" i="6"/>
  <c r="C4" i="5"/>
  <c r="C5" i="5"/>
  <c r="C6" i="5"/>
  <c r="C7" i="5"/>
  <c r="C8" i="5"/>
  <c r="C9" i="5"/>
  <c r="C10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3" i="5"/>
  <c r="D3" i="5" s="1"/>
  <c r="E3" i="5" s="1"/>
  <c r="F3" i="5" s="1"/>
  <c r="D4" i="5"/>
  <c r="E4" i="5" s="1"/>
  <c r="G4" i="5" s="1"/>
  <c r="D5" i="5"/>
  <c r="E5" i="5" s="1"/>
  <c r="G5" i="5" s="1"/>
  <c r="R11" i="6" l="1"/>
  <c r="R10" i="6"/>
  <c r="R9" i="6"/>
  <c r="R8" i="6"/>
  <c r="D6" i="5"/>
  <c r="E6" i="5" s="1"/>
  <c r="F6" i="5" s="1"/>
  <c r="F4" i="5"/>
  <c r="G3" i="5"/>
  <c r="F5" i="5"/>
  <c r="G6" i="5" l="1"/>
  <c r="D7" i="5"/>
  <c r="E7" i="5" s="1"/>
  <c r="D8" i="5" l="1"/>
  <c r="E8" i="5" s="1"/>
  <c r="F7" i="5"/>
  <c r="G7" i="5"/>
  <c r="N5" i="3"/>
  <c r="N4" i="3"/>
  <c r="N3" i="3"/>
  <c r="N2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3" i="3"/>
  <c r="L5" i="2"/>
  <c r="L4" i="2"/>
  <c r="L3" i="2"/>
  <c r="L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3" i="2"/>
  <c r="G8" i="5" l="1"/>
  <c r="F8" i="5"/>
  <c r="D9" i="5"/>
  <c r="E9" i="5" s="1"/>
  <c r="G9" i="5" l="1"/>
  <c r="F9" i="5"/>
  <c r="D10" i="5"/>
  <c r="E10" i="5" s="1"/>
  <c r="G10" i="5" l="1"/>
  <c r="F10" i="5"/>
  <c r="D11" i="5"/>
  <c r="E11" i="5" s="1"/>
  <c r="F11" i="5" l="1"/>
  <c r="G11" i="5"/>
  <c r="D12" i="5"/>
  <c r="E12" i="5" s="1"/>
  <c r="G12" i="5" l="1"/>
  <c r="F12" i="5"/>
  <c r="D13" i="5"/>
  <c r="E13" i="5" s="1"/>
  <c r="G13" i="5" l="1"/>
  <c r="F13" i="5"/>
  <c r="D14" i="5"/>
  <c r="E14" i="5" s="1"/>
  <c r="F14" i="5" l="1"/>
  <c r="G14" i="5"/>
  <c r="D15" i="5"/>
  <c r="E15" i="5" s="1"/>
  <c r="G15" i="5" l="1"/>
  <c r="F15" i="5"/>
  <c r="D16" i="5"/>
  <c r="E16" i="5" s="1"/>
  <c r="G16" i="5" l="1"/>
  <c r="F16" i="5"/>
  <c r="D17" i="5"/>
  <c r="E17" i="5" s="1"/>
  <c r="F17" i="5" l="1"/>
  <c r="G17" i="5"/>
  <c r="D18" i="5"/>
  <c r="E18" i="5" s="1"/>
  <c r="G18" i="5" l="1"/>
  <c r="F18" i="5"/>
  <c r="D19" i="5"/>
  <c r="E19" i="5" s="1"/>
  <c r="F19" i="5" l="1"/>
  <c r="G19" i="5"/>
  <c r="D20" i="5"/>
  <c r="E20" i="5" s="1"/>
  <c r="F20" i="5" l="1"/>
  <c r="G20" i="5"/>
  <c r="D21" i="5"/>
  <c r="E21" i="5" s="1"/>
  <c r="G21" i="5" l="1"/>
  <c r="F21" i="5"/>
  <c r="D22" i="5"/>
  <c r="E22" i="5" s="1"/>
  <c r="G22" i="5" l="1"/>
  <c r="F22" i="5"/>
  <c r="D23" i="5"/>
  <c r="E23" i="5" s="1"/>
  <c r="G23" i="5" l="1"/>
  <c r="F23" i="5"/>
  <c r="D24" i="5"/>
  <c r="E24" i="5" s="1"/>
  <c r="F24" i="5" l="1"/>
  <c r="G24" i="5"/>
  <c r="D25" i="5"/>
  <c r="E25" i="5" s="1"/>
  <c r="G25" i="5" l="1"/>
  <c r="F25" i="5"/>
  <c r="D26" i="5"/>
  <c r="E26" i="5" s="1"/>
  <c r="F26" i="5" l="1"/>
  <c r="G26" i="5"/>
  <c r="D27" i="5"/>
  <c r="E27" i="5" s="1"/>
  <c r="G27" i="5" l="1"/>
  <c r="F27" i="5"/>
  <c r="D28" i="5"/>
  <c r="E28" i="5" s="1"/>
  <c r="F28" i="5" l="1"/>
  <c r="G28" i="5"/>
  <c r="D29" i="5"/>
  <c r="E29" i="5" s="1"/>
  <c r="F29" i="5" l="1"/>
  <c r="G29" i="5"/>
  <c r="D30" i="5"/>
  <c r="E30" i="5" s="1"/>
  <c r="F30" i="5" l="1"/>
  <c r="G30" i="5"/>
  <c r="D31" i="5"/>
  <c r="E31" i="5" s="1"/>
  <c r="G31" i="5" l="1"/>
  <c r="F31" i="5"/>
  <c r="D32" i="5"/>
  <c r="E32" i="5" s="1"/>
  <c r="F32" i="5" l="1"/>
  <c r="G32" i="5"/>
  <c r="D33" i="5"/>
  <c r="E33" i="5" s="1"/>
  <c r="G33" i="5" l="1"/>
  <c r="F33" i="5"/>
  <c r="D34" i="5"/>
  <c r="E34" i="5" s="1"/>
  <c r="G34" i="5" l="1"/>
  <c r="F34" i="5"/>
  <c r="D35" i="5"/>
  <c r="E35" i="5" s="1"/>
  <c r="G35" i="5" l="1"/>
  <c r="F35" i="5"/>
  <c r="D36" i="5"/>
  <c r="E36" i="5" s="1"/>
  <c r="G36" i="5" l="1"/>
  <c r="F36" i="5"/>
  <c r="D37" i="5"/>
  <c r="E37" i="5" s="1"/>
  <c r="G37" i="5" l="1"/>
  <c r="F37" i="5"/>
  <c r="D38" i="5"/>
  <c r="E38" i="5" s="1"/>
  <c r="G38" i="5" l="1"/>
  <c r="F38" i="5"/>
  <c r="D39" i="5"/>
  <c r="E39" i="5" s="1"/>
  <c r="F39" i="5" l="1"/>
  <c r="G39" i="5"/>
  <c r="D40" i="5"/>
  <c r="E40" i="5" s="1"/>
  <c r="G40" i="5" l="1"/>
  <c r="F40" i="5"/>
  <c r="D41" i="5"/>
  <c r="E41" i="5" s="1"/>
  <c r="G41" i="5" l="1"/>
  <c r="F41" i="5"/>
  <c r="D42" i="5"/>
  <c r="E42" i="5" s="1"/>
  <c r="G42" i="5" l="1"/>
  <c r="F42" i="5"/>
  <c r="D43" i="5"/>
  <c r="E43" i="5" s="1"/>
  <c r="F43" i="5" l="1"/>
  <c r="G43" i="5"/>
  <c r="D44" i="5"/>
  <c r="E44" i="5" s="1"/>
  <c r="G44" i="5" l="1"/>
  <c r="F44" i="5"/>
  <c r="D45" i="5"/>
  <c r="E45" i="5" s="1"/>
  <c r="G45" i="5" l="1"/>
  <c r="F45" i="5"/>
  <c r="D46" i="5"/>
  <c r="E46" i="5" s="1"/>
  <c r="G46" i="5" l="1"/>
  <c r="F46" i="5"/>
  <c r="D47" i="5"/>
  <c r="E47" i="5" s="1"/>
  <c r="G47" i="5" l="1"/>
  <c r="F47" i="5"/>
  <c r="D48" i="5"/>
  <c r="E48" i="5" s="1"/>
  <c r="G48" i="5" l="1"/>
  <c r="F48" i="5"/>
  <c r="D49" i="5"/>
  <c r="E49" i="5" s="1"/>
  <c r="G49" i="5" l="1"/>
  <c r="F49" i="5"/>
  <c r="D50" i="5"/>
  <c r="E50" i="5" s="1"/>
  <c r="G50" i="5" l="1"/>
  <c r="F50" i="5"/>
  <c r="D51" i="5"/>
  <c r="E51" i="5" s="1"/>
  <c r="G51" i="5" l="1"/>
  <c r="F51" i="5"/>
  <c r="D52" i="5"/>
  <c r="E52" i="5" s="1"/>
  <c r="F52" i="5" l="1"/>
  <c r="G52" i="5"/>
  <c r="D53" i="5"/>
  <c r="E53" i="5" s="1"/>
  <c r="F53" i="5" l="1"/>
  <c r="G53" i="5"/>
  <c r="D54" i="5"/>
  <c r="E54" i="5" s="1"/>
  <c r="G54" i="5" l="1"/>
  <c r="F54" i="5"/>
  <c r="D55" i="5"/>
  <c r="E55" i="5" s="1"/>
  <c r="G55" i="5" l="1"/>
  <c r="F55" i="5"/>
  <c r="D56" i="5"/>
  <c r="E56" i="5" s="1"/>
  <c r="G56" i="5" l="1"/>
  <c r="F56" i="5"/>
  <c r="D57" i="5"/>
  <c r="E57" i="5" s="1"/>
  <c r="G57" i="5" l="1"/>
  <c r="F57" i="5"/>
  <c r="D58" i="5"/>
  <c r="E58" i="5" s="1"/>
  <c r="F58" i="5" l="1"/>
  <c r="G58" i="5"/>
  <c r="D59" i="5"/>
  <c r="E59" i="5" s="1"/>
  <c r="G59" i="5" l="1"/>
  <c r="F59" i="5"/>
  <c r="D60" i="5"/>
  <c r="E60" i="5" s="1"/>
  <c r="F60" i="5" l="1"/>
  <c r="G60" i="5"/>
  <c r="D61" i="5"/>
  <c r="E61" i="5" s="1"/>
  <c r="F61" i="5" l="1"/>
  <c r="G61" i="5"/>
  <c r="D62" i="5"/>
  <c r="E62" i="5" s="1"/>
  <c r="F62" i="5" l="1"/>
  <c r="G62" i="5"/>
  <c r="D63" i="5"/>
  <c r="E63" i="5" s="1"/>
  <c r="F63" i="5" l="1"/>
  <c r="G63" i="5"/>
  <c r="D64" i="5"/>
  <c r="E64" i="5" s="1"/>
  <c r="F64" i="5" l="1"/>
  <c r="G64" i="5"/>
  <c r="D65" i="5"/>
  <c r="E65" i="5" s="1"/>
  <c r="G65" i="5" l="1"/>
  <c r="F65" i="5"/>
  <c r="D66" i="5"/>
  <c r="E66" i="5" s="1"/>
  <c r="F66" i="5" l="1"/>
  <c r="G66" i="5"/>
  <c r="D67" i="5"/>
  <c r="E67" i="5" s="1"/>
  <c r="G67" i="5" l="1"/>
  <c r="F67" i="5"/>
  <c r="D68" i="5"/>
  <c r="E68" i="5" s="1"/>
  <c r="G68" i="5" l="1"/>
  <c r="F68" i="5"/>
  <c r="D69" i="5"/>
  <c r="E69" i="5" s="1"/>
  <c r="G69" i="5" l="1"/>
  <c r="F69" i="5"/>
  <c r="D70" i="5"/>
  <c r="E70" i="5" s="1"/>
  <c r="G70" i="5" l="1"/>
  <c r="F70" i="5"/>
  <c r="D71" i="5"/>
  <c r="E71" i="5" s="1"/>
  <c r="F71" i="5" l="1"/>
  <c r="G71" i="5"/>
  <c r="D72" i="5"/>
  <c r="E72" i="5" s="1"/>
  <c r="F72" i="5" l="1"/>
  <c r="G72" i="5"/>
  <c r="D73" i="5"/>
  <c r="E73" i="5" s="1"/>
  <c r="F73" i="5" l="1"/>
  <c r="G73" i="5"/>
  <c r="D74" i="5"/>
  <c r="E74" i="5" s="1"/>
  <c r="F74" i="5" l="1"/>
  <c r="G74" i="5"/>
  <c r="D75" i="5"/>
  <c r="E75" i="5" s="1"/>
  <c r="F75" i="5" l="1"/>
  <c r="G75" i="5"/>
  <c r="D76" i="5"/>
  <c r="E76" i="5" s="1"/>
  <c r="G76" i="5" l="1"/>
  <c r="F76" i="5"/>
  <c r="D77" i="5"/>
  <c r="E77" i="5" s="1"/>
  <c r="G77" i="5" l="1"/>
  <c r="F77" i="5"/>
  <c r="D78" i="5"/>
  <c r="E78" i="5" s="1"/>
  <c r="F78" i="5" l="1"/>
  <c r="G78" i="5"/>
  <c r="D79" i="5"/>
  <c r="E79" i="5" s="1"/>
  <c r="F79" i="5" l="1"/>
  <c r="G79" i="5"/>
  <c r="D80" i="5"/>
  <c r="E80" i="5" s="1"/>
  <c r="G80" i="5" l="1"/>
  <c r="F80" i="5"/>
  <c r="D81" i="5"/>
  <c r="E81" i="5" s="1"/>
  <c r="F81" i="5" l="1"/>
  <c r="G81" i="5"/>
  <c r="D82" i="5"/>
  <c r="E82" i="5" s="1"/>
  <c r="G82" i="5" l="1"/>
  <c r="F82" i="5"/>
  <c r="D83" i="5"/>
  <c r="E83" i="5" s="1"/>
  <c r="F83" i="5" l="1"/>
  <c r="G83" i="5"/>
  <c r="D84" i="5"/>
  <c r="E84" i="5" s="1"/>
  <c r="F84" i="5" l="1"/>
  <c r="G84" i="5"/>
  <c r="D85" i="5"/>
  <c r="E85" i="5" s="1"/>
  <c r="F85" i="5" l="1"/>
  <c r="G85" i="5"/>
  <c r="D86" i="5"/>
  <c r="E86" i="5" s="1"/>
  <c r="G86" i="5" l="1"/>
  <c r="F86" i="5"/>
  <c r="D87" i="5"/>
  <c r="E87" i="5" s="1"/>
  <c r="G87" i="5" l="1"/>
  <c r="F87" i="5"/>
  <c r="D88" i="5"/>
  <c r="E88" i="5" s="1"/>
  <c r="G88" i="5" l="1"/>
  <c r="F88" i="5"/>
  <c r="D89" i="5"/>
  <c r="E89" i="5" s="1"/>
  <c r="F89" i="5" l="1"/>
  <c r="G89" i="5"/>
  <c r="D90" i="5"/>
  <c r="E90" i="5" s="1"/>
  <c r="F90" i="5" l="1"/>
  <c r="G90" i="5"/>
  <c r="D91" i="5"/>
  <c r="E91" i="5" s="1"/>
  <c r="F91" i="5" l="1"/>
  <c r="G91" i="5"/>
  <c r="D92" i="5"/>
  <c r="E92" i="5" s="1"/>
  <c r="G92" i="5" l="1"/>
  <c r="F92" i="5"/>
  <c r="D93" i="5"/>
  <c r="E93" i="5" s="1"/>
  <c r="G93" i="5" l="1"/>
  <c r="F93" i="5"/>
  <c r="D94" i="5"/>
  <c r="E94" i="5" s="1"/>
  <c r="F94" i="5" l="1"/>
  <c r="G94" i="5"/>
  <c r="D95" i="5"/>
  <c r="E95" i="5" s="1"/>
  <c r="G95" i="5" l="1"/>
  <c r="F95" i="5"/>
  <c r="D96" i="5"/>
  <c r="E96" i="5" s="1"/>
  <c r="G96" i="5" l="1"/>
  <c r="F96" i="5"/>
  <c r="D97" i="5"/>
  <c r="E97" i="5" s="1"/>
  <c r="G97" i="5" l="1"/>
  <c r="F97" i="5"/>
  <c r="D98" i="5"/>
  <c r="E98" i="5" s="1"/>
  <c r="G98" i="5" l="1"/>
  <c r="F98" i="5"/>
  <c r="D99" i="5"/>
  <c r="E99" i="5" s="1"/>
  <c r="G99" i="5" l="1"/>
  <c r="F99" i="5"/>
  <c r="D100" i="5"/>
  <c r="E100" i="5" s="1"/>
  <c r="G100" i="5" l="1"/>
  <c r="F100" i="5"/>
  <c r="D101" i="5"/>
  <c r="E101" i="5" s="1"/>
  <c r="F101" i="5" l="1"/>
  <c r="G101" i="5"/>
  <c r="D102" i="5"/>
  <c r="E102" i="5" s="1"/>
  <c r="F102" i="5" l="1"/>
  <c r="G102" i="5"/>
  <c r="D103" i="5"/>
  <c r="E103" i="5" s="1"/>
  <c r="G103" i="5" l="1"/>
  <c r="F103" i="5"/>
  <c r="D104" i="5"/>
  <c r="E104" i="5" s="1"/>
  <c r="F104" i="5" l="1"/>
  <c r="G104" i="5"/>
  <c r="D105" i="5"/>
  <c r="E105" i="5" s="1"/>
  <c r="G105" i="5" l="1"/>
  <c r="F105" i="5"/>
  <c r="D106" i="5"/>
  <c r="E106" i="5" s="1"/>
  <c r="F106" i="5" l="1"/>
  <c r="G106" i="5"/>
  <c r="D107" i="5"/>
  <c r="E107" i="5" s="1"/>
  <c r="G107" i="5" l="1"/>
  <c r="F107" i="5"/>
  <c r="D108" i="5"/>
  <c r="E108" i="5" s="1"/>
  <c r="G108" i="5" l="1"/>
  <c r="F108" i="5"/>
  <c r="D109" i="5"/>
  <c r="E109" i="5" s="1"/>
  <c r="F109" i="5" l="1"/>
  <c r="G109" i="5"/>
  <c r="D110" i="5"/>
  <c r="E110" i="5" s="1"/>
  <c r="G110" i="5" l="1"/>
  <c r="F110" i="5"/>
  <c r="D111" i="5"/>
  <c r="E111" i="5" s="1"/>
  <c r="G111" i="5" l="1"/>
  <c r="F111" i="5"/>
  <c r="D112" i="5"/>
  <c r="E112" i="5" s="1"/>
  <c r="G112" i="5" l="1"/>
  <c r="F112" i="5"/>
  <c r="D113" i="5"/>
  <c r="E113" i="5" s="1"/>
  <c r="G113" i="5" l="1"/>
  <c r="F113" i="5"/>
  <c r="D114" i="5"/>
  <c r="E114" i="5" s="1"/>
  <c r="G114" i="5" l="1"/>
  <c r="F114" i="5"/>
  <c r="D115" i="5"/>
  <c r="E115" i="5" s="1"/>
  <c r="F115" i="5" l="1"/>
  <c r="G115" i="5"/>
  <c r="D116" i="5"/>
  <c r="E116" i="5" s="1"/>
  <c r="F116" i="5" l="1"/>
  <c r="G116" i="5"/>
  <c r="D117" i="5"/>
  <c r="E117" i="5" s="1"/>
  <c r="F117" i="5" l="1"/>
  <c r="G117" i="5"/>
  <c r="D118" i="5"/>
  <c r="E118" i="5" s="1"/>
  <c r="G118" i="5" l="1"/>
  <c r="F118" i="5"/>
  <c r="D119" i="5"/>
  <c r="E119" i="5" s="1"/>
  <c r="F119" i="5" l="1"/>
  <c r="G119" i="5"/>
  <c r="D120" i="5"/>
  <c r="E120" i="5" s="1"/>
  <c r="G120" i="5" l="1"/>
  <c r="F120" i="5"/>
  <c r="D121" i="5"/>
  <c r="E121" i="5" s="1"/>
  <c r="G121" i="5" l="1"/>
  <c r="F121" i="5"/>
  <c r="D122" i="5"/>
  <c r="E122" i="5" s="1"/>
  <c r="F122" i="5" l="1"/>
  <c r="G122" i="5"/>
  <c r="D123" i="5"/>
  <c r="E123" i="5" s="1"/>
  <c r="F123" i="5" l="1"/>
  <c r="G123" i="5"/>
  <c r="D124" i="5"/>
  <c r="E124" i="5" s="1"/>
  <c r="F124" i="5" l="1"/>
  <c r="G124" i="5"/>
  <c r="D125" i="5"/>
  <c r="E125" i="5" s="1"/>
  <c r="F125" i="5" l="1"/>
  <c r="G125" i="5"/>
  <c r="D126" i="5"/>
  <c r="E126" i="5" s="1"/>
  <c r="F126" i="5" l="1"/>
  <c r="G126" i="5"/>
  <c r="D127" i="5"/>
  <c r="E127" i="5" s="1"/>
  <c r="F127" i="5" l="1"/>
  <c r="G127" i="5"/>
  <c r="D128" i="5"/>
  <c r="E128" i="5" s="1"/>
  <c r="F128" i="5" l="1"/>
  <c r="G128" i="5"/>
  <c r="D129" i="5"/>
  <c r="E129" i="5" s="1"/>
  <c r="F129" i="5" l="1"/>
  <c r="G129" i="5"/>
  <c r="D130" i="5"/>
  <c r="E130" i="5" s="1"/>
  <c r="D131" i="5" l="1"/>
  <c r="E131" i="5" s="1"/>
  <c r="F130" i="5"/>
  <c r="G130" i="5"/>
  <c r="G131" i="5" l="1"/>
  <c r="F131" i="5"/>
  <c r="D132" i="5"/>
  <c r="E132" i="5" s="1"/>
  <c r="G132" i="5" l="1"/>
  <c r="F132" i="5"/>
  <c r="D133" i="5"/>
  <c r="E133" i="5" s="1"/>
  <c r="G133" i="5" l="1"/>
  <c r="F133" i="5"/>
  <c r="D134" i="5"/>
  <c r="E134" i="5" s="1"/>
  <c r="G134" i="5" l="1"/>
  <c r="F134" i="5"/>
  <c r="D135" i="5"/>
  <c r="E135" i="5" s="1"/>
  <c r="G135" i="5" l="1"/>
  <c r="F135" i="5"/>
  <c r="D136" i="5"/>
  <c r="E136" i="5" s="1"/>
  <c r="G136" i="5" l="1"/>
  <c r="F136" i="5"/>
  <c r="D137" i="5"/>
  <c r="E137" i="5" s="1"/>
  <c r="G137" i="5" l="1"/>
  <c r="F137" i="5"/>
  <c r="D138" i="5"/>
  <c r="E138" i="5" s="1"/>
  <c r="F138" i="5" l="1"/>
  <c r="G138" i="5"/>
  <c r="D139" i="5"/>
  <c r="E139" i="5" s="1"/>
  <c r="F139" i="5" l="1"/>
  <c r="G139" i="5"/>
  <c r="D140" i="5"/>
  <c r="E140" i="5" s="1"/>
  <c r="F140" i="5" l="1"/>
  <c r="G140" i="5"/>
  <c r="D141" i="5"/>
  <c r="E141" i="5" s="1"/>
  <c r="F141" i="5" l="1"/>
  <c r="G141" i="5"/>
  <c r="D142" i="5"/>
  <c r="E142" i="5" s="1"/>
  <c r="F142" i="5" l="1"/>
  <c r="G142" i="5"/>
  <c r="D143" i="5"/>
  <c r="E143" i="5" s="1"/>
  <c r="F143" i="5" l="1"/>
  <c r="G143" i="5"/>
  <c r="D144" i="5"/>
  <c r="E144" i="5" s="1"/>
  <c r="F144" i="5" l="1"/>
  <c r="G144" i="5"/>
  <c r="D145" i="5"/>
  <c r="E145" i="5" s="1"/>
  <c r="F145" i="5" l="1"/>
  <c r="G145" i="5"/>
  <c r="D146" i="5"/>
  <c r="E146" i="5" s="1"/>
  <c r="G146" i="5" l="1"/>
  <c r="F146" i="5"/>
  <c r="D147" i="5"/>
  <c r="E147" i="5" s="1"/>
  <c r="G147" i="5" l="1"/>
  <c r="F147" i="5"/>
  <c r="D148" i="5"/>
  <c r="E148" i="5" s="1"/>
  <c r="F148" i="5" l="1"/>
  <c r="G148" i="5"/>
  <c r="D149" i="5"/>
  <c r="E149" i="5" s="1"/>
  <c r="G149" i="5" l="1"/>
  <c r="F149" i="5"/>
  <c r="D150" i="5"/>
  <c r="E150" i="5" s="1"/>
  <c r="F150" i="5" l="1"/>
  <c r="G150" i="5"/>
  <c r="D151" i="5"/>
  <c r="E151" i="5" s="1"/>
  <c r="F151" i="5" l="1"/>
  <c r="G151" i="5"/>
  <c r="D152" i="5"/>
  <c r="E152" i="5" s="1"/>
  <c r="G152" i="5" l="1"/>
  <c r="F152" i="5"/>
  <c r="D153" i="5"/>
  <c r="E153" i="5" s="1"/>
  <c r="F153" i="5" l="1"/>
  <c r="G153" i="5"/>
  <c r="D154" i="5"/>
  <c r="E154" i="5" s="1"/>
  <c r="G154" i="5" l="1"/>
  <c r="F154" i="5"/>
  <c r="D155" i="5"/>
  <c r="E155" i="5" s="1"/>
  <c r="G155" i="5" l="1"/>
  <c r="F155" i="5"/>
  <c r="D156" i="5"/>
  <c r="E156" i="5" s="1"/>
  <c r="F156" i="5" l="1"/>
  <c r="G156" i="5"/>
  <c r="D157" i="5"/>
  <c r="E157" i="5" s="1"/>
  <c r="F157" i="5" l="1"/>
  <c r="G157" i="5"/>
  <c r="D158" i="5"/>
  <c r="E158" i="5" s="1"/>
  <c r="G158" i="5" l="1"/>
  <c r="F158" i="5"/>
  <c r="D159" i="5"/>
  <c r="E159" i="5" s="1"/>
  <c r="F159" i="5" l="1"/>
  <c r="G159" i="5"/>
  <c r="D160" i="5"/>
  <c r="E160" i="5" s="1"/>
  <c r="F160" i="5" l="1"/>
  <c r="G160" i="5"/>
  <c r="D161" i="5"/>
  <c r="E161" i="5" s="1"/>
  <c r="G161" i="5" l="1"/>
  <c r="F161" i="5"/>
  <c r="D162" i="5"/>
  <c r="E162" i="5" s="1"/>
  <c r="F162" i="5" l="1"/>
  <c r="G162" i="5"/>
  <c r="D163" i="5"/>
  <c r="E163" i="5" s="1"/>
  <c r="F163" i="5" l="1"/>
  <c r="G163" i="5"/>
  <c r="D164" i="5"/>
  <c r="E164" i="5" s="1"/>
  <c r="F164" i="5" l="1"/>
  <c r="G164" i="5"/>
  <c r="D165" i="5"/>
  <c r="E165" i="5" s="1"/>
  <c r="G165" i="5" l="1"/>
  <c r="F165" i="5"/>
  <c r="D166" i="5"/>
  <c r="E166" i="5" s="1"/>
  <c r="F166" i="5" l="1"/>
  <c r="G166" i="5"/>
  <c r="D168" i="5"/>
  <c r="E168" i="5" s="1"/>
  <c r="D167" i="5"/>
  <c r="E167" i="5" s="1"/>
  <c r="F167" i="5" l="1"/>
  <c r="G167" i="5"/>
  <c r="N2" i="5"/>
  <c r="G168" i="5"/>
  <c r="N4" i="5" s="1"/>
  <c r="N5" i="5" s="1"/>
  <c r="F168" i="5"/>
  <c r="N3" i="5" s="1"/>
</calcChain>
</file>

<file path=xl/sharedStrings.xml><?xml version="1.0" encoding="utf-8"?>
<sst xmlns="http://schemas.openxmlformats.org/spreadsheetml/2006/main" count="917" uniqueCount="191">
  <si>
    <t>Period</t>
  </si>
  <si>
    <t>Crude Oil Imports Monthly (thousand barrels)</t>
  </si>
  <si>
    <t>2009 01</t>
  </si>
  <si>
    <t>2009 02</t>
  </si>
  <si>
    <t>2009 03</t>
  </si>
  <si>
    <t>2009 04</t>
  </si>
  <si>
    <t>2009 05</t>
  </si>
  <si>
    <t>2009 06</t>
  </si>
  <si>
    <t>2009 07</t>
  </si>
  <si>
    <t>2009 08</t>
  </si>
  <si>
    <t>2009 09</t>
  </si>
  <si>
    <t>2009 10</t>
  </si>
  <si>
    <t>2009 11</t>
  </si>
  <si>
    <t>2009 12</t>
  </si>
  <si>
    <t>2010 01</t>
  </si>
  <si>
    <t>2010 02</t>
  </si>
  <si>
    <t>2010 03</t>
  </si>
  <si>
    <t>2010 04</t>
  </si>
  <si>
    <t>2010 05</t>
  </si>
  <si>
    <t>2010 06</t>
  </si>
  <si>
    <t>2010 07</t>
  </si>
  <si>
    <t>2010 08</t>
  </si>
  <si>
    <t>2010 09</t>
  </si>
  <si>
    <t>2010 10</t>
  </si>
  <si>
    <t>2010 11</t>
  </si>
  <si>
    <t>2010 12</t>
  </si>
  <si>
    <t>2011 01</t>
  </si>
  <si>
    <t>2011 02</t>
  </si>
  <si>
    <t>2011 03</t>
  </si>
  <si>
    <t>2011 04</t>
  </si>
  <si>
    <t>2011 05</t>
  </si>
  <si>
    <t>2011 06</t>
  </si>
  <si>
    <t>2011 07</t>
  </si>
  <si>
    <t>2011 08</t>
  </si>
  <si>
    <t>2011 09</t>
  </si>
  <si>
    <t>2011 10</t>
  </si>
  <si>
    <t>2011 11</t>
  </si>
  <si>
    <t>2011 12</t>
  </si>
  <si>
    <t>2012 01</t>
  </si>
  <si>
    <t>2012 02</t>
  </si>
  <si>
    <t>2012 03</t>
  </si>
  <si>
    <t>2012 04</t>
  </si>
  <si>
    <t>2012 05</t>
  </si>
  <si>
    <t>2012 06</t>
  </si>
  <si>
    <t>2012 07</t>
  </si>
  <si>
    <t>2012 08</t>
  </si>
  <si>
    <t>2012 09</t>
  </si>
  <si>
    <t>2012 10</t>
  </si>
  <si>
    <t>2012 11</t>
  </si>
  <si>
    <t>2012 12</t>
  </si>
  <si>
    <t>2013 01</t>
  </si>
  <si>
    <t>2013 02</t>
  </si>
  <si>
    <t>2013 03</t>
  </si>
  <si>
    <t>2013 04</t>
  </si>
  <si>
    <t>2013 05</t>
  </si>
  <si>
    <t>2013 06</t>
  </si>
  <si>
    <t>2013 07</t>
  </si>
  <si>
    <t>2013 08</t>
  </si>
  <si>
    <t>2013 09</t>
  </si>
  <si>
    <t>2013 10</t>
  </si>
  <si>
    <t>2013 11</t>
  </si>
  <si>
    <t>2013 12</t>
  </si>
  <si>
    <t>2014 01</t>
  </si>
  <si>
    <t>2014 02</t>
  </si>
  <si>
    <t>2014 03</t>
  </si>
  <si>
    <t>2014 04</t>
  </si>
  <si>
    <t>2014 05</t>
  </si>
  <si>
    <t>2014 06</t>
  </si>
  <si>
    <t>2014 07</t>
  </si>
  <si>
    <t>2014 08</t>
  </si>
  <si>
    <t>2014 09</t>
  </si>
  <si>
    <t>2014 10</t>
  </si>
  <si>
    <t>2014 11</t>
  </si>
  <si>
    <t>2014 12</t>
  </si>
  <si>
    <t>2015 01</t>
  </si>
  <si>
    <t>2015 02</t>
  </si>
  <si>
    <t>2015 03</t>
  </si>
  <si>
    <t>2015 04</t>
  </si>
  <si>
    <t>2015 05</t>
  </si>
  <si>
    <t>2015 06</t>
  </si>
  <si>
    <t>2015 07</t>
  </si>
  <si>
    <t>2015 08</t>
  </si>
  <si>
    <t>2015 09</t>
  </si>
  <si>
    <t>2015 10</t>
  </si>
  <si>
    <t>2015 11</t>
  </si>
  <si>
    <t>2015 12</t>
  </si>
  <si>
    <t>2016 01</t>
  </si>
  <si>
    <t>2016 02</t>
  </si>
  <si>
    <t>2016 03</t>
  </si>
  <si>
    <t>2016 04</t>
  </si>
  <si>
    <t>2016 05</t>
  </si>
  <si>
    <t>2016 06</t>
  </si>
  <si>
    <t>2016 07</t>
  </si>
  <si>
    <t>2016 08</t>
  </si>
  <si>
    <t>2016 09</t>
  </si>
  <si>
    <t>2016 10</t>
  </si>
  <si>
    <t>2016 11</t>
  </si>
  <si>
    <t>2016 12</t>
  </si>
  <si>
    <t>2017 01</t>
  </si>
  <si>
    <t>2017 02</t>
  </si>
  <si>
    <t>2017 03</t>
  </si>
  <si>
    <t>2017 04</t>
  </si>
  <si>
    <t>2017 05</t>
  </si>
  <si>
    <t>2017 06</t>
  </si>
  <si>
    <t>2017 07</t>
  </si>
  <si>
    <t>2017 08</t>
  </si>
  <si>
    <t>2017 09</t>
  </si>
  <si>
    <t>2017 10</t>
  </si>
  <si>
    <t>2017 11</t>
  </si>
  <si>
    <t>2017 12</t>
  </si>
  <si>
    <t>2018 01</t>
  </si>
  <si>
    <t>2018 02</t>
  </si>
  <si>
    <t>2018 03</t>
  </si>
  <si>
    <t>2018 04</t>
  </si>
  <si>
    <t>2018 05</t>
  </si>
  <si>
    <t>2018 06</t>
  </si>
  <si>
    <t>2018 07</t>
  </si>
  <si>
    <t>2018 08</t>
  </si>
  <si>
    <t>2018 09</t>
  </si>
  <si>
    <t>2018 10</t>
  </si>
  <si>
    <t>2018 11</t>
  </si>
  <si>
    <t>2018 12</t>
  </si>
  <si>
    <t>2019 01</t>
  </si>
  <si>
    <t>2019 02</t>
  </si>
  <si>
    <t>2019 03</t>
  </si>
  <si>
    <t>2019 04</t>
  </si>
  <si>
    <t>2019 05</t>
  </si>
  <si>
    <t>2019 06</t>
  </si>
  <si>
    <t>2019 07</t>
  </si>
  <si>
    <t>2019 08</t>
  </si>
  <si>
    <t>2019 09</t>
  </si>
  <si>
    <t>2019 10</t>
  </si>
  <si>
    <t>2019 11</t>
  </si>
  <si>
    <t>2019 12</t>
  </si>
  <si>
    <t>2020 01</t>
  </si>
  <si>
    <t>2020 02</t>
  </si>
  <si>
    <t>2020 03</t>
  </si>
  <si>
    <t>2020 04</t>
  </si>
  <si>
    <t>2020 05</t>
  </si>
  <si>
    <t>2020 06</t>
  </si>
  <si>
    <t>2020 07</t>
  </si>
  <si>
    <t>2020 08</t>
  </si>
  <si>
    <t>2020 09</t>
  </si>
  <si>
    <t>2020 10</t>
  </si>
  <si>
    <t>2020 11</t>
  </si>
  <si>
    <t>2020 12</t>
  </si>
  <si>
    <t>2021 01</t>
  </si>
  <si>
    <t>2021 02</t>
  </si>
  <si>
    <t>2021 03</t>
  </si>
  <si>
    <t>2021 04</t>
  </si>
  <si>
    <t>2021 05</t>
  </si>
  <si>
    <t>2021 06</t>
  </si>
  <si>
    <t>2021 07</t>
  </si>
  <si>
    <t>2021 08</t>
  </si>
  <si>
    <t>2021 09</t>
  </si>
  <si>
    <t>2021 10</t>
  </si>
  <si>
    <t>2021 11</t>
  </si>
  <si>
    <t>2021 12</t>
  </si>
  <si>
    <t>2022 01</t>
  </si>
  <si>
    <t>2022 02</t>
  </si>
  <si>
    <t>2022 03</t>
  </si>
  <si>
    <t>2022 04</t>
  </si>
  <si>
    <t>2022 05</t>
  </si>
  <si>
    <t>2022 06</t>
  </si>
  <si>
    <t>2022 07</t>
  </si>
  <si>
    <t>2022 08</t>
  </si>
  <si>
    <t>2022 09</t>
  </si>
  <si>
    <t>2022 10</t>
  </si>
  <si>
    <t>2022 11</t>
  </si>
  <si>
    <t>Forecasted Imports</t>
  </si>
  <si>
    <t>Forecast Error</t>
  </si>
  <si>
    <t>Absloute Error</t>
  </si>
  <si>
    <t>Abs squared Error</t>
  </si>
  <si>
    <t>Percentage Error</t>
  </si>
  <si>
    <t>Evaluation</t>
  </si>
  <si>
    <t>MAD</t>
  </si>
  <si>
    <t>MSE</t>
  </si>
  <si>
    <t>MAPE</t>
  </si>
  <si>
    <t>Accuracy</t>
  </si>
  <si>
    <t>Naïve</t>
  </si>
  <si>
    <t>Moving Average</t>
  </si>
  <si>
    <t>Exponential Smoothening</t>
  </si>
  <si>
    <t>Month of Year</t>
  </si>
  <si>
    <t>Month of Year(X)</t>
  </si>
  <si>
    <t>LR*Seasonality</t>
  </si>
  <si>
    <t>Seasonality index</t>
  </si>
  <si>
    <t>Monthly Average</t>
  </si>
  <si>
    <t>Overall average</t>
  </si>
  <si>
    <t xml:space="preserve">Month of Year </t>
  </si>
  <si>
    <t>seasonality index</t>
  </si>
  <si>
    <t>Linear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</si>
</sst>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%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0">
    <xf numFmtId="0" fontId="0" fillId="0" borderId="0" xfId="0"/>
    <xf numFmtId="14" fontId="2" fillId="0" borderId="0" xfId="0" applyNumberFormat="1" applyFont="1"/>
    <xf numFmtId="0" fontId="3" fillId="0" borderId="0" xfId="0" applyFont="1"/>
    <xf numFmtId="2" fontId="0" fillId="0" borderId="0" xfId="0" applyNumberFormat="1"/>
    <xf numFmtId="9" fontId="0" fillId="0" borderId="0" xfId="2" applyFont="1"/>
    <xf numFmtId="0" fontId="4" fillId="2" borderId="0" xfId="0" applyFont="1" applyFill="1"/>
    <xf numFmtId="43" fontId="4" fillId="2" borderId="0" xfId="1" applyFont="1" applyFill="1"/>
    <xf numFmtId="9" fontId="4" fillId="2" borderId="0" xfId="2" applyFont="1" applyFill="1"/>
    <xf numFmtId="14" fontId="2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9" fontId="4" fillId="2" borderId="0" xfId="0" applyNumberFormat="1" applyFont="1" applyFill="1"/>
    <xf numFmtId="0" fontId="4" fillId="3" borderId="0" xfId="0" applyFont="1" applyFill="1"/>
    <xf numFmtId="43" fontId="4" fillId="3" borderId="0" xfId="1" applyFont="1" applyFill="1"/>
    <xf numFmtId="9" fontId="4" fillId="3" borderId="0" xfId="2" applyFont="1" applyFill="1"/>
    <xf numFmtId="14" fontId="2" fillId="3" borderId="0" xfId="0" applyNumberFormat="1" applyFont="1" applyFill="1"/>
    <xf numFmtId="0" fontId="3" fillId="3" borderId="0" xfId="0" applyFont="1" applyFill="1"/>
    <xf numFmtId="0" fontId="0" fillId="3" borderId="0" xfId="0" applyFill="1"/>
    <xf numFmtId="164" fontId="4" fillId="2" borderId="0" xfId="2" applyNumberFormat="1" applyFont="1" applyFill="1"/>
    <xf numFmtId="0" fontId="4" fillId="4" borderId="0" xfId="0" applyFont="1" applyFill="1"/>
    <xf numFmtId="43" fontId="4" fillId="4" borderId="0" xfId="1" applyFont="1" applyFill="1"/>
    <xf numFmtId="9" fontId="4" fillId="4" borderId="0" xfId="2" applyFont="1" applyFill="1"/>
    <xf numFmtId="164" fontId="4" fillId="4" borderId="0" xfId="2" applyNumberFormat="1" applyFont="1" applyFill="1"/>
    <xf numFmtId="164" fontId="4" fillId="3" borderId="0" xfId="0" applyNumberFormat="1" applyFont="1" applyFill="1"/>
    <xf numFmtId="14" fontId="2" fillId="5" borderId="0" xfId="0" applyNumberFormat="1" applyFont="1" applyFill="1"/>
    <xf numFmtId="0" fontId="3" fillId="5" borderId="0" xfId="0" applyFont="1" applyFill="1"/>
    <xf numFmtId="0" fontId="0" fillId="5" borderId="0" xfId="0" applyFill="1"/>
    <xf numFmtId="14" fontId="5" fillId="5" borderId="0" xfId="0" applyNumberFormat="1" applyFont="1" applyFill="1"/>
    <xf numFmtId="0" fontId="2" fillId="0" borderId="0" xfId="0" applyFont="1"/>
    <xf numFmtId="0" fontId="5" fillId="0" borderId="0" xfId="0" applyFont="1"/>
    <xf numFmtId="0" fontId="1" fillId="5" borderId="0" xfId="0" applyFont="1" applyFill="1"/>
    <xf numFmtId="9" fontId="0" fillId="5" borderId="0" xfId="0" applyNumberFormat="1" applyFill="1"/>
    <xf numFmtId="10" fontId="0" fillId="5" borderId="0" xfId="0" applyNumberFormat="1" applyFill="1"/>
    <xf numFmtId="43" fontId="0" fillId="5" borderId="0" xfId="1" applyFont="1" applyFill="1"/>
    <xf numFmtId="9" fontId="0" fillId="5" borderId="0" xfId="2" applyFont="1" applyFill="1"/>
    <xf numFmtId="164" fontId="0" fillId="5" borderId="0" xfId="2" applyNumberFormat="1" applyFont="1" applyFill="1"/>
    <xf numFmtId="0" fontId="4" fillId="6" borderId="0" xfId="0" applyFont="1" applyFill="1"/>
    <xf numFmtId="43" fontId="4" fillId="6" borderId="0" xfId="1" applyFont="1" applyFill="1"/>
    <xf numFmtId="9" fontId="4" fillId="6" borderId="0" xfId="2" applyFont="1" applyFill="1"/>
    <xf numFmtId="164" fontId="4" fillId="6" borderId="0" xfId="2" applyNumberFormat="1" applyFon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68"/>
    </sheetView>
  </sheetViews>
  <sheetFormatPr defaultColWidth="14.42578125" defaultRowHeight="15" customHeight="1" x14ac:dyDescent="0.25"/>
  <cols>
    <col min="1" max="1" width="17.85546875" customWidth="1"/>
    <col min="2" max="2" width="42.28515625" customWidth="1"/>
    <col min="3" max="26" width="8.71093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317275</v>
      </c>
    </row>
    <row r="3" spans="1:2" x14ac:dyDescent="0.25">
      <c r="A3" s="1" t="s">
        <v>3</v>
      </c>
      <c r="B3" s="2">
        <v>262339</v>
      </c>
    </row>
    <row r="4" spans="1:2" x14ac:dyDescent="0.25">
      <c r="A4" s="1" t="s">
        <v>4</v>
      </c>
      <c r="B4" s="2">
        <v>303897</v>
      </c>
    </row>
    <row r="5" spans="1:2" x14ac:dyDescent="0.25">
      <c r="A5" s="1" t="s">
        <v>5</v>
      </c>
      <c r="B5" s="2">
        <v>285934</v>
      </c>
    </row>
    <row r="6" spans="1:2" x14ac:dyDescent="0.25">
      <c r="A6" s="1" t="s">
        <v>6</v>
      </c>
      <c r="B6" s="2">
        <v>281147</v>
      </c>
    </row>
    <row r="7" spans="1:2" x14ac:dyDescent="0.25">
      <c r="A7" s="1" t="s">
        <v>7</v>
      </c>
      <c r="B7" s="2">
        <v>284093</v>
      </c>
    </row>
    <row r="8" spans="1:2" x14ac:dyDescent="0.25">
      <c r="A8" s="1" t="s">
        <v>8</v>
      </c>
      <c r="B8" s="2">
        <v>287569</v>
      </c>
    </row>
    <row r="9" spans="1:2" x14ac:dyDescent="0.25">
      <c r="A9" s="1" t="s">
        <v>9</v>
      </c>
      <c r="B9" s="2">
        <v>279111</v>
      </c>
    </row>
    <row r="10" spans="1:2" x14ac:dyDescent="0.25">
      <c r="A10" s="1" t="s">
        <v>10</v>
      </c>
      <c r="B10" s="2">
        <v>289561</v>
      </c>
    </row>
    <row r="11" spans="1:2" x14ac:dyDescent="0.25">
      <c r="A11" s="1" t="s">
        <v>11</v>
      </c>
      <c r="B11" s="2">
        <v>272678</v>
      </c>
    </row>
    <row r="12" spans="1:2" x14ac:dyDescent="0.25">
      <c r="A12" s="1" t="s">
        <v>12</v>
      </c>
      <c r="B12" s="2">
        <v>273248</v>
      </c>
    </row>
    <row r="13" spans="1:2" x14ac:dyDescent="0.25">
      <c r="A13" s="1" t="s">
        <v>13</v>
      </c>
      <c r="B13" s="2">
        <v>265615</v>
      </c>
    </row>
    <row r="14" spans="1:2" x14ac:dyDescent="0.25">
      <c r="A14" s="1" t="s">
        <v>14</v>
      </c>
      <c r="B14" s="2">
        <v>274568</v>
      </c>
    </row>
    <row r="15" spans="1:2" x14ac:dyDescent="0.25">
      <c r="A15" s="1" t="s">
        <v>15</v>
      </c>
      <c r="B15" s="2">
        <v>253150</v>
      </c>
    </row>
    <row r="16" spans="1:2" x14ac:dyDescent="0.25">
      <c r="A16" s="1" t="s">
        <v>16</v>
      </c>
      <c r="B16" s="2">
        <v>299033</v>
      </c>
    </row>
    <row r="17" spans="1:2" x14ac:dyDescent="0.25">
      <c r="A17" s="1" t="s">
        <v>17</v>
      </c>
      <c r="B17" s="2">
        <v>302836</v>
      </c>
    </row>
    <row r="18" spans="1:2" x14ac:dyDescent="0.25">
      <c r="A18" s="1" t="s">
        <v>18</v>
      </c>
      <c r="B18" s="2">
        <v>310396</v>
      </c>
    </row>
    <row r="19" spans="1:2" x14ac:dyDescent="0.25">
      <c r="A19" s="1" t="s">
        <v>19</v>
      </c>
      <c r="B19" s="2">
        <v>310153</v>
      </c>
    </row>
    <row r="20" spans="1:2" x14ac:dyDescent="0.25">
      <c r="A20" s="1" t="s">
        <v>20</v>
      </c>
      <c r="B20" s="2">
        <v>318991</v>
      </c>
    </row>
    <row r="21" spans="1:2" ht="15.75" customHeight="1" x14ac:dyDescent="0.25">
      <c r="A21" s="1" t="s">
        <v>21</v>
      </c>
      <c r="B21" s="2">
        <v>309053</v>
      </c>
    </row>
    <row r="22" spans="1:2" ht="15.75" customHeight="1" x14ac:dyDescent="0.25">
      <c r="A22" s="1" t="s">
        <v>22</v>
      </c>
      <c r="B22" s="2">
        <v>284192</v>
      </c>
    </row>
    <row r="23" spans="1:2" ht="15.75" customHeight="1" x14ac:dyDescent="0.25">
      <c r="A23" s="1" t="s">
        <v>23</v>
      </c>
      <c r="B23" s="2">
        <v>272415</v>
      </c>
    </row>
    <row r="24" spans="1:2" ht="15.75" customHeight="1" x14ac:dyDescent="0.25">
      <c r="A24" s="1" t="s">
        <v>24</v>
      </c>
      <c r="B24" s="2">
        <v>271185</v>
      </c>
    </row>
    <row r="25" spans="1:2" ht="15.75" customHeight="1" x14ac:dyDescent="0.25">
      <c r="A25" s="1" t="s">
        <v>25</v>
      </c>
      <c r="B25" s="2">
        <v>279096</v>
      </c>
    </row>
    <row r="26" spans="1:2" ht="15.75" customHeight="1" x14ac:dyDescent="0.25">
      <c r="A26" s="1" t="s">
        <v>26</v>
      </c>
      <c r="B26" s="2">
        <v>296158</v>
      </c>
    </row>
    <row r="27" spans="1:2" ht="15.75" customHeight="1" x14ac:dyDescent="0.25">
      <c r="A27" s="1" t="s">
        <v>27</v>
      </c>
      <c r="B27" s="2">
        <v>235122</v>
      </c>
    </row>
    <row r="28" spans="1:2" ht="15.75" customHeight="1" x14ac:dyDescent="0.25">
      <c r="A28" s="1" t="s">
        <v>28</v>
      </c>
      <c r="B28" s="2">
        <v>292010</v>
      </c>
    </row>
    <row r="29" spans="1:2" ht="15.75" customHeight="1" x14ac:dyDescent="0.25">
      <c r="A29" s="1" t="s">
        <v>29</v>
      </c>
      <c r="B29" s="2">
        <v>265822</v>
      </c>
    </row>
    <row r="30" spans="1:2" ht="15.75" customHeight="1" x14ac:dyDescent="0.25">
      <c r="A30" s="1" t="s">
        <v>30</v>
      </c>
      <c r="B30" s="2">
        <v>289106</v>
      </c>
    </row>
    <row r="31" spans="1:2" ht="15.75" customHeight="1" x14ac:dyDescent="0.25">
      <c r="A31" s="1" t="s">
        <v>31</v>
      </c>
      <c r="B31" s="2">
        <v>285572</v>
      </c>
    </row>
    <row r="32" spans="1:2" ht="15.75" customHeight="1" x14ac:dyDescent="0.25">
      <c r="A32" s="1" t="s">
        <v>32</v>
      </c>
      <c r="B32" s="2">
        <v>295338</v>
      </c>
    </row>
    <row r="33" spans="1:2" ht="15.75" customHeight="1" x14ac:dyDescent="0.25">
      <c r="A33" s="1" t="s">
        <v>33</v>
      </c>
      <c r="B33" s="2">
        <v>287633</v>
      </c>
    </row>
    <row r="34" spans="1:2" ht="15.75" customHeight="1" x14ac:dyDescent="0.25">
      <c r="A34" s="1" t="s">
        <v>34</v>
      </c>
      <c r="B34" s="2">
        <v>273698</v>
      </c>
    </row>
    <row r="35" spans="1:2" ht="15.75" customHeight="1" x14ac:dyDescent="0.25">
      <c r="A35" s="1" t="s">
        <v>35</v>
      </c>
      <c r="B35" s="2">
        <v>284594</v>
      </c>
    </row>
    <row r="36" spans="1:2" ht="15.75" customHeight="1" x14ac:dyDescent="0.25">
      <c r="A36" s="1" t="s">
        <v>36</v>
      </c>
      <c r="B36" s="2">
        <v>268189</v>
      </c>
    </row>
    <row r="37" spans="1:2" ht="15.75" customHeight="1" x14ac:dyDescent="0.25">
      <c r="A37" s="1" t="s">
        <v>37</v>
      </c>
      <c r="B37" s="2">
        <v>279359</v>
      </c>
    </row>
    <row r="38" spans="1:2" ht="15.75" customHeight="1" x14ac:dyDescent="0.25">
      <c r="A38" s="1" t="s">
        <v>38</v>
      </c>
      <c r="B38" s="2">
        <v>257536</v>
      </c>
    </row>
    <row r="39" spans="1:2" ht="15.75" customHeight="1" x14ac:dyDescent="0.25">
      <c r="A39" s="1" t="s">
        <v>39</v>
      </c>
      <c r="B39" s="2">
        <v>242560</v>
      </c>
    </row>
    <row r="40" spans="1:2" ht="15.75" customHeight="1" x14ac:dyDescent="0.25">
      <c r="A40" s="1" t="s">
        <v>40</v>
      </c>
      <c r="B40" s="2">
        <v>271697</v>
      </c>
    </row>
    <row r="41" spans="1:2" ht="15.75" customHeight="1" x14ac:dyDescent="0.25">
      <c r="A41" s="1" t="s">
        <v>41</v>
      </c>
      <c r="B41" s="2">
        <v>258417</v>
      </c>
    </row>
    <row r="42" spans="1:2" ht="15.75" customHeight="1" x14ac:dyDescent="0.25">
      <c r="A42" s="1" t="s">
        <v>42</v>
      </c>
      <c r="B42" s="2">
        <v>272766</v>
      </c>
    </row>
    <row r="43" spans="1:2" ht="15.75" customHeight="1" x14ac:dyDescent="0.25">
      <c r="A43" s="1" t="s">
        <v>43</v>
      </c>
      <c r="B43" s="2">
        <v>270684</v>
      </c>
    </row>
    <row r="44" spans="1:2" ht="15.75" customHeight="1" x14ac:dyDescent="0.25">
      <c r="A44" s="1" t="s">
        <v>44</v>
      </c>
      <c r="B44" s="2">
        <v>266782</v>
      </c>
    </row>
    <row r="45" spans="1:2" ht="15.75" customHeight="1" x14ac:dyDescent="0.25">
      <c r="A45" s="1" t="s">
        <v>45</v>
      </c>
      <c r="B45" s="2">
        <v>263945</v>
      </c>
    </row>
    <row r="46" spans="1:2" ht="15.75" customHeight="1" x14ac:dyDescent="0.25">
      <c r="A46" s="1" t="s">
        <v>46</v>
      </c>
      <c r="B46" s="2">
        <v>250160</v>
      </c>
    </row>
    <row r="47" spans="1:2" ht="15.75" customHeight="1" x14ac:dyDescent="0.25">
      <c r="A47" s="1" t="s">
        <v>47</v>
      </c>
      <c r="B47" s="2">
        <v>250303</v>
      </c>
    </row>
    <row r="48" spans="1:2" ht="15.75" customHeight="1" x14ac:dyDescent="0.25">
      <c r="A48" s="1" t="s">
        <v>48</v>
      </c>
      <c r="B48" s="2">
        <v>244987</v>
      </c>
    </row>
    <row r="49" spans="1:2" ht="15.75" customHeight="1" x14ac:dyDescent="0.25">
      <c r="A49" s="1" t="s">
        <v>49</v>
      </c>
      <c r="B49" s="2">
        <v>235120</v>
      </c>
    </row>
    <row r="50" spans="1:2" ht="15.75" customHeight="1" x14ac:dyDescent="0.25">
      <c r="A50" s="1" t="s">
        <v>50</v>
      </c>
      <c r="B50" s="2">
        <v>245715</v>
      </c>
    </row>
    <row r="51" spans="1:2" ht="15.75" customHeight="1" x14ac:dyDescent="0.25">
      <c r="A51" s="1" t="s">
        <v>51</v>
      </c>
      <c r="B51" s="2">
        <v>203162</v>
      </c>
    </row>
    <row r="52" spans="1:2" ht="15.75" customHeight="1" x14ac:dyDescent="0.25">
      <c r="A52" s="1" t="s">
        <v>52</v>
      </c>
      <c r="B52" s="2">
        <v>231414</v>
      </c>
    </row>
    <row r="53" spans="1:2" ht="15.75" customHeight="1" x14ac:dyDescent="0.25">
      <c r="A53" s="1" t="s">
        <v>53</v>
      </c>
      <c r="B53" s="2">
        <v>231621</v>
      </c>
    </row>
    <row r="54" spans="1:2" ht="15.75" customHeight="1" x14ac:dyDescent="0.25">
      <c r="A54" s="1" t="s">
        <v>54</v>
      </c>
      <c r="B54" s="2">
        <v>238809</v>
      </c>
    </row>
    <row r="55" spans="1:2" ht="15.75" customHeight="1" x14ac:dyDescent="0.25">
      <c r="A55" s="1" t="s">
        <v>55</v>
      </c>
      <c r="B55" s="2">
        <v>231912</v>
      </c>
    </row>
    <row r="56" spans="1:2" ht="15.75" customHeight="1" x14ac:dyDescent="0.25">
      <c r="A56" s="1" t="s">
        <v>56</v>
      </c>
      <c r="B56" s="2">
        <v>245724</v>
      </c>
    </row>
    <row r="57" spans="1:2" ht="15.75" customHeight="1" x14ac:dyDescent="0.25">
      <c r="A57" s="1" t="s">
        <v>57</v>
      </c>
      <c r="B57" s="2">
        <v>251079</v>
      </c>
    </row>
    <row r="58" spans="1:2" ht="15.75" customHeight="1" x14ac:dyDescent="0.25">
      <c r="A58" s="1" t="s">
        <v>58</v>
      </c>
      <c r="B58" s="2">
        <v>237699</v>
      </c>
    </row>
    <row r="59" spans="1:2" ht="15.75" customHeight="1" x14ac:dyDescent="0.25">
      <c r="A59" s="1" t="s">
        <v>59</v>
      </c>
      <c r="B59" s="2">
        <v>230822</v>
      </c>
    </row>
    <row r="60" spans="1:2" ht="15.75" customHeight="1" x14ac:dyDescent="0.25">
      <c r="A60" s="1" t="s">
        <v>60</v>
      </c>
      <c r="B60" s="2">
        <v>222248</v>
      </c>
    </row>
    <row r="61" spans="1:2" ht="15.75" customHeight="1" x14ac:dyDescent="0.25">
      <c r="A61" s="1" t="s">
        <v>61</v>
      </c>
      <c r="B61" s="2">
        <v>240519</v>
      </c>
    </row>
    <row r="62" spans="1:2" ht="15.75" customHeight="1" x14ac:dyDescent="0.25">
      <c r="A62" s="1" t="s">
        <v>62</v>
      </c>
      <c r="B62" s="2">
        <v>234969</v>
      </c>
    </row>
    <row r="63" spans="1:2" ht="15.75" customHeight="1" x14ac:dyDescent="0.25">
      <c r="A63" s="1" t="s">
        <v>63</v>
      </c>
      <c r="B63" s="2">
        <v>201572</v>
      </c>
    </row>
    <row r="64" spans="1:2" ht="15.75" customHeight="1" x14ac:dyDescent="0.25">
      <c r="A64" s="1" t="s">
        <v>64</v>
      </c>
      <c r="B64" s="2">
        <v>225487</v>
      </c>
    </row>
    <row r="65" spans="1:2" ht="15.75" customHeight="1" x14ac:dyDescent="0.25">
      <c r="A65" s="1" t="s">
        <v>65</v>
      </c>
      <c r="B65" s="2">
        <v>226639</v>
      </c>
    </row>
    <row r="66" spans="1:2" ht="15.75" customHeight="1" x14ac:dyDescent="0.25">
      <c r="A66" s="1" t="s">
        <v>66</v>
      </c>
      <c r="B66" s="2">
        <v>222177</v>
      </c>
    </row>
    <row r="67" spans="1:2" ht="15.75" customHeight="1" x14ac:dyDescent="0.25">
      <c r="A67" s="1" t="s">
        <v>67</v>
      </c>
      <c r="B67" s="2">
        <v>212025</v>
      </c>
    </row>
    <row r="68" spans="1:2" ht="15.75" customHeight="1" x14ac:dyDescent="0.25">
      <c r="A68" s="1" t="s">
        <v>68</v>
      </c>
      <c r="B68" s="2">
        <v>236534</v>
      </c>
    </row>
    <row r="69" spans="1:2" ht="15.75" customHeight="1" x14ac:dyDescent="0.25">
      <c r="A69" s="1" t="s">
        <v>69</v>
      </c>
      <c r="B69" s="2">
        <v>231649</v>
      </c>
    </row>
    <row r="70" spans="1:2" ht="15.75" customHeight="1" x14ac:dyDescent="0.25">
      <c r="A70" s="1" t="s">
        <v>70</v>
      </c>
      <c r="B70" s="2">
        <v>224851</v>
      </c>
    </row>
    <row r="71" spans="1:2" ht="15.75" customHeight="1" x14ac:dyDescent="0.25">
      <c r="A71" s="1" t="s">
        <v>71</v>
      </c>
      <c r="B71" s="2">
        <v>221600</v>
      </c>
    </row>
    <row r="72" spans="1:2" ht="15.75" customHeight="1" x14ac:dyDescent="0.25">
      <c r="A72" s="1" t="s">
        <v>72</v>
      </c>
      <c r="B72" s="2">
        <v>218845</v>
      </c>
    </row>
    <row r="73" spans="1:2" ht="15.75" customHeight="1" x14ac:dyDescent="0.25">
      <c r="A73" s="1" t="s">
        <v>73</v>
      </c>
      <c r="B73" s="2">
        <v>223978</v>
      </c>
    </row>
    <row r="74" spans="1:2" ht="15.75" customHeight="1" x14ac:dyDescent="0.25">
      <c r="A74" s="1" t="s">
        <v>74</v>
      </c>
      <c r="B74" s="2">
        <v>222315</v>
      </c>
    </row>
    <row r="75" spans="1:2" ht="15.75" customHeight="1" x14ac:dyDescent="0.25">
      <c r="A75" s="1" t="s">
        <v>75</v>
      </c>
      <c r="B75" s="2">
        <v>198807</v>
      </c>
    </row>
    <row r="76" spans="1:2" ht="15.75" customHeight="1" x14ac:dyDescent="0.25">
      <c r="A76" s="1" t="s">
        <v>76</v>
      </c>
      <c r="B76" s="2">
        <v>235360</v>
      </c>
    </row>
    <row r="77" spans="1:2" ht="15.75" customHeight="1" x14ac:dyDescent="0.25">
      <c r="A77" s="1" t="s">
        <v>77</v>
      </c>
      <c r="B77" s="2">
        <v>216229</v>
      </c>
    </row>
    <row r="78" spans="1:2" ht="15.75" customHeight="1" x14ac:dyDescent="0.25">
      <c r="A78" s="1" t="s">
        <v>78</v>
      </c>
      <c r="B78" s="2">
        <v>224604</v>
      </c>
    </row>
    <row r="79" spans="1:2" ht="15.75" customHeight="1" x14ac:dyDescent="0.25">
      <c r="A79" s="1" t="s">
        <v>79</v>
      </c>
      <c r="B79" s="2">
        <v>219618</v>
      </c>
    </row>
    <row r="80" spans="1:2" ht="15.75" customHeight="1" x14ac:dyDescent="0.25">
      <c r="A80" s="1" t="s">
        <v>80</v>
      </c>
      <c r="B80" s="2">
        <v>228160</v>
      </c>
    </row>
    <row r="81" spans="1:2" ht="15.75" customHeight="1" x14ac:dyDescent="0.25">
      <c r="A81" s="1" t="s">
        <v>81</v>
      </c>
      <c r="B81" s="2">
        <v>239212</v>
      </c>
    </row>
    <row r="82" spans="1:2" ht="15.75" customHeight="1" x14ac:dyDescent="0.25">
      <c r="A82" s="1" t="s">
        <v>82</v>
      </c>
      <c r="B82" s="2">
        <v>216838</v>
      </c>
    </row>
    <row r="83" spans="1:2" ht="15.75" customHeight="1" x14ac:dyDescent="0.25">
      <c r="A83" s="1" t="s">
        <v>83</v>
      </c>
      <c r="B83" s="2">
        <v>220171</v>
      </c>
    </row>
    <row r="84" spans="1:2" ht="15.75" customHeight="1" x14ac:dyDescent="0.25">
      <c r="A84" s="1" t="s">
        <v>84</v>
      </c>
      <c r="B84" s="2">
        <v>221130</v>
      </c>
    </row>
    <row r="85" spans="1:2" ht="15.75" customHeight="1" x14ac:dyDescent="0.25">
      <c r="A85" s="1" t="s">
        <v>85</v>
      </c>
      <c r="B85" s="2">
        <v>244965</v>
      </c>
    </row>
    <row r="86" spans="1:2" ht="15.75" customHeight="1" x14ac:dyDescent="0.25">
      <c r="A86" s="1" t="s">
        <v>86</v>
      </c>
      <c r="B86" s="2">
        <v>236065</v>
      </c>
    </row>
    <row r="87" spans="1:2" ht="15.75" customHeight="1" x14ac:dyDescent="0.25">
      <c r="A87" s="1" t="s">
        <v>87</v>
      </c>
      <c r="B87" s="2">
        <v>229492</v>
      </c>
    </row>
    <row r="88" spans="1:2" ht="15.75" customHeight="1" x14ac:dyDescent="0.25">
      <c r="A88" s="1" t="s">
        <v>88</v>
      </c>
      <c r="B88" s="2">
        <v>248383</v>
      </c>
    </row>
    <row r="89" spans="1:2" ht="15.75" customHeight="1" x14ac:dyDescent="0.25">
      <c r="A89" s="1" t="s">
        <v>89</v>
      </c>
      <c r="B89" s="2">
        <v>228344</v>
      </c>
    </row>
    <row r="90" spans="1:2" ht="15.75" customHeight="1" x14ac:dyDescent="0.25">
      <c r="A90" s="1" t="s">
        <v>90</v>
      </c>
      <c r="B90" s="2">
        <v>245749</v>
      </c>
    </row>
    <row r="91" spans="1:2" ht="15.75" customHeight="1" x14ac:dyDescent="0.25">
      <c r="A91" s="1" t="s">
        <v>91</v>
      </c>
      <c r="B91" s="2">
        <v>226802</v>
      </c>
    </row>
    <row r="92" spans="1:2" ht="15.75" customHeight="1" x14ac:dyDescent="0.25">
      <c r="A92" s="1" t="s">
        <v>92</v>
      </c>
      <c r="B92" s="2">
        <v>250986</v>
      </c>
    </row>
    <row r="93" spans="1:2" ht="15.75" customHeight="1" x14ac:dyDescent="0.25">
      <c r="A93" s="1" t="s">
        <v>93</v>
      </c>
      <c r="B93" s="2">
        <v>248482</v>
      </c>
    </row>
    <row r="94" spans="1:2" ht="15.75" customHeight="1" x14ac:dyDescent="0.25">
      <c r="A94" s="1" t="s">
        <v>94</v>
      </c>
      <c r="B94" s="2">
        <v>241213</v>
      </c>
    </row>
    <row r="95" spans="1:2" ht="15.75" customHeight="1" x14ac:dyDescent="0.25">
      <c r="A95" s="1" t="s">
        <v>95</v>
      </c>
      <c r="B95" s="2">
        <v>234666</v>
      </c>
    </row>
    <row r="96" spans="1:2" ht="15.75" customHeight="1" x14ac:dyDescent="0.25">
      <c r="A96" s="1" t="s">
        <v>96</v>
      </c>
      <c r="B96" s="2">
        <v>240691</v>
      </c>
    </row>
    <row r="97" spans="1:2" ht="15.75" customHeight="1" x14ac:dyDescent="0.25">
      <c r="A97" s="1" t="s">
        <v>97</v>
      </c>
      <c r="B97" s="2">
        <v>242213</v>
      </c>
    </row>
    <row r="98" spans="1:2" ht="15.75" customHeight="1" x14ac:dyDescent="0.25">
      <c r="A98" s="1" t="s">
        <v>98</v>
      </c>
      <c r="B98" s="2">
        <v>262811</v>
      </c>
    </row>
    <row r="99" spans="1:2" ht="15.75" customHeight="1" x14ac:dyDescent="0.25">
      <c r="A99" s="1" t="s">
        <v>99</v>
      </c>
      <c r="B99" s="2">
        <v>220558</v>
      </c>
    </row>
    <row r="100" spans="1:2" ht="15.75" customHeight="1" x14ac:dyDescent="0.25">
      <c r="A100" s="1" t="s">
        <v>100</v>
      </c>
      <c r="B100" s="2">
        <v>253114</v>
      </c>
    </row>
    <row r="101" spans="1:2" ht="15.75" customHeight="1" x14ac:dyDescent="0.25">
      <c r="A101" s="1" t="s">
        <v>101</v>
      </c>
      <c r="B101" s="2">
        <v>246132</v>
      </c>
    </row>
    <row r="102" spans="1:2" ht="15.75" customHeight="1" x14ac:dyDescent="0.25">
      <c r="A102" s="1" t="s">
        <v>102</v>
      </c>
      <c r="B102" s="2">
        <v>264554</v>
      </c>
    </row>
    <row r="103" spans="1:2" ht="15.75" customHeight="1" x14ac:dyDescent="0.25">
      <c r="A103" s="1" t="s">
        <v>103</v>
      </c>
      <c r="B103" s="2">
        <v>242677</v>
      </c>
    </row>
    <row r="104" spans="1:2" ht="15.75" customHeight="1" x14ac:dyDescent="0.25">
      <c r="A104" s="1" t="s">
        <v>104</v>
      </c>
      <c r="B104" s="2">
        <v>245369</v>
      </c>
    </row>
    <row r="105" spans="1:2" ht="15.75" customHeight="1" x14ac:dyDescent="0.25">
      <c r="A105" s="1" t="s">
        <v>105</v>
      </c>
      <c r="B105" s="2">
        <v>245611</v>
      </c>
    </row>
    <row r="106" spans="1:2" ht="15.75" customHeight="1" x14ac:dyDescent="0.25">
      <c r="A106" s="1" t="s">
        <v>106</v>
      </c>
      <c r="B106" s="2">
        <v>219708</v>
      </c>
    </row>
    <row r="107" spans="1:2" ht="15.75" customHeight="1" x14ac:dyDescent="0.25">
      <c r="A107" s="1" t="s">
        <v>107</v>
      </c>
      <c r="B107" s="2">
        <v>238109</v>
      </c>
    </row>
    <row r="108" spans="1:2" ht="15.75" customHeight="1" x14ac:dyDescent="0.25">
      <c r="A108" s="1" t="s">
        <v>108</v>
      </c>
      <c r="B108" s="2">
        <v>230230</v>
      </c>
    </row>
    <row r="109" spans="1:2" ht="15.75" customHeight="1" x14ac:dyDescent="0.25">
      <c r="A109" s="1" t="s">
        <v>109</v>
      </c>
      <c r="B109" s="2">
        <v>241245</v>
      </c>
    </row>
    <row r="110" spans="1:2" ht="15.75" customHeight="1" x14ac:dyDescent="0.25">
      <c r="A110" s="1" t="s">
        <v>110</v>
      </c>
      <c r="B110" s="2">
        <v>248552</v>
      </c>
    </row>
    <row r="111" spans="1:2" ht="15.75" customHeight="1" x14ac:dyDescent="0.25">
      <c r="A111" s="1" t="s">
        <v>111</v>
      </c>
      <c r="B111" s="2">
        <v>209942</v>
      </c>
    </row>
    <row r="112" spans="1:2" ht="15.75" customHeight="1" x14ac:dyDescent="0.25">
      <c r="A112" s="1" t="s">
        <v>112</v>
      </c>
      <c r="B112" s="2">
        <v>236216</v>
      </c>
    </row>
    <row r="113" spans="1:2" ht="15.75" customHeight="1" x14ac:dyDescent="0.25">
      <c r="A113" s="1" t="s">
        <v>113</v>
      </c>
      <c r="B113" s="2">
        <v>247608</v>
      </c>
    </row>
    <row r="114" spans="1:2" ht="15.75" customHeight="1" x14ac:dyDescent="0.25">
      <c r="A114" s="1" t="s">
        <v>114</v>
      </c>
      <c r="B114" s="2">
        <v>242857</v>
      </c>
    </row>
    <row r="115" spans="1:2" ht="15.75" customHeight="1" x14ac:dyDescent="0.25">
      <c r="A115" s="1" t="s">
        <v>115</v>
      </c>
      <c r="B115" s="2">
        <v>254283</v>
      </c>
    </row>
    <row r="116" spans="1:2" ht="15.75" customHeight="1" x14ac:dyDescent="0.25">
      <c r="A116" s="1" t="s">
        <v>116</v>
      </c>
      <c r="B116" s="2">
        <v>246671</v>
      </c>
    </row>
    <row r="117" spans="1:2" ht="15.75" customHeight="1" x14ac:dyDescent="0.25">
      <c r="A117" s="1" t="s">
        <v>117</v>
      </c>
      <c r="B117" s="2">
        <v>247656</v>
      </c>
    </row>
    <row r="118" spans="1:2" ht="15.75" customHeight="1" x14ac:dyDescent="0.25">
      <c r="A118" s="1" t="s">
        <v>118</v>
      </c>
      <c r="B118" s="2">
        <v>227795</v>
      </c>
    </row>
    <row r="119" spans="1:2" ht="15.75" customHeight="1" x14ac:dyDescent="0.25">
      <c r="A119" s="1" t="s">
        <v>119</v>
      </c>
      <c r="B119" s="2">
        <v>227975</v>
      </c>
    </row>
    <row r="120" spans="1:2" ht="15.75" customHeight="1" x14ac:dyDescent="0.25">
      <c r="A120" s="1" t="s">
        <v>120</v>
      </c>
      <c r="B120" s="2">
        <v>226251</v>
      </c>
    </row>
    <row r="121" spans="1:2" ht="15.75" customHeight="1" x14ac:dyDescent="0.25">
      <c r="A121" s="1" t="s">
        <v>121</v>
      </c>
      <c r="B121" s="2">
        <v>219240</v>
      </c>
    </row>
    <row r="122" spans="1:2" ht="15.75" customHeight="1" x14ac:dyDescent="0.25">
      <c r="A122" s="1" t="s">
        <v>122</v>
      </c>
      <c r="B122" s="2">
        <v>234307</v>
      </c>
    </row>
    <row r="123" spans="1:2" ht="15.75" customHeight="1" x14ac:dyDescent="0.25">
      <c r="A123" s="1" t="s">
        <v>123</v>
      </c>
      <c r="B123" s="2">
        <v>178257</v>
      </c>
    </row>
    <row r="124" spans="1:2" ht="15.75" customHeight="1" x14ac:dyDescent="0.25">
      <c r="A124" s="1" t="s">
        <v>124</v>
      </c>
      <c r="B124" s="2">
        <v>210276</v>
      </c>
    </row>
    <row r="125" spans="1:2" ht="15.75" customHeight="1" x14ac:dyDescent="0.25">
      <c r="A125" s="1" t="s">
        <v>125</v>
      </c>
      <c r="B125" s="2">
        <v>209958</v>
      </c>
    </row>
    <row r="126" spans="1:2" ht="15.75" customHeight="1" x14ac:dyDescent="0.25">
      <c r="A126" s="1" t="s">
        <v>126</v>
      </c>
      <c r="B126" s="2">
        <v>221259</v>
      </c>
    </row>
    <row r="127" spans="1:2" ht="15.75" customHeight="1" x14ac:dyDescent="0.25">
      <c r="A127" s="1" t="s">
        <v>127</v>
      </c>
      <c r="B127" s="2">
        <v>214563</v>
      </c>
    </row>
    <row r="128" spans="1:2" ht="15.75" customHeight="1" x14ac:dyDescent="0.25">
      <c r="A128" s="1" t="s">
        <v>128</v>
      </c>
      <c r="B128" s="2">
        <v>215083</v>
      </c>
    </row>
    <row r="129" spans="1:2" ht="15.75" customHeight="1" x14ac:dyDescent="0.25">
      <c r="A129" s="1" t="s">
        <v>129</v>
      </c>
      <c r="B129" s="2">
        <v>215273</v>
      </c>
    </row>
    <row r="130" spans="1:2" ht="15.75" customHeight="1" x14ac:dyDescent="0.25">
      <c r="A130" s="1" t="s">
        <v>130</v>
      </c>
      <c r="B130" s="2">
        <v>194485</v>
      </c>
    </row>
    <row r="131" spans="1:2" ht="15.75" customHeight="1" x14ac:dyDescent="0.25">
      <c r="A131" s="1" t="s">
        <v>131</v>
      </c>
      <c r="B131" s="2">
        <v>193493</v>
      </c>
    </row>
    <row r="132" spans="1:2" ht="15.75" customHeight="1" x14ac:dyDescent="0.25">
      <c r="A132" s="1" t="s">
        <v>132</v>
      </c>
      <c r="B132" s="2">
        <v>174531</v>
      </c>
    </row>
    <row r="133" spans="1:2" ht="15.75" customHeight="1" x14ac:dyDescent="0.25">
      <c r="A133" s="1" t="s">
        <v>133</v>
      </c>
      <c r="B133" s="2">
        <v>211837</v>
      </c>
    </row>
    <row r="134" spans="1:2" ht="15.75" customHeight="1" x14ac:dyDescent="0.25">
      <c r="A134" s="1" t="s">
        <v>134</v>
      </c>
      <c r="B134" s="2">
        <v>198663</v>
      </c>
    </row>
    <row r="135" spans="1:2" ht="15.75" customHeight="1" x14ac:dyDescent="0.25">
      <c r="A135" s="1" t="s">
        <v>135</v>
      </c>
      <c r="B135" s="2">
        <v>189060</v>
      </c>
    </row>
    <row r="136" spans="1:2" ht="15.75" customHeight="1" x14ac:dyDescent="0.25">
      <c r="A136" s="1" t="s">
        <v>136</v>
      </c>
      <c r="B136" s="2">
        <v>195181</v>
      </c>
    </row>
    <row r="137" spans="1:2" ht="15.75" customHeight="1" x14ac:dyDescent="0.25">
      <c r="A137" s="1" t="s">
        <v>137</v>
      </c>
      <c r="B137" s="2">
        <v>165586</v>
      </c>
    </row>
    <row r="138" spans="1:2" ht="15.75" customHeight="1" x14ac:dyDescent="0.25">
      <c r="A138" s="1" t="s">
        <v>138</v>
      </c>
      <c r="B138" s="2">
        <v>188693</v>
      </c>
    </row>
    <row r="139" spans="1:2" ht="15.75" customHeight="1" x14ac:dyDescent="0.25">
      <c r="A139" s="1" t="s">
        <v>139</v>
      </c>
      <c r="B139" s="2">
        <v>191919</v>
      </c>
    </row>
    <row r="140" spans="1:2" ht="15.75" customHeight="1" x14ac:dyDescent="0.25">
      <c r="A140" s="1" t="s">
        <v>140</v>
      </c>
      <c r="B140" s="2">
        <v>183087</v>
      </c>
    </row>
    <row r="141" spans="1:2" ht="15.75" customHeight="1" x14ac:dyDescent="0.25">
      <c r="A141" s="1" t="s">
        <v>141</v>
      </c>
      <c r="B141" s="2">
        <v>168406</v>
      </c>
    </row>
    <row r="142" spans="1:2" ht="15.75" customHeight="1" x14ac:dyDescent="0.25">
      <c r="A142" s="1" t="s">
        <v>142</v>
      </c>
      <c r="B142" s="2">
        <v>161926</v>
      </c>
    </row>
    <row r="143" spans="1:2" ht="15.75" customHeight="1" x14ac:dyDescent="0.25">
      <c r="A143" s="1" t="s">
        <v>143</v>
      </c>
      <c r="B143" s="2">
        <v>164494</v>
      </c>
    </row>
    <row r="144" spans="1:2" ht="15.75" customHeight="1" x14ac:dyDescent="0.25">
      <c r="A144" s="1" t="s">
        <v>144</v>
      </c>
      <c r="B144" s="2">
        <v>168655</v>
      </c>
    </row>
    <row r="145" spans="1:2" ht="15.75" customHeight="1" x14ac:dyDescent="0.25">
      <c r="A145" s="1" t="s">
        <v>145</v>
      </c>
      <c r="B145" s="2">
        <v>178597</v>
      </c>
    </row>
    <row r="146" spans="1:2" ht="15.75" customHeight="1" x14ac:dyDescent="0.25">
      <c r="A146" s="1" t="s">
        <v>146</v>
      </c>
      <c r="B146" s="2">
        <v>181197</v>
      </c>
    </row>
    <row r="147" spans="1:2" ht="15.75" customHeight="1" x14ac:dyDescent="0.25">
      <c r="A147" s="1" t="s">
        <v>147</v>
      </c>
      <c r="B147" s="2">
        <v>156503</v>
      </c>
    </row>
    <row r="148" spans="1:2" ht="15.75" customHeight="1" x14ac:dyDescent="0.25">
      <c r="A148" s="1" t="s">
        <v>148</v>
      </c>
      <c r="B148" s="2">
        <v>180396</v>
      </c>
    </row>
    <row r="149" spans="1:2" ht="15.75" customHeight="1" x14ac:dyDescent="0.25">
      <c r="A149" s="1" t="s">
        <v>149</v>
      </c>
      <c r="B149" s="2">
        <v>174563</v>
      </c>
    </row>
    <row r="150" spans="1:2" ht="15.75" customHeight="1" x14ac:dyDescent="0.25">
      <c r="A150" s="1" t="s">
        <v>150</v>
      </c>
      <c r="B150" s="2">
        <v>180654</v>
      </c>
    </row>
    <row r="151" spans="1:2" ht="15.75" customHeight="1" x14ac:dyDescent="0.25">
      <c r="A151" s="1" t="s">
        <v>151</v>
      </c>
      <c r="B151" s="2">
        <v>198207</v>
      </c>
    </row>
    <row r="152" spans="1:2" ht="15.75" customHeight="1" x14ac:dyDescent="0.25">
      <c r="A152" s="1" t="s">
        <v>152</v>
      </c>
      <c r="B152" s="2">
        <v>198342</v>
      </c>
    </row>
    <row r="153" spans="1:2" ht="15.75" customHeight="1" x14ac:dyDescent="0.25">
      <c r="A153" s="1" t="s">
        <v>153</v>
      </c>
      <c r="B153" s="2">
        <v>193331</v>
      </c>
    </row>
    <row r="154" spans="1:2" ht="15.75" customHeight="1" x14ac:dyDescent="0.25">
      <c r="A154" s="1" t="s">
        <v>154</v>
      </c>
      <c r="B154" s="2">
        <v>195755</v>
      </c>
    </row>
    <row r="155" spans="1:2" ht="15.75" customHeight="1" x14ac:dyDescent="0.25">
      <c r="A155" s="1" t="s">
        <v>155</v>
      </c>
      <c r="B155" s="2">
        <v>185112</v>
      </c>
    </row>
    <row r="156" spans="1:2" ht="15.75" customHeight="1" x14ac:dyDescent="0.25">
      <c r="A156" s="1" t="s">
        <v>156</v>
      </c>
      <c r="B156" s="2">
        <v>190010</v>
      </c>
    </row>
    <row r="157" spans="1:2" ht="15.75" customHeight="1" x14ac:dyDescent="0.25">
      <c r="A157" s="1" t="s">
        <v>157</v>
      </c>
      <c r="B157" s="2">
        <v>199289</v>
      </c>
    </row>
    <row r="158" spans="1:2" ht="15.75" customHeight="1" x14ac:dyDescent="0.25">
      <c r="A158" s="1" t="s">
        <v>158</v>
      </c>
      <c r="B158" s="2">
        <v>197873</v>
      </c>
    </row>
    <row r="159" spans="1:2" ht="15.75" customHeight="1" x14ac:dyDescent="0.25">
      <c r="A159" s="1" t="s">
        <v>159</v>
      </c>
      <c r="B159" s="2">
        <v>172325</v>
      </c>
    </row>
    <row r="160" spans="1:2" ht="15.75" customHeight="1" x14ac:dyDescent="0.25">
      <c r="A160" s="1" t="s">
        <v>160</v>
      </c>
      <c r="B160" s="2">
        <v>198883</v>
      </c>
    </row>
    <row r="161" spans="1:2" ht="15.75" customHeight="1" x14ac:dyDescent="0.25">
      <c r="A161" s="1" t="s">
        <v>161</v>
      </c>
      <c r="B161" s="2">
        <v>181770</v>
      </c>
    </row>
    <row r="162" spans="1:2" ht="15.75" customHeight="1" x14ac:dyDescent="0.25">
      <c r="A162" s="1" t="s">
        <v>162</v>
      </c>
      <c r="B162" s="2">
        <v>191050</v>
      </c>
    </row>
    <row r="163" spans="1:2" ht="15.75" customHeight="1" x14ac:dyDescent="0.25">
      <c r="A163" s="1" t="s">
        <v>163</v>
      </c>
      <c r="B163" s="2">
        <v>194195</v>
      </c>
    </row>
    <row r="164" spans="1:2" ht="15.75" customHeight="1" x14ac:dyDescent="0.25">
      <c r="A164" s="1" t="s">
        <v>164</v>
      </c>
      <c r="B164" s="2">
        <v>204719</v>
      </c>
    </row>
    <row r="165" spans="1:2" ht="15.75" customHeight="1" x14ac:dyDescent="0.25">
      <c r="A165" s="1" t="s">
        <v>165</v>
      </c>
      <c r="B165" s="2">
        <v>196232</v>
      </c>
    </row>
    <row r="166" spans="1:2" ht="15.75" customHeight="1" x14ac:dyDescent="0.25">
      <c r="A166" s="1" t="s">
        <v>166</v>
      </c>
      <c r="B166" s="2">
        <v>188048</v>
      </c>
    </row>
    <row r="167" spans="1:2" ht="15.75" customHeight="1" x14ac:dyDescent="0.25">
      <c r="A167" s="1" t="s">
        <v>167</v>
      </c>
      <c r="B167" s="2">
        <v>193347</v>
      </c>
    </row>
    <row r="168" spans="1:2" ht="15.75" customHeight="1" x14ac:dyDescent="0.25">
      <c r="A168" s="1" t="s">
        <v>168</v>
      </c>
      <c r="B168" s="2">
        <v>187292</v>
      </c>
    </row>
    <row r="169" spans="1:2" ht="15.75" customHeight="1" x14ac:dyDescent="0.25">
      <c r="A169" s="1"/>
    </row>
    <row r="170" spans="1:2" ht="15.75" customHeight="1" x14ac:dyDescent="0.25">
      <c r="A170" s="1"/>
    </row>
    <row r="171" spans="1:2" ht="15.75" customHeight="1" x14ac:dyDescent="0.25">
      <c r="A171" s="1"/>
    </row>
    <row r="172" spans="1:2" ht="15.75" customHeight="1" x14ac:dyDescent="0.25">
      <c r="A172" s="1"/>
    </row>
    <row r="173" spans="1:2" ht="15.75" customHeight="1" x14ac:dyDescent="0.25">
      <c r="A173" s="1"/>
    </row>
    <row r="174" spans="1:2" ht="15.75" customHeight="1" x14ac:dyDescent="0.25">
      <c r="A174" s="1"/>
    </row>
    <row r="175" spans="1:2" ht="15.75" customHeight="1" x14ac:dyDescent="0.25">
      <c r="A175" s="1"/>
    </row>
    <row r="176" spans="1:2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606B-2EA8-4C4F-98E6-9912A0311F2A}">
  <dimension ref="A1:K6"/>
  <sheetViews>
    <sheetView tabSelected="1" workbookViewId="0">
      <selection activeCell="E14" sqref="E14"/>
    </sheetView>
  </sheetViews>
  <sheetFormatPr defaultRowHeight="15" x14ac:dyDescent="0.25"/>
  <cols>
    <col min="1" max="1" width="13.140625" customWidth="1"/>
    <col min="2" max="2" width="15.28515625" bestFit="1" customWidth="1"/>
    <col min="4" max="4" width="15.42578125" bestFit="1" customWidth="1"/>
    <col min="5" max="5" width="15.28515625" bestFit="1" customWidth="1"/>
    <col min="7" max="7" width="24.28515625" bestFit="1" customWidth="1"/>
    <col min="8" max="8" width="15.28515625" bestFit="1" customWidth="1"/>
    <col min="10" max="10" width="16.28515625" customWidth="1"/>
    <col min="11" max="11" width="15.28515625" bestFit="1" customWidth="1"/>
  </cols>
  <sheetData>
    <row r="1" spans="1:11" x14ac:dyDescent="0.25">
      <c r="A1" s="5" t="s">
        <v>179</v>
      </c>
      <c r="B1" s="5"/>
      <c r="D1" s="36" t="s">
        <v>180</v>
      </c>
      <c r="E1" s="36"/>
      <c r="G1" s="19" t="s">
        <v>181</v>
      </c>
      <c r="H1" s="19"/>
      <c r="J1" s="30" t="s">
        <v>190</v>
      </c>
      <c r="K1" s="26"/>
    </row>
    <row r="2" spans="1:11" x14ac:dyDescent="0.25">
      <c r="A2" s="5" t="s">
        <v>174</v>
      </c>
      <c r="B2" s="5"/>
      <c r="D2" s="36" t="s">
        <v>174</v>
      </c>
      <c r="E2" s="36"/>
      <c r="G2" s="19" t="s">
        <v>174</v>
      </c>
      <c r="H2" s="19"/>
      <c r="J2" s="26" t="s">
        <v>174</v>
      </c>
      <c r="K2" s="26"/>
    </row>
    <row r="3" spans="1:11" x14ac:dyDescent="0.25">
      <c r="A3" s="5" t="s">
        <v>175</v>
      </c>
      <c r="B3" s="6">
        <v>13342.126506024097</v>
      </c>
      <c r="D3" s="36" t="s">
        <v>175</v>
      </c>
      <c r="E3" s="37">
        <v>11371.063034188039</v>
      </c>
      <c r="G3" s="19" t="s">
        <v>175</v>
      </c>
      <c r="H3" s="20">
        <v>11869.428165299623</v>
      </c>
      <c r="J3" s="26" t="s">
        <v>175</v>
      </c>
      <c r="K3" s="33">
        <v>14457.792828581645</v>
      </c>
    </row>
    <row r="4" spans="1:11" x14ac:dyDescent="0.25">
      <c r="A4" s="5" t="s">
        <v>176</v>
      </c>
      <c r="B4" s="6">
        <v>327009534.40361446</v>
      </c>
      <c r="D4" s="36" t="s">
        <v>176</v>
      </c>
      <c r="E4" s="37">
        <v>232192337.4171119</v>
      </c>
      <c r="G4" s="19" t="s">
        <v>176</v>
      </c>
      <c r="H4" s="20">
        <v>249286578.46607062</v>
      </c>
      <c r="J4" s="26" t="s">
        <v>176</v>
      </c>
      <c r="K4" s="33">
        <v>289353722.48062128</v>
      </c>
    </row>
    <row r="5" spans="1:11" x14ac:dyDescent="0.25">
      <c r="A5" s="5" t="s">
        <v>177</v>
      </c>
      <c r="B5" s="7">
        <v>5.8448399359778393E-2</v>
      </c>
      <c r="D5" s="36" t="s">
        <v>177</v>
      </c>
      <c r="E5" s="38">
        <v>5.1152540564654715E-2</v>
      </c>
      <c r="G5" s="19" t="s">
        <v>177</v>
      </c>
      <c r="H5" s="21">
        <v>5.2295579334244946E-2</v>
      </c>
      <c r="J5" s="26" t="s">
        <v>177</v>
      </c>
      <c r="K5" s="34">
        <v>6.3612903916517388E-2</v>
      </c>
    </row>
    <row r="6" spans="1:11" x14ac:dyDescent="0.25">
      <c r="A6" s="5" t="s">
        <v>178</v>
      </c>
      <c r="B6" s="18">
        <v>0.94155160064022159</v>
      </c>
      <c r="D6" s="36" t="s">
        <v>178</v>
      </c>
      <c r="E6" s="39">
        <v>0.94884745943534532</v>
      </c>
      <c r="G6" s="19" t="s">
        <v>178</v>
      </c>
      <c r="H6" s="22">
        <v>0.947704420665755</v>
      </c>
      <c r="J6" s="26" t="s">
        <v>178</v>
      </c>
      <c r="K6" s="35">
        <v>0.93638709608348258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L5" sqref="L5"/>
    </sheetView>
  </sheetViews>
  <sheetFormatPr defaultColWidth="14.42578125" defaultRowHeight="15" customHeight="1" x14ac:dyDescent="0.25"/>
  <cols>
    <col min="1" max="1" width="17.85546875" customWidth="1"/>
    <col min="2" max="2" width="42.28515625" customWidth="1"/>
    <col min="3" max="3" width="18.28515625" bestFit="1" customWidth="1"/>
    <col min="4" max="4" width="14.140625" customWidth="1"/>
    <col min="5" max="5" width="17.7109375" customWidth="1"/>
    <col min="6" max="6" width="17.140625" customWidth="1"/>
    <col min="7" max="7" width="17.5703125" customWidth="1"/>
    <col min="8" max="10" width="8.7109375" customWidth="1"/>
    <col min="11" max="11" width="15" customWidth="1"/>
    <col min="12" max="12" width="16.85546875" customWidth="1"/>
    <col min="13" max="26" width="8.7109375" customWidth="1"/>
  </cols>
  <sheetData>
    <row r="1" spans="1:12" x14ac:dyDescent="0.25">
      <c r="A1" s="8" t="s">
        <v>0</v>
      </c>
      <c r="B1" s="9" t="s">
        <v>1</v>
      </c>
      <c r="C1" s="10" t="s">
        <v>169</v>
      </c>
      <c r="D1" s="10" t="s">
        <v>170</v>
      </c>
      <c r="E1" s="10" t="s">
        <v>171</v>
      </c>
      <c r="F1" s="10" t="s">
        <v>172</v>
      </c>
      <c r="G1" s="10" t="s">
        <v>173</v>
      </c>
      <c r="K1" s="5" t="s">
        <v>174</v>
      </c>
      <c r="L1" s="5"/>
    </row>
    <row r="2" spans="1:12" x14ac:dyDescent="0.25">
      <c r="A2" s="1" t="s">
        <v>2</v>
      </c>
      <c r="B2" s="2">
        <v>317275</v>
      </c>
      <c r="K2" s="5" t="s">
        <v>175</v>
      </c>
      <c r="L2" s="6">
        <f>AVERAGE(E3:E168)</f>
        <v>13342.126506024097</v>
      </c>
    </row>
    <row r="3" spans="1:12" x14ac:dyDescent="0.25">
      <c r="A3" s="1" t="s">
        <v>3</v>
      </c>
      <c r="B3" s="2">
        <v>262339</v>
      </c>
      <c r="C3">
        <f>B2</f>
        <v>317275</v>
      </c>
      <c r="D3">
        <f>B3-C3</f>
        <v>-54936</v>
      </c>
      <c r="E3">
        <f>ABS(D3)</f>
        <v>54936</v>
      </c>
      <c r="F3">
        <f>E3^2</f>
        <v>3017964096</v>
      </c>
      <c r="G3">
        <f>E3/B3</f>
        <v>0.20940843717480054</v>
      </c>
      <c r="K3" s="5" t="s">
        <v>176</v>
      </c>
      <c r="L3" s="6">
        <f>AVERAGE(F3:F168)</f>
        <v>327009534.40361446</v>
      </c>
    </row>
    <row r="4" spans="1:12" x14ac:dyDescent="0.25">
      <c r="A4" s="1" t="s">
        <v>4</v>
      </c>
      <c r="B4" s="2">
        <v>303897</v>
      </c>
      <c r="C4">
        <f t="shared" ref="C4:C67" si="0">B3</f>
        <v>262339</v>
      </c>
      <c r="D4">
        <f t="shared" ref="D4:D67" si="1">B4-C4</f>
        <v>41558</v>
      </c>
      <c r="E4">
        <f t="shared" ref="E4:E67" si="2">ABS(D4)</f>
        <v>41558</v>
      </c>
      <c r="F4">
        <f t="shared" ref="F4:F67" si="3">E4^2</f>
        <v>1727067364</v>
      </c>
      <c r="G4">
        <f t="shared" ref="G4:G67" si="4">E4/B4</f>
        <v>0.1367502805226771</v>
      </c>
      <c r="K4" s="5" t="s">
        <v>177</v>
      </c>
      <c r="L4" s="7">
        <f>AVERAGE(G3:G168)</f>
        <v>5.8448399359778393E-2</v>
      </c>
    </row>
    <row r="5" spans="1:12" x14ac:dyDescent="0.25">
      <c r="A5" s="1" t="s">
        <v>5</v>
      </c>
      <c r="B5" s="2">
        <v>285934</v>
      </c>
      <c r="C5">
        <f t="shared" si="0"/>
        <v>303897</v>
      </c>
      <c r="D5">
        <f t="shared" si="1"/>
        <v>-17963</v>
      </c>
      <c r="E5">
        <f t="shared" si="2"/>
        <v>17963</v>
      </c>
      <c r="F5">
        <f t="shared" si="3"/>
        <v>322669369</v>
      </c>
      <c r="G5">
        <f t="shared" si="4"/>
        <v>6.2822189736092951E-2</v>
      </c>
      <c r="K5" s="5" t="s">
        <v>178</v>
      </c>
      <c r="L5" s="11">
        <f>100%-L4</f>
        <v>0.94155160064022159</v>
      </c>
    </row>
    <row r="6" spans="1:12" x14ac:dyDescent="0.25">
      <c r="A6" s="1" t="s">
        <v>6</v>
      </c>
      <c r="B6" s="2">
        <v>281147</v>
      </c>
      <c r="C6">
        <f t="shared" si="0"/>
        <v>285934</v>
      </c>
      <c r="D6">
        <f t="shared" si="1"/>
        <v>-4787</v>
      </c>
      <c r="E6">
        <f t="shared" si="2"/>
        <v>4787</v>
      </c>
      <c r="F6">
        <f t="shared" si="3"/>
        <v>22915369</v>
      </c>
      <c r="G6">
        <f t="shared" si="4"/>
        <v>1.7026679993028558E-2</v>
      </c>
    </row>
    <row r="7" spans="1:12" x14ac:dyDescent="0.25">
      <c r="A7" s="1" t="s">
        <v>7</v>
      </c>
      <c r="B7" s="2">
        <v>284093</v>
      </c>
      <c r="C7">
        <f t="shared" si="0"/>
        <v>281147</v>
      </c>
      <c r="D7">
        <f t="shared" si="1"/>
        <v>2946</v>
      </c>
      <c r="E7">
        <f t="shared" si="2"/>
        <v>2946</v>
      </c>
      <c r="F7">
        <f t="shared" si="3"/>
        <v>8678916</v>
      </c>
      <c r="G7">
        <f t="shared" si="4"/>
        <v>1.0369843677950531E-2</v>
      </c>
    </row>
    <row r="8" spans="1:12" x14ac:dyDescent="0.25">
      <c r="A8" s="1" t="s">
        <v>8</v>
      </c>
      <c r="B8" s="2">
        <v>287569</v>
      </c>
      <c r="C8">
        <f t="shared" si="0"/>
        <v>284093</v>
      </c>
      <c r="D8">
        <f t="shared" si="1"/>
        <v>3476</v>
      </c>
      <c r="E8">
        <f t="shared" si="2"/>
        <v>3476</v>
      </c>
      <c r="F8">
        <f t="shared" si="3"/>
        <v>12082576</v>
      </c>
      <c r="G8">
        <f t="shared" si="4"/>
        <v>1.2087533774502815E-2</v>
      </c>
    </row>
    <row r="9" spans="1:12" x14ac:dyDescent="0.25">
      <c r="A9" s="1" t="s">
        <v>9</v>
      </c>
      <c r="B9" s="2">
        <v>279111</v>
      </c>
      <c r="C9">
        <f t="shared" si="0"/>
        <v>287569</v>
      </c>
      <c r="D9">
        <f t="shared" si="1"/>
        <v>-8458</v>
      </c>
      <c r="E9">
        <f t="shared" si="2"/>
        <v>8458</v>
      </c>
      <c r="F9">
        <f t="shared" si="3"/>
        <v>71537764</v>
      </c>
      <c r="G9">
        <f t="shared" si="4"/>
        <v>3.0303356012482491E-2</v>
      </c>
    </row>
    <row r="10" spans="1:12" x14ac:dyDescent="0.25">
      <c r="A10" s="1" t="s">
        <v>10</v>
      </c>
      <c r="B10" s="2">
        <v>289561</v>
      </c>
      <c r="C10">
        <f t="shared" si="0"/>
        <v>279111</v>
      </c>
      <c r="D10">
        <f t="shared" si="1"/>
        <v>10450</v>
      </c>
      <c r="E10">
        <f t="shared" si="2"/>
        <v>10450</v>
      </c>
      <c r="F10">
        <f t="shared" si="3"/>
        <v>109202500</v>
      </c>
      <c r="G10">
        <f t="shared" si="4"/>
        <v>3.6089114210822587E-2</v>
      </c>
    </row>
    <row r="11" spans="1:12" x14ac:dyDescent="0.25">
      <c r="A11" s="1" t="s">
        <v>11</v>
      </c>
      <c r="B11" s="2">
        <v>272678</v>
      </c>
      <c r="C11">
        <f t="shared" si="0"/>
        <v>289561</v>
      </c>
      <c r="D11">
        <f t="shared" si="1"/>
        <v>-16883</v>
      </c>
      <c r="E11">
        <f t="shared" si="2"/>
        <v>16883</v>
      </c>
      <c r="F11">
        <f t="shared" si="3"/>
        <v>285035689</v>
      </c>
      <c r="G11">
        <f t="shared" si="4"/>
        <v>6.1915519403838958E-2</v>
      </c>
    </row>
    <row r="12" spans="1:12" x14ac:dyDescent="0.25">
      <c r="A12" s="1" t="s">
        <v>12</v>
      </c>
      <c r="B12" s="2">
        <v>273248</v>
      </c>
      <c r="C12">
        <f t="shared" si="0"/>
        <v>272678</v>
      </c>
      <c r="D12">
        <f t="shared" si="1"/>
        <v>570</v>
      </c>
      <c r="E12">
        <f t="shared" si="2"/>
        <v>570</v>
      </c>
      <c r="F12">
        <f t="shared" si="3"/>
        <v>324900</v>
      </c>
      <c r="G12">
        <f t="shared" si="4"/>
        <v>2.0860170980208457E-3</v>
      </c>
    </row>
    <row r="13" spans="1:12" x14ac:dyDescent="0.25">
      <c r="A13" s="1" t="s">
        <v>13</v>
      </c>
      <c r="B13" s="2">
        <v>265615</v>
      </c>
      <c r="C13">
        <f t="shared" si="0"/>
        <v>273248</v>
      </c>
      <c r="D13">
        <f t="shared" si="1"/>
        <v>-7633</v>
      </c>
      <c r="E13">
        <f t="shared" si="2"/>
        <v>7633</v>
      </c>
      <c r="F13">
        <f t="shared" si="3"/>
        <v>58262689</v>
      </c>
      <c r="G13">
        <f t="shared" si="4"/>
        <v>2.873708186661145E-2</v>
      </c>
    </row>
    <row r="14" spans="1:12" x14ac:dyDescent="0.25">
      <c r="A14" s="1" t="s">
        <v>14</v>
      </c>
      <c r="B14" s="2">
        <v>274568</v>
      </c>
      <c r="C14">
        <f t="shared" si="0"/>
        <v>265615</v>
      </c>
      <c r="D14">
        <f t="shared" si="1"/>
        <v>8953</v>
      </c>
      <c r="E14">
        <f t="shared" si="2"/>
        <v>8953</v>
      </c>
      <c r="F14">
        <f t="shared" si="3"/>
        <v>80156209</v>
      </c>
      <c r="G14">
        <f t="shared" si="4"/>
        <v>3.2607587191515401E-2</v>
      </c>
    </row>
    <row r="15" spans="1:12" x14ac:dyDescent="0.25">
      <c r="A15" s="1" t="s">
        <v>15</v>
      </c>
      <c r="B15" s="2">
        <v>253150</v>
      </c>
      <c r="C15">
        <f t="shared" si="0"/>
        <v>274568</v>
      </c>
      <c r="D15">
        <f t="shared" si="1"/>
        <v>-21418</v>
      </c>
      <c r="E15">
        <f t="shared" si="2"/>
        <v>21418</v>
      </c>
      <c r="F15">
        <f t="shared" si="3"/>
        <v>458730724</v>
      </c>
      <c r="G15">
        <f t="shared" si="4"/>
        <v>8.4605964842978471E-2</v>
      </c>
    </row>
    <row r="16" spans="1:12" x14ac:dyDescent="0.25">
      <c r="A16" s="1" t="s">
        <v>16</v>
      </c>
      <c r="B16" s="2">
        <v>299033</v>
      </c>
      <c r="C16">
        <f t="shared" si="0"/>
        <v>253150</v>
      </c>
      <c r="D16">
        <f t="shared" si="1"/>
        <v>45883</v>
      </c>
      <c r="E16">
        <f t="shared" si="2"/>
        <v>45883</v>
      </c>
      <c r="F16">
        <f t="shared" si="3"/>
        <v>2105249689</v>
      </c>
      <c r="G16">
        <f t="shared" si="4"/>
        <v>0.15343791487895986</v>
      </c>
    </row>
    <row r="17" spans="1:7" x14ac:dyDescent="0.25">
      <c r="A17" s="1" t="s">
        <v>17</v>
      </c>
      <c r="B17" s="2">
        <v>302836</v>
      </c>
      <c r="C17">
        <f t="shared" si="0"/>
        <v>299033</v>
      </c>
      <c r="D17">
        <f t="shared" si="1"/>
        <v>3803</v>
      </c>
      <c r="E17">
        <f t="shared" si="2"/>
        <v>3803</v>
      </c>
      <c r="F17">
        <f t="shared" si="3"/>
        <v>14462809</v>
      </c>
      <c r="G17">
        <f t="shared" si="4"/>
        <v>1.2557952158924302E-2</v>
      </c>
    </row>
    <row r="18" spans="1:7" x14ac:dyDescent="0.25">
      <c r="A18" s="1" t="s">
        <v>18</v>
      </c>
      <c r="B18" s="2">
        <v>310396</v>
      </c>
      <c r="C18">
        <f t="shared" si="0"/>
        <v>302836</v>
      </c>
      <c r="D18">
        <f t="shared" si="1"/>
        <v>7560</v>
      </c>
      <c r="E18">
        <f t="shared" si="2"/>
        <v>7560</v>
      </c>
      <c r="F18">
        <f t="shared" si="3"/>
        <v>57153600</v>
      </c>
      <c r="G18">
        <f t="shared" si="4"/>
        <v>2.4355983968865579E-2</v>
      </c>
    </row>
    <row r="19" spans="1:7" x14ac:dyDescent="0.25">
      <c r="A19" s="1" t="s">
        <v>19</v>
      </c>
      <c r="B19" s="2">
        <v>310153</v>
      </c>
      <c r="C19">
        <f t="shared" si="0"/>
        <v>310396</v>
      </c>
      <c r="D19">
        <f t="shared" si="1"/>
        <v>-243</v>
      </c>
      <c r="E19">
        <f t="shared" si="2"/>
        <v>243</v>
      </c>
      <c r="F19">
        <f t="shared" si="3"/>
        <v>59049</v>
      </c>
      <c r="G19">
        <f t="shared" si="4"/>
        <v>7.8348428033905848E-4</v>
      </c>
    </row>
    <row r="20" spans="1:7" x14ac:dyDescent="0.25">
      <c r="A20" s="1" t="s">
        <v>20</v>
      </c>
      <c r="B20" s="2">
        <v>318991</v>
      </c>
      <c r="C20">
        <f t="shared" si="0"/>
        <v>310153</v>
      </c>
      <c r="D20">
        <f t="shared" si="1"/>
        <v>8838</v>
      </c>
      <c r="E20">
        <f t="shared" si="2"/>
        <v>8838</v>
      </c>
      <c r="F20">
        <f t="shared" si="3"/>
        <v>78110244</v>
      </c>
      <c r="G20">
        <f t="shared" si="4"/>
        <v>2.7706110830713091E-2</v>
      </c>
    </row>
    <row r="21" spans="1:7" ht="15.75" customHeight="1" x14ac:dyDescent="0.25">
      <c r="A21" s="1" t="s">
        <v>21</v>
      </c>
      <c r="B21" s="2">
        <v>309053</v>
      </c>
      <c r="C21">
        <f t="shared" si="0"/>
        <v>318991</v>
      </c>
      <c r="D21">
        <f t="shared" si="1"/>
        <v>-9938</v>
      </c>
      <c r="E21">
        <f t="shared" si="2"/>
        <v>9938</v>
      </c>
      <c r="F21">
        <f t="shared" si="3"/>
        <v>98763844</v>
      </c>
      <c r="G21">
        <f t="shared" si="4"/>
        <v>3.2156296816403661E-2</v>
      </c>
    </row>
    <row r="22" spans="1:7" ht="15.75" customHeight="1" x14ac:dyDescent="0.25">
      <c r="A22" s="1" t="s">
        <v>22</v>
      </c>
      <c r="B22" s="2">
        <v>284192</v>
      </c>
      <c r="C22">
        <f t="shared" si="0"/>
        <v>309053</v>
      </c>
      <c r="D22">
        <f t="shared" si="1"/>
        <v>-24861</v>
      </c>
      <c r="E22">
        <f t="shared" si="2"/>
        <v>24861</v>
      </c>
      <c r="F22">
        <f t="shared" si="3"/>
        <v>618069321</v>
      </c>
      <c r="G22">
        <f t="shared" si="4"/>
        <v>8.7479591262245249E-2</v>
      </c>
    </row>
    <row r="23" spans="1:7" ht="15.75" customHeight="1" x14ac:dyDescent="0.25">
      <c r="A23" s="1" t="s">
        <v>23</v>
      </c>
      <c r="B23" s="2">
        <v>272415</v>
      </c>
      <c r="C23">
        <f t="shared" si="0"/>
        <v>284192</v>
      </c>
      <c r="D23">
        <f t="shared" si="1"/>
        <v>-11777</v>
      </c>
      <c r="E23">
        <f t="shared" si="2"/>
        <v>11777</v>
      </c>
      <c r="F23">
        <f t="shared" si="3"/>
        <v>138697729</v>
      </c>
      <c r="G23">
        <f t="shared" si="4"/>
        <v>4.3231833783014886E-2</v>
      </c>
    </row>
    <row r="24" spans="1:7" ht="15.75" customHeight="1" x14ac:dyDescent="0.25">
      <c r="A24" s="1" t="s">
        <v>24</v>
      </c>
      <c r="B24" s="2">
        <v>271185</v>
      </c>
      <c r="C24">
        <f t="shared" si="0"/>
        <v>272415</v>
      </c>
      <c r="D24">
        <f t="shared" si="1"/>
        <v>-1230</v>
      </c>
      <c r="E24">
        <f t="shared" si="2"/>
        <v>1230</v>
      </c>
      <c r="F24">
        <f t="shared" si="3"/>
        <v>1512900</v>
      </c>
      <c r="G24">
        <f t="shared" si="4"/>
        <v>4.5356490956358205E-3</v>
      </c>
    </row>
    <row r="25" spans="1:7" ht="15.75" customHeight="1" x14ac:dyDescent="0.25">
      <c r="A25" s="1" t="s">
        <v>25</v>
      </c>
      <c r="B25" s="2">
        <v>279096</v>
      </c>
      <c r="C25">
        <f t="shared" si="0"/>
        <v>271185</v>
      </c>
      <c r="D25">
        <f t="shared" si="1"/>
        <v>7911</v>
      </c>
      <c r="E25">
        <f t="shared" si="2"/>
        <v>7911</v>
      </c>
      <c r="F25">
        <f t="shared" si="3"/>
        <v>62583921</v>
      </c>
      <c r="G25">
        <f t="shared" si="4"/>
        <v>2.8345085561957178E-2</v>
      </c>
    </row>
    <row r="26" spans="1:7" ht="15.75" customHeight="1" x14ac:dyDescent="0.25">
      <c r="A26" s="1" t="s">
        <v>26</v>
      </c>
      <c r="B26" s="2">
        <v>296158</v>
      </c>
      <c r="C26">
        <f t="shared" si="0"/>
        <v>279096</v>
      </c>
      <c r="D26">
        <f t="shared" si="1"/>
        <v>17062</v>
      </c>
      <c r="E26">
        <f t="shared" si="2"/>
        <v>17062</v>
      </c>
      <c r="F26">
        <f t="shared" si="3"/>
        <v>291111844</v>
      </c>
      <c r="G26">
        <f t="shared" si="4"/>
        <v>5.7611139999594808E-2</v>
      </c>
    </row>
    <row r="27" spans="1:7" ht="15.75" customHeight="1" x14ac:dyDescent="0.25">
      <c r="A27" s="1" t="s">
        <v>27</v>
      </c>
      <c r="B27" s="2">
        <v>235122</v>
      </c>
      <c r="C27">
        <f t="shared" si="0"/>
        <v>296158</v>
      </c>
      <c r="D27">
        <f t="shared" si="1"/>
        <v>-61036</v>
      </c>
      <c r="E27">
        <f t="shared" si="2"/>
        <v>61036</v>
      </c>
      <c r="F27">
        <f t="shared" si="3"/>
        <v>3725393296</v>
      </c>
      <c r="G27">
        <f t="shared" si="4"/>
        <v>0.2595928922006448</v>
      </c>
    </row>
    <row r="28" spans="1:7" ht="15.75" customHeight="1" x14ac:dyDescent="0.25">
      <c r="A28" s="1" t="s">
        <v>28</v>
      </c>
      <c r="B28" s="2">
        <v>292010</v>
      </c>
      <c r="C28">
        <f t="shared" si="0"/>
        <v>235122</v>
      </c>
      <c r="D28">
        <f t="shared" si="1"/>
        <v>56888</v>
      </c>
      <c r="E28">
        <f t="shared" si="2"/>
        <v>56888</v>
      </c>
      <c r="F28">
        <f t="shared" si="3"/>
        <v>3236244544</v>
      </c>
      <c r="G28">
        <f t="shared" si="4"/>
        <v>0.19481524605321734</v>
      </c>
    </row>
    <row r="29" spans="1:7" ht="15.75" customHeight="1" x14ac:dyDescent="0.25">
      <c r="A29" s="1" t="s">
        <v>29</v>
      </c>
      <c r="B29" s="2">
        <v>265822</v>
      </c>
      <c r="C29">
        <f t="shared" si="0"/>
        <v>292010</v>
      </c>
      <c r="D29">
        <f t="shared" si="1"/>
        <v>-26188</v>
      </c>
      <c r="E29">
        <f t="shared" si="2"/>
        <v>26188</v>
      </c>
      <c r="F29">
        <f t="shared" si="3"/>
        <v>685811344</v>
      </c>
      <c r="G29">
        <f t="shared" si="4"/>
        <v>9.8517052764631977E-2</v>
      </c>
    </row>
    <row r="30" spans="1:7" ht="15.75" customHeight="1" x14ac:dyDescent="0.25">
      <c r="A30" s="1" t="s">
        <v>30</v>
      </c>
      <c r="B30" s="2">
        <v>289106</v>
      </c>
      <c r="C30">
        <f t="shared" si="0"/>
        <v>265822</v>
      </c>
      <c r="D30">
        <f t="shared" si="1"/>
        <v>23284</v>
      </c>
      <c r="E30">
        <f t="shared" si="2"/>
        <v>23284</v>
      </c>
      <c r="F30">
        <f t="shared" si="3"/>
        <v>542144656</v>
      </c>
      <c r="G30">
        <f t="shared" si="4"/>
        <v>8.0537934183309928E-2</v>
      </c>
    </row>
    <row r="31" spans="1:7" ht="15.75" customHeight="1" x14ac:dyDescent="0.25">
      <c r="A31" s="1" t="s">
        <v>31</v>
      </c>
      <c r="B31" s="2">
        <v>285572</v>
      </c>
      <c r="C31">
        <f t="shared" si="0"/>
        <v>289106</v>
      </c>
      <c r="D31">
        <f t="shared" si="1"/>
        <v>-3534</v>
      </c>
      <c r="E31">
        <f t="shared" si="2"/>
        <v>3534</v>
      </c>
      <c r="F31">
        <f t="shared" si="3"/>
        <v>12489156</v>
      </c>
      <c r="G31">
        <f t="shared" si="4"/>
        <v>1.2375162831089883E-2</v>
      </c>
    </row>
    <row r="32" spans="1:7" ht="15.75" customHeight="1" x14ac:dyDescent="0.25">
      <c r="A32" s="1" t="s">
        <v>32</v>
      </c>
      <c r="B32" s="2">
        <v>295338</v>
      </c>
      <c r="C32">
        <f t="shared" si="0"/>
        <v>285572</v>
      </c>
      <c r="D32">
        <f t="shared" si="1"/>
        <v>9766</v>
      </c>
      <c r="E32">
        <f t="shared" si="2"/>
        <v>9766</v>
      </c>
      <c r="F32">
        <f t="shared" si="3"/>
        <v>95374756</v>
      </c>
      <c r="G32">
        <f t="shared" si="4"/>
        <v>3.306719758378536E-2</v>
      </c>
    </row>
    <row r="33" spans="1:7" ht="15.75" customHeight="1" x14ac:dyDescent="0.25">
      <c r="A33" s="1" t="s">
        <v>33</v>
      </c>
      <c r="B33" s="2">
        <v>287633</v>
      </c>
      <c r="C33">
        <f t="shared" si="0"/>
        <v>295338</v>
      </c>
      <c r="D33">
        <f t="shared" si="1"/>
        <v>-7705</v>
      </c>
      <c r="E33">
        <f t="shared" si="2"/>
        <v>7705</v>
      </c>
      <c r="F33">
        <f t="shared" si="3"/>
        <v>59367025</v>
      </c>
      <c r="G33">
        <f t="shared" si="4"/>
        <v>2.6787607819686893E-2</v>
      </c>
    </row>
    <row r="34" spans="1:7" ht="15.75" customHeight="1" x14ac:dyDescent="0.25">
      <c r="A34" s="1" t="s">
        <v>34</v>
      </c>
      <c r="B34" s="2">
        <v>273698</v>
      </c>
      <c r="C34">
        <f t="shared" si="0"/>
        <v>287633</v>
      </c>
      <c r="D34">
        <f t="shared" si="1"/>
        <v>-13935</v>
      </c>
      <c r="E34">
        <f t="shared" si="2"/>
        <v>13935</v>
      </c>
      <c r="F34">
        <f t="shared" si="3"/>
        <v>194184225</v>
      </c>
      <c r="G34">
        <f t="shared" si="4"/>
        <v>5.0913780882578606E-2</v>
      </c>
    </row>
    <row r="35" spans="1:7" ht="15.75" customHeight="1" x14ac:dyDescent="0.25">
      <c r="A35" s="1" t="s">
        <v>35</v>
      </c>
      <c r="B35" s="2">
        <v>284594</v>
      </c>
      <c r="C35">
        <f t="shared" si="0"/>
        <v>273698</v>
      </c>
      <c r="D35">
        <f t="shared" si="1"/>
        <v>10896</v>
      </c>
      <c r="E35">
        <f t="shared" si="2"/>
        <v>10896</v>
      </c>
      <c r="F35">
        <f t="shared" si="3"/>
        <v>118722816</v>
      </c>
      <c r="G35">
        <f t="shared" si="4"/>
        <v>3.8286119876033926E-2</v>
      </c>
    </row>
    <row r="36" spans="1:7" ht="15.75" customHeight="1" x14ac:dyDescent="0.25">
      <c r="A36" s="1" t="s">
        <v>36</v>
      </c>
      <c r="B36" s="2">
        <v>268189</v>
      </c>
      <c r="C36">
        <f t="shared" si="0"/>
        <v>284594</v>
      </c>
      <c r="D36">
        <f t="shared" si="1"/>
        <v>-16405</v>
      </c>
      <c r="E36">
        <f t="shared" si="2"/>
        <v>16405</v>
      </c>
      <c r="F36">
        <f t="shared" si="3"/>
        <v>269124025</v>
      </c>
      <c r="G36">
        <f t="shared" si="4"/>
        <v>6.116954834090884E-2</v>
      </c>
    </row>
    <row r="37" spans="1:7" ht="15.75" customHeight="1" x14ac:dyDescent="0.25">
      <c r="A37" s="1" t="s">
        <v>37</v>
      </c>
      <c r="B37" s="2">
        <v>279359</v>
      </c>
      <c r="C37">
        <f t="shared" si="0"/>
        <v>268189</v>
      </c>
      <c r="D37">
        <f t="shared" si="1"/>
        <v>11170</v>
      </c>
      <c r="E37">
        <f t="shared" si="2"/>
        <v>11170</v>
      </c>
      <c r="F37">
        <f t="shared" si="3"/>
        <v>124768900</v>
      </c>
      <c r="G37">
        <f t="shared" si="4"/>
        <v>3.9984392842185149E-2</v>
      </c>
    </row>
    <row r="38" spans="1:7" ht="15.75" customHeight="1" x14ac:dyDescent="0.25">
      <c r="A38" s="1" t="s">
        <v>38</v>
      </c>
      <c r="B38" s="2">
        <v>257536</v>
      </c>
      <c r="C38">
        <f t="shared" si="0"/>
        <v>279359</v>
      </c>
      <c r="D38">
        <f t="shared" si="1"/>
        <v>-21823</v>
      </c>
      <c r="E38">
        <f t="shared" si="2"/>
        <v>21823</v>
      </c>
      <c r="F38">
        <f t="shared" si="3"/>
        <v>476243329</v>
      </c>
      <c r="G38">
        <f t="shared" si="4"/>
        <v>8.4737667743538761E-2</v>
      </c>
    </row>
    <row r="39" spans="1:7" ht="15.75" customHeight="1" x14ac:dyDescent="0.25">
      <c r="A39" s="1" t="s">
        <v>39</v>
      </c>
      <c r="B39" s="2">
        <v>242560</v>
      </c>
      <c r="C39">
        <f t="shared" si="0"/>
        <v>257536</v>
      </c>
      <c r="D39">
        <f t="shared" si="1"/>
        <v>-14976</v>
      </c>
      <c r="E39">
        <f t="shared" si="2"/>
        <v>14976</v>
      </c>
      <c r="F39">
        <f t="shared" si="3"/>
        <v>224280576</v>
      </c>
      <c r="G39">
        <f t="shared" si="4"/>
        <v>6.1741424802110818E-2</v>
      </c>
    </row>
    <row r="40" spans="1:7" ht="15.75" customHeight="1" x14ac:dyDescent="0.25">
      <c r="A40" s="1" t="s">
        <v>40</v>
      </c>
      <c r="B40" s="2">
        <v>271697</v>
      </c>
      <c r="C40">
        <f t="shared" si="0"/>
        <v>242560</v>
      </c>
      <c r="D40">
        <f t="shared" si="1"/>
        <v>29137</v>
      </c>
      <c r="E40">
        <f t="shared" si="2"/>
        <v>29137</v>
      </c>
      <c r="F40">
        <f t="shared" si="3"/>
        <v>848964769</v>
      </c>
      <c r="G40">
        <f t="shared" si="4"/>
        <v>0.10724078661155625</v>
      </c>
    </row>
    <row r="41" spans="1:7" ht="15.75" customHeight="1" x14ac:dyDescent="0.25">
      <c r="A41" s="1" t="s">
        <v>41</v>
      </c>
      <c r="B41" s="2">
        <v>258417</v>
      </c>
      <c r="C41">
        <f t="shared" si="0"/>
        <v>271697</v>
      </c>
      <c r="D41">
        <f t="shared" si="1"/>
        <v>-13280</v>
      </c>
      <c r="E41">
        <f t="shared" si="2"/>
        <v>13280</v>
      </c>
      <c r="F41">
        <f t="shared" si="3"/>
        <v>176358400</v>
      </c>
      <c r="G41">
        <f t="shared" si="4"/>
        <v>5.1389807946071661E-2</v>
      </c>
    </row>
    <row r="42" spans="1:7" ht="15.75" customHeight="1" x14ac:dyDescent="0.25">
      <c r="A42" s="1" t="s">
        <v>42</v>
      </c>
      <c r="B42" s="2">
        <v>272766</v>
      </c>
      <c r="C42">
        <f t="shared" si="0"/>
        <v>258417</v>
      </c>
      <c r="D42">
        <f t="shared" si="1"/>
        <v>14349</v>
      </c>
      <c r="E42">
        <f t="shared" si="2"/>
        <v>14349</v>
      </c>
      <c r="F42">
        <f t="shared" si="3"/>
        <v>205893801</v>
      </c>
      <c r="G42">
        <f t="shared" si="4"/>
        <v>5.260553001473791E-2</v>
      </c>
    </row>
    <row r="43" spans="1:7" ht="15.75" customHeight="1" x14ac:dyDescent="0.25">
      <c r="A43" s="1" t="s">
        <v>43</v>
      </c>
      <c r="B43" s="2">
        <v>270684</v>
      </c>
      <c r="C43">
        <f t="shared" si="0"/>
        <v>272766</v>
      </c>
      <c r="D43">
        <f t="shared" si="1"/>
        <v>-2082</v>
      </c>
      <c r="E43">
        <f t="shared" si="2"/>
        <v>2082</v>
      </c>
      <c r="F43">
        <f t="shared" si="3"/>
        <v>4334724</v>
      </c>
      <c r="G43">
        <f t="shared" si="4"/>
        <v>7.6916256594405288E-3</v>
      </c>
    </row>
    <row r="44" spans="1:7" ht="15.75" customHeight="1" x14ac:dyDescent="0.25">
      <c r="A44" s="1" t="s">
        <v>44</v>
      </c>
      <c r="B44" s="2">
        <v>266782</v>
      </c>
      <c r="C44">
        <f t="shared" si="0"/>
        <v>270684</v>
      </c>
      <c r="D44">
        <f t="shared" si="1"/>
        <v>-3902</v>
      </c>
      <c r="E44">
        <f t="shared" si="2"/>
        <v>3902</v>
      </c>
      <c r="F44">
        <f t="shared" si="3"/>
        <v>15225604</v>
      </c>
      <c r="G44">
        <f t="shared" si="4"/>
        <v>1.4626174179667294E-2</v>
      </c>
    </row>
    <row r="45" spans="1:7" ht="15.75" customHeight="1" x14ac:dyDescent="0.25">
      <c r="A45" s="1" t="s">
        <v>45</v>
      </c>
      <c r="B45" s="2">
        <v>263945</v>
      </c>
      <c r="C45">
        <f t="shared" si="0"/>
        <v>266782</v>
      </c>
      <c r="D45">
        <f t="shared" si="1"/>
        <v>-2837</v>
      </c>
      <c r="E45">
        <f t="shared" si="2"/>
        <v>2837</v>
      </c>
      <c r="F45">
        <f t="shared" si="3"/>
        <v>8048569</v>
      </c>
      <c r="G45">
        <f t="shared" si="4"/>
        <v>1.0748451381916687E-2</v>
      </c>
    </row>
    <row r="46" spans="1:7" ht="15.75" customHeight="1" x14ac:dyDescent="0.25">
      <c r="A46" s="1" t="s">
        <v>46</v>
      </c>
      <c r="B46" s="2">
        <v>250160</v>
      </c>
      <c r="C46">
        <f t="shared" si="0"/>
        <v>263945</v>
      </c>
      <c r="D46">
        <f t="shared" si="1"/>
        <v>-13785</v>
      </c>
      <c r="E46">
        <f t="shared" si="2"/>
        <v>13785</v>
      </c>
      <c r="F46">
        <f t="shared" si="3"/>
        <v>190026225</v>
      </c>
      <c r="G46">
        <f t="shared" si="4"/>
        <v>5.5104732970898622E-2</v>
      </c>
    </row>
    <row r="47" spans="1:7" ht="15.75" customHeight="1" x14ac:dyDescent="0.25">
      <c r="A47" s="1" t="s">
        <v>47</v>
      </c>
      <c r="B47" s="2">
        <v>250303</v>
      </c>
      <c r="C47">
        <f t="shared" si="0"/>
        <v>250160</v>
      </c>
      <c r="D47">
        <f t="shared" si="1"/>
        <v>143</v>
      </c>
      <c r="E47">
        <f t="shared" si="2"/>
        <v>143</v>
      </c>
      <c r="F47">
        <f t="shared" si="3"/>
        <v>20449</v>
      </c>
      <c r="G47">
        <f t="shared" si="4"/>
        <v>5.7130757521883476E-4</v>
      </c>
    </row>
    <row r="48" spans="1:7" ht="15.75" customHeight="1" x14ac:dyDescent="0.25">
      <c r="A48" s="1" t="s">
        <v>48</v>
      </c>
      <c r="B48" s="2">
        <v>244987</v>
      </c>
      <c r="C48">
        <f t="shared" si="0"/>
        <v>250303</v>
      </c>
      <c r="D48">
        <f t="shared" si="1"/>
        <v>-5316</v>
      </c>
      <c r="E48">
        <f t="shared" si="2"/>
        <v>5316</v>
      </c>
      <c r="F48">
        <f t="shared" si="3"/>
        <v>28259856</v>
      </c>
      <c r="G48">
        <f t="shared" si="4"/>
        <v>2.1699110565050389E-2</v>
      </c>
    </row>
    <row r="49" spans="1:7" ht="15.75" customHeight="1" x14ac:dyDescent="0.25">
      <c r="A49" s="1" t="s">
        <v>49</v>
      </c>
      <c r="B49" s="2">
        <v>235120</v>
      </c>
      <c r="C49">
        <f t="shared" si="0"/>
        <v>244987</v>
      </c>
      <c r="D49">
        <f t="shared" si="1"/>
        <v>-9867</v>
      </c>
      <c r="E49">
        <f t="shared" si="2"/>
        <v>9867</v>
      </c>
      <c r="F49">
        <f t="shared" si="3"/>
        <v>97357689</v>
      </c>
      <c r="G49">
        <f t="shared" si="4"/>
        <v>4.1965804695474652E-2</v>
      </c>
    </row>
    <row r="50" spans="1:7" ht="15.75" customHeight="1" x14ac:dyDescent="0.25">
      <c r="A50" s="1" t="s">
        <v>50</v>
      </c>
      <c r="B50" s="2">
        <v>245715</v>
      </c>
      <c r="C50">
        <f t="shared" si="0"/>
        <v>235120</v>
      </c>
      <c r="D50">
        <f t="shared" si="1"/>
        <v>10595</v>
      </c>
      <c r="E50">
        <f t="shared" si="2"/>
        <v>10595</v>
      </c>
      <c r="F50">
        <f t="shared" si="3"/>
        <v>112254025</v>
      </c>
      <c r="G50">
        <f t="shared" si="4"/>
        <v>4.3119060700404943E-2</v>
      </c>
    </row>
    <row r="51" spans="1:7" ht="15.75" customHeight="1" x14ac:dyDescent="0.25">
      <c r="A51" s="1" t="s">
        <v>51</v>
      </c>
      <c r="B51" s="2">
        <v>203162</v>
      </c>
      <c r="C51">
        <f t="shared" si="0"/>
        <v>245715</v>
      </c>
      <c r="D51">
        <f t="shared" si="1"/>
        <v>-42553</v>
      </c>
      <c r="E51">
        <f t="shared" si="2"/>
        <v>42553</v>
      </c>
      <c r="F51">
        <f t="shared" si="3"/>
        <v>1810757809</v>
      </c>
      <c r="G51">
        <f t="shared" si="4"/>
        <v>0.20945353953987458</v>
      </c>
    </row>
    <row r="52" spans="1:7" ht="15.75" customHeight="1" x14ac:dyDescent="0.25">
      <c r="A52" s="1" t="s">
        <v>52</v>
      </c>
      <c r="B52" s="2">
        <v>231414</v>
      </c>
      <c r="C52">
        <f t="shared" si="0"/>
        <v>203162</v>
      </c>
      <c r="D52">
        <f t="shared" si="1"/>
        <v>28252</v>
      </c>
      <c r="E52">
        <f t="shared" si="2"/>
        <v>28252</v>
      </c>
      <c r="F52">
        <f t="shared" si="3"/>
        <v>798175504</v>
      </c>
      <c r="G52">
        <f t="shared" si="4"/>
        <v>0.12208422999472807</v>
      </c>
    </row>
    <row r="53" spans="1:7" ht="15.75" customHeight="1" x14ac:dyDescent="0.25">
      <c r="A53" s="1" t="s">
        <v>53</v>
      </c>
      <c r="B53" s="2">
        <v>231621</v>
      </c>
      <c r="C53">
        <f t="shared" si="0"/>
        <v>231414</v>
      </c>
      <c r="D53">
        <f t="shared" si="1"/>
        <v>207</v>
      </c>
      <c r="E53">
        <f t="shared" si="2"/>
        <v>207</v>
      </c>
      <c r="F53">
        <f t="shared" si="3"/>
        <v>42849</v>
      </c>
      <c r="G53">
        <f t="shared" si="4"/>
        <v>8.937013483233386E-4</v>
      </c>
    </row>
    <row r="54" spans="1:7" ht="15.75" customHeight="1" x14ac:dyDescent="0.25">
      <c r="A54" s="1" t="s">
        <v>54</v>
      </c>
      <c r="B54" s="2">
        <v>238809</v>
      </c>
      <c r="C54">
        <f t="shared" si="0"/>
        <v>231621</v>
      </c>
      <c r="D54">
        <f t="shared" si="1"/>
        <v>7188</v>
      </c>
      <c r="E54">
        <f t="shared" si="2"/>
        <v>7188</v>
      </c>
      <c r="F54">
        <f t="shared" si="3"/>
        <v>51667344</v>
      </c>
      <c r="G54">
        <f t="shared" si="4"/>
        <v>3.0099368114267049E-2</v>
      </c>
    </row>
    <row r="55" spans="1:7" ht="15.75" customHeight="1" x14ac:dyDescent="0.25">
      <c r="A55" s="1" t="s">
        <v>55</v>
      </c>
      <c r="B55" s="2">
        <v>231912</v>
      </c>
      <c r="C55">
        <f t="shared" si="0"/>
        <v>238809</v>
      </c>
      <c r="D55">
        <f t="shared" si="1"/>
        <v>-6897</v>
      </c>
      <c r="E55">
        <f t="shared" si="2"/>
        <v>6897</v>
      </c>
      <c r="F55">
        <f t="shared" si="3"/>
        <v>47568609</v>
      </c>
      <c r="G55">
        <f t="shared" si="4"/>
        <v>2.9739728862672048E-2</v>
      </c>
    </row>
    <row r="56" spans="1:7" ht="15.75" customHeight="1" x14ac:dyDescent="0.25">
      <c r="A56" s="1" t="s">
        <v>56</v>
      </c>
      <c r="B56" s="2">
        <v>245724</v>
      </c>
      <c r="C56">
        <f t="shared" si="0"/>
        <v>231912</v>
      </c>
      <c r="D56">
        <f t="shared" si="1"/>
        <v>13812</v>
      </c>
      <c r="E56">
        <f t="shared" si="2"/>
        <v>13812</v>
      </c>
      <c r="F56">
        <f t="shared" si="3"/>
        <v>190771344</v>
      </c>
      <c r="G56">
        <f t="shared" si="4"/>
        <v>5.6209405674659374E-2</v>
      </c>
    </row>
    <row r="57" spans="1:7" ht="15.75" customHeight="1" x14ac:dyDescent="0.25">
      <c r="A57" s="1" t="s">
        <v>57</v>
      </c>
      <c r="B57" s="2">
        <v>251079</v>
      </c>
      <c r="C57">
        <f t="shared" si="0"/>
        <v>245724</v>
      </c>
      <c r="D57">
        <f t="shared" si="1"/>
        <v>5355</v>
      </c>
      <c r="E57">
        <f t="shared" si="2"/>
        <v>5355</v>
      </c>
      <c r="F57">
        <f t="shared" si="3"/>
        <v>28676025</v>
      </c>
      <c r="G57">
        <f t="shared" si="4"/>
        <v>2.132794857395481E-2</v>
      </c>
    </row>
    <row r="58" spans="1:7" ht="15.75" customHeight="1" x14ac:dyDescent="0.25">
      <c r="A58" s="1" t="s">
        <v>58</v>
      </c>
      <c r="B58" s="2">
        <v>237699</v>
      </c>
      <c r="C58">
        <f t="shared" si="0"/>
        <v>251079</v>
      </c>
      <c r="D58">
        <f t="shared" si="1"/>
        <v>-13380</v>
      </c>
      <c r="E58">
        <f t="shared" si="2"/>
        <v>13380</v>
      </c>
      <c r="F58">
        <f t="shared" si="3"/>
        <v>179024400</v>
      </c>
      <c r="G58">
        <f t="shared" si="4"/>
        <v>5.6289677280930928E-2</v>
      </c>
    </row>
    <row r="59" spans="1:7" ht="15.75" customHeight="1" x14ac:dyDescent="0.25">
      <c r="A59" s="1" t="s">
        <v>59</v>
      </c>
      <c r="B59" s="2">
        <v>230822</v>
      </c>
      <c r="C59">
        <f t="shared" si="0"/>
        <v>237699</v>
      </c>
      <c r="D59">
        <f t="shared" si="1"/>
        <v>-6877</v>
      </c>
      <c r="E59">
        <f t="shared" si="2"/>
        <v>6877</v>
      </c>
      <c r="F59">
        <f t="shared" si="3"/>
        <v>47293129</v>
      </c>
      <c r="G59">
        <f t="shared" si="4"/>
        <v>2.9793520548301287E-2</v>
      </c>
    </row>
    <row r="60" spans="1:7" ht="15.75" customHeight="1" x14ac:dyDescent="0.25">
      <c r="A60" s="1" t="s">
        <v>60</v>
      </c>
      <c r="B60" s="2">
        <v>222248</v>
      </c>
      <c r="C60">
        <f t="shared" si="0"/>
        <v>230822</v>
      </c>
      <c r="D60">
        <f t="shared" si="1"/>
        <v>-8574</v>
      </c>
      <c r="E60">
        <f t="shared" si="2"/>
        <v>8574</v>
      </c>
      <c r="F60">
        <f t="shared" si="3"/>
        <v>73513476</v>
      </c>
      <c r="G60">
        <f t="shared" si="4"/>
        <v>3.8578524891112631E-2</v>
      </c>
    </row>
    <row r="61" spans="1:7" ht="15.75" customHeight="1" x14ac:dyDescent="0.25">
      <c r="A61" s="1" t="s">
        <v>61</v>
      </c>
      <c r="B61" s="2">
        <v>240519</v>
      </c>
      <c r="C61">
        <f t="shared" si="0"/>
        <v>222248</v>
      </c>
      <c r="D61">
        <f t="shared" si="1"/>
        <v>18271</v>
      </c>
      <c r="E61">
        <f t="shared" si="2"/>
        <v>18271</v>
      </c>
      <c r="F61">
        <f t="shared" si="3"/>
        <v>333829441</v>
      </c>
      <c r="G61">
        <f t="shared" si="4"/>
        <v>7.5964892586448465E-2</v>
      </c>
    </row>
    <row r="62" spans="1:7" ht="15.75" customHeight="1" x14ac:dyDescent="0.25">
      <c r="A62" s="1" t="s">
        <v>62</v>
      </c>
      <c r="B62" s="2">
        <v>234969</v>
      </c>
      <c r="C62">
        <f t="shared" si="0"/>
        <v>240519</v>
      </c>
      <c r="D62">
        <f t="shared" si="1"/>
        <v>-5550</v>
      </c>
      <c r="E62">
        <f t="shared" si="2"/>
        <v>5550</v>
      </c>
      <c r="F62">
        <f t="shared" si="3"/>
        <v>30802500</v>
      </c>
      <c r="G62">
        <f t="shared" si="4"/>
        <v>2.3620137124471738E-2</v>
      </c>
    </row>
    <row r="63" spans="1:7" ht="15.75" customHeight="1" x14ac:dyDescent="0.25">
      <c r="A63" s="1" t="s">
        <v>63</v>
      </c>
      <c r="B63" s="2">
        <v>201572</v>
      </c>
      <c r="C63">
        <f t="shared" si="0"/>
        <v>234969</v>
      </c>
      <c r="D63">
        <f t="shared" si="1"/>
        <v>-33397</v>
      </c>
      <c r="E63">
        <f t="shared" si="2"/>
        <v>33397</v>
      </c>
      <c r="F63">
        <f t="shared" si="3"/>
        <v>1115359609</v>
      </c>
      <c r="G63">
        <f t="shared" si="4"/>
        <v>0.1656827337130157</v>
      </c>
    </row>
    <row r="64" spans="1:7" ht="15.75" customHeight="1" x14ac:dyDescent="0.25">
      <c r="A64" s="1" t="s">
        <v>64</v>
      </c>
      <c r="B64" s="2">
        <v>225487</v>
      </c>
      <c r="C64">
        <f t="shared" si="0"/>
        <v>201572</v>
      </c>
      <c r="D64">
        <f t="shared" si="1"/>
        <v>23915</v>
      </c>
      <c r="E64">
        <f t="shared" si="2"/>
        <v>23915</v>
      </c>
      <c r="F64">
        <f t="shared" si="3"/>
        <v>571927225</v>
      </c>
      <c r="G64">
        <f t="shared" si="4"/>
        <v>0.10605932936266836</v>
      </c>
    </row>
    <row r="65" spans="1:7" ht="15.75" customHeight="1" x14ac:dyDescent="0.25">
      <c r="A65" s="1" t="s">
        <v>65</v>
      </c>
      <c r="B65" s="2">
        <v>226639</v>
      </c>
      <c r="C65">
        <f t="shared" si="0"/>
        <v>225487</v>
      </c>
      <c r="D65">
        <f t="shared" si="1"/>
        <v>1152</v>
      </c>
      <c r="E65">
        <f t="shared" si="2"/>
        <v>1152</v>
      </c>
      <c r="F65">
        <f t="shared" si="3"/>
        <v>1327104</v>
      </c>
      <c r="G65">
        <f t="shared" si="4"/>
        <v>5.0829733629251805E-3</v>
      </c>
    </row>
    <row r="66" spans="1:7" ht="15.75" customHeight="1" x14ac:dyDescent="0.25">
      <c r="A66" s="1" t="s">
        <v>66</v>
      </c>
      <c r="B66" s="2">
        <v>222177</v>
      </c>
      <c r="C66">
        <f t="shared" si="0"/>
        <v>226639</v>
      </c>
      <c r="D66">
        <f t="shared" si="1"/>
        <v>-4462</v>
      </c>
      <c r="E66">
        <f t="shared" si="2"/>
        <v>4462</v>
      </c>
      <c r="F66">
        <f t="shared" si="3"/>
        <v>19909444</v>
      </c>
      <c r="G66">
        <f t="shared" si="4"/>
        <v>2.0083086908185815E-2</v>
      </c>
    </row>
    <row r="67" spans="1:7" ht="15.75" customHeight="1" x14ac:dyDescent="0.25">
      <c r="A67" s="1" t="s">
        <v>67</v>
      </c>
      <c r="B67" s="2">
        <v>212025</v>
      </c>
      <c r="C67">
        <f t="shared" si="0"/>
        <v>222177</v>
      </c>
      <c r="D67">
        <f t="shared" si="1"/>
        <v>-10152</v>
      </c>
      <c r="E67">
        <f t="shared" si="2"/>
        <v>10152</v>
      </c>
      <c r="F67">
        <f t="shared" si="3"/>
        <v>103063104</v>
      </c>
      <c r="G67">
        <f t="shared" si="4"/>
        <v>4.7881146091262823E-2</v>
      </c>
    </row>
    <row r="68" spans="1:7" ht="15.75" customHeight="1" x14ac:dyDescent="0.25">
      <c r="A68" s="1" t="s">
        <v>68</v>
      </c>
      <c r="B68" s="2">
        <v>236534</v>
      </c>
      <c r="C68">
        <f t="shared" ref="C68:C131" si="5">B67</f>
        <v>212025</v>
      </c>
      <c r="D68">
        <f t="shared" ref="D68:D131" si="6">B68-C68</f>
        <v>24509</v>
      </c>
      <c r="E68">
        <f t="shared" ref="E68:E131" si="7">ABS(D68)</f>
        <v>24509</v>
      </c>
      <c r="F68">
        <f t="shared" ref="F68:F131" si="8">E68^2</f>
        <v>600691081</v>
      </c>
      <c r="G68">
        <f t="shared" ref="G68:G131" si="9">E68/B68</f>
        <v>0.10361723895930394</v>
      </c>
    </row>
    <row r="69" spans="1:7" ht="15.75" customHeight="1" x14ac:dyDescent="0.25">
      <c r="A69" s="1" t="s">
        <v>69</v>
      </c>
      <c r="B69" s="2">
        <v>231649</v>
      </c>
      <c r="C69">
        <f t="shared" si="5"/>
        <v>236534</v>
      </c>
      <c r="D69">
        <f t="shared" si="6"/>
        <v>-4885</v>
      </c>
      <c r="E69">
        <f t="shared" si="7"/>
        <v>4885</v>
      </c>
      <c r="F69">
        <f t="shared" si="8"/>
        <v>23863225</v>
      </c>
      <c r="G69">
        <f t="shared" si="9"/>
        <v>2.1087939080246407E-2</v>
      </c>
    </row>
    <row r="70" spans="1:7" ht="15.75" customHeight="1" x14ac:dyDescent="0.25">
      <c r="A70" s="1" t="s">
        <v>70</v>
      </c>
      <c r="B70" s="2">
        <v>224851</v>
      </c>
      <c r="C70">
        <f t="shared" si="5"/>
        <v>231649</v>
      </c>
      <c r="D70">
        <f t="shared" si="6"/>
        <v>-6798</v>
      </c>
      <c r="E70">
        <f t="shared" si="7"/>
        <v>6798</v>
      </c>
      <c r="F70">
        <f t="shared" si="8"/>
        <v>46212804</v>
      </c>
      <c r="G70">
        <f t="shared" si="9"/>
        <v>3.0233354532557117E-2</v>
      </c>
    </row>
    <row r="71" spans="1:7" ht="15.75" customHeight="1" x14ac:dyDescent="0.25">
      <c r="A71" s="1" t="s">
        <v>71</v>
      </c>
      <c r="B71" s="2">
        <v>221600</v>
      </c>
      <c r="C71">
        <f t="shared" si="5"/>
        <v>224851</v>
      </c>
      <c r="D71">
        <f t="shared" si="6"/>
        <v>-3251</v>
      </c>
      <c r="E71">
        <f t="shared" si="7"/>
        <v>3251</v>
      </c>
      <c r="F71">
        <f t="shared" si="8"/>
        <v>10569001</v>
      </c>
      <c r="G71">
        <f t="shared" si="9"/>
        <v>1.4670577617328521E-2</v>
      </c>
    </row>
    <row r="72" spans="1:7" ht="15.75" customHeight="1" x14ac:dyDescent="0.25">
      <c r="A72" s="1" t="s">
        <v>72</v>
      </c>
      <c r="B72" s="2">
        <v>218845</v>
      </c>
      <c r="C72">
        <f t="shared" si="5"/>
        <v>221600</v>
      </c>
      <c r="D72">
        <f t="shared" si="6"/>
        <v>-2755</v>
      </c>
      <c r="E72">
        <f t="shared" si="7"/>
        <v>2755</v>
      </c>
      <c r="F72">
        <f t="shared" si="8"/>
        <v>7590025</v>
      </c>
      <c r="G72">
        <f t="shared" si="9"/>
        <v>1.2588818570220933E-2</v>
      </c>
    </row>
    <row r="73" spans="1:7" ht="15.75" customHeight="1" x14ac:dyDescent="0.25">
      <c r="A73" s="1" t="s">
        <v>73</v>
      </c>
      <c r="B73" s="2">
        <v>223978</v>
      </c>
      <c r="C73">
        <f t="shared" si="5"/>
        <v>218845</v>
      </c>
      <c r="D73">
        <f t="shared" si="6"/>
        <v>5133</v>
      </c>
      <c r="E73">
        <f t="shared" si="7"/>
        <v>5133</v>
      </c>
      <c r="F73">
        <f t="shared" si="8"/>
        <v>26347689</v>
      </c>
      <c r="G73">
        <f t="shared" si="9"/>
        <v>2.2917429390386556E-2</v>
      </c>
    </row>
    <row r="74" spans="1:7" ht="15.75" customHeight="1" x14ac:dyDescent="0.25">
      <c r="A74" s="1" t="s">
        <v>74</v>
      </c>
      <c r="B74" s="2">
        <v>222315</v>
      </c>
      <c r="C74">
        <f t="shared" si="5"/>
        <v>223978</v>
      </c>
      <c r="D74">
        <f t="shared" si="6"/>
        <v>-1663</v>
      </c>
      <c r="E74">
        <f t="shared" si="7"/>
        <v>1663</v>
      </c>
      <c r="F74">
        <f t="shared" si="8"/>
        <v>2765569</v>
      </c>
      <c r="G74">
        <f t="shared" si="9"/>
        <v>7.4803769426264538E-3</v>
      </c>
    </row>
    <row r="75" spans="1:7" ht="15.75" customHeight="1" x14ac:dyDescent="0.25">
      <c r="A75" s="1" t="s">
        <v>75</v>
      </c>
      <c r="B75" s="2">
        <v>198807</v>
      </c>
      <c r="C75">
        <f t="shared" si="5"/>
        <v>222315</v>
      </c>
      <c r="D75">
        <f t="shared" si="6"/>
        <v>-23508</v>
      </c>
      <c r="E75">
        <f t="shared" si="7"/>
        <v>23508</v>
      </c>
      <c r="F75">
        <f t="shared" si="8"/>
        <v>552626064</v>
      </c>
      <c r="G75">
        <f t="shared" si="9"/>
        <v>0.11824533341381339</v>
      </c>
    </row>
    <row r="76" spans="1:7" ht="15.75" customHeight="1" x14ac:dyDescent="0.25">
      <c r="A76" s="1" t="s">
        <v>76</v>
      </c>
      <c r="B76" s="2">
        <v>235360</v>
      </c>
      <c r="C76">
        <f t="shared" si="5"/>
        <v>198807</v>
      </c>
      <c r="D76">
        <f t="shared" si="6"/>
        <v>36553</v>
      </c>
      <c r="E76">
        <f t="shared" si="7"/>
        <v>36553</v>
      </c>
      <c r="F76">
        <f t="shared" si="8"/>
        <v>1336121809</v>
      </c>
      <c r="G76">
        <f t="shared" si="9"/>
        <v>0.15530676410605029</v>
      </c>
    </row>
    <row r="77" spans="1:7" ht="15.75" customHeight="1" x14ac:dyDescent="0.25">
      <c r="A77" s="1" t="s">
        <v>77</v>
      </c>
      <c r="B77" s="2">
        <v>216229</v>
      </c>
      <c r="C77">
        <f t="shared" si="5"/>
        <v>235360</v>
      </c>
      <c r="D77">
        <f t="shared" si="6"/>
        <v>-19131</v>
      </c>
      <c r="E77">
        <f t="shared" si="7"/>
        <v>19131</v>
      </c>
      <c r="F77">
        <f t="shared" si="8"/>
        <v>365995161</v>
      </c>
      <c r="G77">
        <f t="shared" si="9"/>
        <v>8.8475643877555743E-2</v>
      </c>
    </row>
    <row r="78" spans="1:7" ht="15.75" customHeight="1" x14ac:dyDescent="0.25">
      <c r="A78" s="1" t="s">
        <v>78</v>
      </c>
      <c r="B78" s="2">
        <v>224604</v>
      </c>
      <c r="C78">
        <f t="shared" si="5"/>
        <v>216229</v>
      </c>
      <c r="D78">
        <f t="shared" si="6"/>
        <v>8375</v>
      </c>
      <c r="E78">
        <f t="shared" si="7"/>
        <v>8375</v>
      </c>
      <c r="F78">
        <f t="shared" si="8"/>
        <v>70140625</v>
      </c>
      <c r="G78">
        <f t="shared" si="9"/>
        <v>3.7287848836173886E-2</v>
      </c>
    </row>
    <row r="79" spans="1:7" ht="15.75" customHeight="1" x14ac:dyDescent="0.25">
      <c r="A79" s="1" t="s">
        <v>79</v>
      </c>
      <c r="B79" s="2">
        <v>219618</v>
      </c>
      <c r="C79">
        <f t="shared" si="5"/>
        <v>224604</v>
      </c>
      <c r="D79">
        <f t="shared" si="6"/>
        <v>-4986</v>
      </c>
      <c r="E79">
        <f t="shared" si="7"/>
        <v>4986</v>
      </c>
      <c r="F79">
        <f t="shared" si="8"/>
        <v>24860196</v>
      </c>
      <c r="G79">
        <f t="shared" si="9"/>
        <v>2.2703057126465045E-2</v>
      </c>
    </row>
    <row r="80" spans="1:7" ht="15.75" customHeight="1" x14ac:dyDescent="0.25">
      <c r="A80" s="1" t="s">
        <v>80</v>
      </c>
      <c r="B80" s="2">
        <v>228160</v>
      </c>
      <c r="C80">
        <f t="shared" si="5"/>
        <v>219618</v>
      </c>
      <c r="D80">
        <f t="shared" si="6"/>
        <v>8542</v>
      </c>
      <c r="E80">
        <f t="shared" si="7"/>
        <v>8542</v>
      </c>
      <c r="F80">
        <f t="shared" si="8"/>
        <v>72965764</v>
      </c>
      <c r="G80">
        <f t="shared" si="9"/>
        <v>3.7438639551192143E-2</v>
      </c>
    </row>
    <row r="81" spans="1:7" ht="15.75" customHeight="1" x14ac:dyDescent="0.25">
      <c r="A81" s="1" t="s">
        <v>81</v>
      </c>
      <c r="B81" s="2">
        <v>239212</v>
      </c>
      <c r="C81">
        <f t="shared" si="5"/>
        <v>228160</v>
      </c>
      <c r="D81">
        <f t="shared" si="6"/>
        <v>11052</v>
      </c>
      <c r="E81">
        <f t="shared" si="7"/>
        <v>11052</v>
      </c>
      <c r="F81">
        <f t="shared" si="8"/>
        <v>122146704</v>
      </c>
      <c r="G81">
        <f t="shared" si="9"/>
        <v>4.6201695567112018E-2</v>
      </c>
    </row>
    <row r="82" spans="1:7" ht="15.75" customHeight="1" x14ac:dyDescent="0.25">
      <c r="A82" s="1" t="s">
        <v>82</v>
      </c>
      <c r="B82" s="2">
        <v>216838</v>
      </c>
      <c r="C82">
        <f t="shared" si="5"/>
        <v>239212</v>
      </c>
      <c r="D82">
        <f t="shared" si="6"/>
        <v>-22374</v>
      </c>
      <c r="E82">
        <f t="shared" si="7"/>
        <v>22374</v>
      </c>
      <c r="F82">
        <f t="shared" si="8"/>
        <v>500595876</v>
      </c>
      <c r="G82">
        <f t="shared" si="9"/>
        <v>0.10318302142613379</v>
      </c>
    </row>
    <row r="83" spans="1:7" ht="15.75" customHeight="1" x14ac:dyDescent="0.25">
      <c r="A83" s="1" t="s">
        <v>83</v>
      </c>
      <c r="B83" s="2">
        <v>220171</v>
      </c>
      <c r="C83">
        <f t="shared" si="5"/>
        <v>216838</v>
      </c>
      <c r="D83">
        <f t="shared" si="6"/>
        <v>3333</v>
      </c>
      <c r="E83">
        <f t="shared" si="7"/>
        <v>3333</v>
      </c>
      <c r="F83">
        <f t="shared" si="8"/>
        <v>11108889</v>
      </c>
      <c r="G83">
        <f t="shared" si="9"/>
        <v>1.5138233463989353E-2</v>
      </c>
    </row>
    <row r="84" spans="1:7" ht="15.75" customHeight="1" x14ac:dyDescent="0.25">
      <c r="A84" s="1" t="s">
        <v>84</v>
      </c>
      <c r="B84" s="2">
        <v>221130</v>
      </c>
      <c r="C84">
        <f t="shared" si="5"/>
        <v>220171</v>
      </c>
      <c r="D84">
        <f t="shared" si="6"/>
        <v>959</v>
      </c>
      <c r="E84">
        <f t="shared" si="7"/>
        <v>959</v>
      </c>
      <c r="F84">
        <f t="shared" si="8"/>
        <v>919681</v>
      </c>
      <c r="G84">
        <f t="shared" si="9"/>
        <v>4.3368154479265586E-3</v>
      </c>
    </row>
    <row r="85" spans="1:7" ht="15.75" customHeight="1" x14ac:dyDescent="0.25">
      <c r="A85" s="1" t="s">
        <v>85</v>
      </c>
      <c r="B85" s="2">
        <v>244965</v>
      </c>
      <c r="C85">
        <f t="shared" si="5"/>
        <v>221130</v>
      </c>
      <c r="D85">
        <f t="shared" si="6"/>
        <v>23835</v>
      </c>
      <c r="E85">
        <f t="shared" si="7"/>
        <v>23835</v>
      </c>
      <c r="F85">
        <f t="shared" si="8"/>
        <v>568107225</v>
      </c>
      <c r="G85">
        <f t="shared" si="9"/>
        <v>9.7299614230604375E-2</v>
      </c>
    </row>
    <row r="86" spans="1:7" ht="15.75" customHeight="1" x14ac:dyDescent="0.25">
      <c r="A86" s="1" t="s">
        <v>86</v>
      </c>
      <c r="B86" s="2">
        <v>236065</v>
      </c>
      <c r="C86">
        <f t="shared" si="5"/>
        <v>244965</v>
      </c>
      <c r="D86">
        <f t="shared" si="6"/>
        <v>-8900</v>
      </c>
      <c r="E86">
        <f t="shared" si="7"/>
        <v>8900</v>
      </c>
      <c r="F86">
        <f t="shared" si="8"/>
        <v>79210000</v>
      </c>
      <c r="G86">
        <f t="shared" si="9"/>
        <v>3.7701480524431827E-2</v>
      </c>
    </row>
    <row r="87" spans="1:7" ht="15.75" customHeight="1" x14ac:dyDescent="0.25">
      <c r="A87" s="1" t="s">
        <v>87</v>
      </c>
      <c r="B87" s="2">
        <v>229492</v>
      </c>
      <c r="C87">
        <f t="shared" si="5"/>
        <v>236065</v>
      </c>
      <c r="D87">
        <f t="shared" si="6"/>
        <v>-6573</v>
      </c>
      <c r="E87">
        <f t="shared" si="7"/>
        <v>6573</v>
      </c>
      <c r="F87">
        <f t="shared" si="8"/>
        <v>43204329</v>
      </c>
      <c r="G87">
        <f t="shared" si="9"/>
        <v>2.86415212730727E-2</v>
      </c>
    </row>
    <row r="88" spans="1:7" ht="15.75" customHeight="1" x14ac:dyDescent="0.25">
      <c r="A88" s="1" t="s">
        <v>88</v>
      </c>
      <c r="B88" s="2">
        <v>248383</v>
      </c>
      <c r="C88">
        <f t="shared" si="5"/>
        <v>229492</v>
      </c>
      <c r="D88">
        <f t="shared" si="6"/>
        <v>18891</v>
      </c>
      <c r="E88">
        <f t="shared" si="7"/>
        <v>18891</v>
      </c>
      <c r="F88">
        <f t="shared" si="8"/>
        <v>356869881</v>
      </c>
      <c r="G88">
        <f t="shared" si="9"/>
        <v>7.6055929753646584E-2</v>
      </c>
    </row>
    <row r="89" spans="1:7" ht="15.75" customHeight="1" x14ac:dyDescent="0.25">
      <c r="A89" s="1" t="s">
        <v>89</v>
      </c>
      <c r="B89" s="2">
        <v>228344</v>
      </c>
      <c r="C89">
        <f t="shared" si="5"/>
        <v>248383</v>
      </c>
      <c r="D89">
        <f t="shared" si="6"/>
        <v>-20039</v>
      </c>
      <c r="E89">
        <f t="shared" si="7"/>
        <v>20039</v>
      </c>
      <c r="F89">
        <f t="shared" si="8"/>
        <v>401561521</v>
      </c>
      <c r="G89">
        <f t="shared" si="9"/>
        <v>8.7757944154433665E-2</v>
      </c>
    </row>
    <row r="90" spans="1:7" ht="15.75" customHeight="1" x14ac:dyDescent="0.25">
      <c r="A90" s="1" t="s">
        <v>90</v>
      </c>
      <c r="B90" s="2">
        <v>245749</v>
      </c>
      <c r="C90">
        <f t="shared" si="5"/>
        <v>228344</v>
      </c>
      <c r="D90">
        <f t="shared" si="6"/>
        <v>17405</v>
      </c>
      <c r="E90">
        <f t="shared" si="7"/>
        <v>17405</v>
      </c>
      <c r="F90">
        <f t="shared" si="8"/>
        <v>302934025</v>
      </c>
      <c r="G90">
        <f t="shared" si="9"/>
        <v>7.0824296334878273E-2</v>
      </c>
    </row>
    <row r="91" spans="1:7" ht="15.75" customHeight="1" x14ac:dyDescent="0.25">
      <c r="A91" s="1" t="s">
        <v>91</v>
      </c>
      <c r="B91" s="2">
        <v>226802</v>
      </c>
      <c r="C91">
        <f t="shared" si="5"/>
        <v>245749</v>
      </c>
      <c r="D91">
        <f t="shared" si="6"/>
        <v>-18947</v>
      </c>
      <c r="E91">
        <f t="shared" si="7"/>
        <v>18947</v>
      </c>
      <c r="F91">
        <f t="shared" si="8"/>
        <v>358988809</v>
      </c>
      <c r="G91">
        <f t="shared" si="9"/>
        <v>8.353982769111383E-2</v>
      </c>
    </row>
    <row r="92" spans="1:7" ht="15.75" customHeight="1" x14ac:dyDescent="0.25">
      <c r="A92" s="1" t="s">
        <v>92</v>
      </c>
      <c r="B92" s="2">
        <v>250986</v>
      </c>
      <c r="C92">
        <f t="shared" si="5"/>
        <v>226802</v>
      </c>
      <c r="D92">
        <f t="shared" si="6"/>
        <v>24184</v>
      </c>
      <c r="E92">
        <f t="shared" si="7"/>
        <v>24184</v>
      </c>
      <c r="F92">
        <f t="shared" si="8"/>
        <v>584865856</v>
      </c>
      <c r="G92">
        <f t="shared" si="9"/>
        <v>9.6355972046249586E-2</v>
      </c>
    </row>
    <row r="93" spans="1:7" ht="15.75" customHeight="1" x14ac:dyDescent="0.25">
      <c r="A93" s="1" t="s">
        <v>93</v>
      </c>
      <c r="B93" s="2">
        <v>248482</v>
      </c>
      <c r="C93">
        <f t="shared" si="5"/>
        <v>250986</v>
      </c>
      <c r="D93">
        <f t="shared" si="6"/>
        <v>-2504</v>
      </c>
      <c r="E93">
        <f t="shared" si="7"/>
        <v>2504</v>
      </c>
      <c r="F93">
        <f t="shared" si="8"/>
        <v>6270016</v>
      </c>
      <c r="G93">
        <f t="shared" si="9"/>
        <v>1.0077188689724004E-2</v>
      </c>
    </row>
    <row r="94" spans="1:7" ht="15.75" customHeight="1" x14ac:dyDescent="0.25">
      <c r="A94" s="1" t="s">
        <v>94</v>
      </c>
      <c r="B94" s="2">
        <v>241213</v>
      </c>
      <c r="C94">
        <f t="shared" si="5"/>
        <v>248482</v>
      </c>
      <c r="D94">
        <f t="shared" si="6"/>
        <v>-7269</v>
      </c>
      <c r="E94">
        <f t="shared" si="7"/>
        <v>7269</v>
      </c>
      <c r="F94">
        <f t="shared" si="8"/>
        <v>52838361</v>
      </c>
      <c r="G94">
        <f t="shared" si="9"/>
        <v>3.0135191718522632E-2</v>
      </c>
    </row>
    <row r="95" spans="1:7" ht="15.75" customHeight="1" x14ac:dyDescent="0.25">
      <c r="A95" s="1" t="s">
        <v>95</v>
      </c>
      <c r="B95" s="2">
        <v>234666</v>
      </c>
      <c r="C95">
        <f t="shared" si="5"/>
        <v>241213</v>
      </c>
      <c r="D95">
        <f t="shared" si="6"/>
        <v>-6547</v>
      </c>
      <c r="E95">
        <f t="shared" si="7"/>
        <v>6547</v>
      </c>
      <c r="F95">
        <f t="shared" si="8"/>
        <v>42863209</v>
      </c>
      <c r="G95">
        <f t="shared" si="9"/>
        <v>2.7899226986440304E-2</v>
      </c>
    </row>
    <row r="96" spans="1:7" ht="15.75" customHeight="1" x14ac:dyDescent="0.25">
      <c r="A96" s="1" t="s">
        <v>96</v>
      </c>
      <c r="B96" s="2">
        <v>240691</v>
      </c>
      <c r="C96">
        <f t="shared" si="5"/>
        <v>234666</v>
      </c>
      <c r="D96">
        <f t="shared" si="6"/>
        <v>6025</v>
      </c>
      <c r="E96">
        <f t="shared" si="7"/>
        <v>6025</v>
      </c>
      <c r="F96">
        <f t="shared" si="8"/>
        <v>36300625</v>
      </c>
      <c r="G96">
        <f t="shared" si="9"/>
        <v>2.5032095092878421E-2</v>
      </c>
    </row>
    <row r="97" spans="1:7" ht="15.75" customHeight="1" x14ac:dyDescent="0.25">
      <c r="A97" s="1" t="s">
        <v>97</v>
      </c>
      <c r="B97" s="2">
        <v>242213</v>
      </c>
      <c r="C97">
        <f t="shared" si="5"/>
        <v>240691</v>
      </c>
      <c r="D97">
        <f t="shared" si="6"/>
        <v>1522</v>
      </c>
      <c r="E97">
        <f t="shared" si="7"/>
        <v>1522</v>
      </c>
      <c r="F97">
        <f t="shared" si="8"/>
        <v>2316484</v>
      </c>
      <c r="G97">
        <f t="shared" si="9"/>
        <v>6.2837254812912599E-3</v>
      </c>
    </row>
    <row r="98" spans="1:7" ht="15.75" customHeight="1" x14ac:dyDescent="0.25">
      <c r="A98" s="1" t="s">
        <v>98</v>
      </c>
      <c r="B98" s="2">
        <v>262811</v>
      </c>
      <c r="C98">
        <f t="shared" si="5"/>
        <v>242213</v>
      </c>
      <c r="D98">
        <f t="shared" si="6"/>
        <v>20598</v>
      </c>
      <c r="E98">
        <f t="shared" si="7"/>
        <v>20598</v>
      </c>
      <c r="F98">
        <f t="shared" si="8"/>
        <v>424277604</v>
      </c>
      <c r="G98">
        <f t="shared" si="9"/>
        <v>7.8375714867338131E-2</v>
      </c>
    </row>
    <row r="99" spans="1:7" ht="15.75" customHeight="1" x14ac:dyDescent="0.25">
      <c r="A99" s="1" t="s">
        <v>99</v>
      </c>
      <c r="B99" s="2">
        <v>220558</v>
      </c>
      <c r="C99">
        <f t="shared" si="5"/>
        <v>262811</v>
      </c>
      <c r="D99">
        <f t="shared" si="6"/>
        <v>-42253</v>
      </c>
      <c r="E99">
        <f t="shared" si="7"/>
        <v>42253</v>
      </c>
      <c r="F99">
        <f t="shared" si="8"/>
        <v>1785316009</v>
      </c>
      <c r="G99">
        <f t="shared" si="9"/>
        <v>0.19157319163213304</v>
      </c>
    </row>
    <row r="100" spans="1:7" ht="15.75" customHeight="1" x14ac:dyDescent="0.25">
      <c r="A100" s="1" t="s">
        <v>100</v>
      </c>
      <c r="B100" s="2">
        <v>253114</v>
      </c>
      <c r="C100">
        <f t="shared" si="5"/>
        <v>220558</v>
      </c>
      <c r="D100">
        <f t="shared" si="6"/>
        <v>32556</v>
      </c>
      <c r="E100">
        <f t="shared" si="7"/>
        <v>32556</v>
      </c>
      <c r="F100">
        <f t="shared" si="8"/>
        <v>1059893136</v>
      </c>
      <c r="G100">
        <f t="shared" si="9"/>
        <v>0.12862188579059239</v>
      </c>
    </row>
    <row r="101" spans="1:7" ht="15.75" customHeight="1" x14ac:dyDescent="0.25">
      <c r="A101" s="1" t="s">
        <v>101</v>
      </c>
      <c r="B101" s="2">
        <v>246132</v>
      </c>
      <c r="C101">
        <f t="shared" si="5"/>
        <v>253114</v>
      </c>
      <c r="D101">
        <f t="shared" si="6"/>
        <v>-6982</v>
      </c>
      <c r="E101">
        <f t="shared" si="7"/>
        <v>6982</v>
      </c>
      <c r="F101">
        <f t="shared" si="8"/>
        <v>48748324</v>
      </c>
      <c r="G101">
        <f t="shared" si="9"/>
        <v>2.8366892561714853E-2</v>
      </c>
    </row>
    <row r="102" spans="1:7" ht="15.75" customHeight="1" x14ac:dyDescent="0.25">
      <c r="A102" s="1" t="s">
        <v>102</v>
      </c>
      <c r="B102" s="2">
        <v>264554</v>
      </c>
      <c r="C102">
        <f t="shared" si="5"/>
        <v>246132</v>
      </c>
      <c r="D102">
        <f t="shared" si="6"/>
        <v>18422</v>
      </c>
      <c r="E102">
        <f t="shared" si="7"/>
        <v>18422</v>
      </c>
      <c r="F102">
        <f t="shared" si="8"/>
        <v>339370084</v>
      </c>
      <c r="G102">
        <f t="shared" si="9"/>
        <v>6.9634176765424077E-2</v>
      </c>
    </row>
    <row r="103" spans="1:7" ht="15.75" customHeight="1" x14ac:dyDescent="0.25">
      <c r="A103" s="1" t="s">
        <v>103</v>
      </c>
      <c r="B103" s="2">
        <v>242677</v>
      </c>
      <c r="C103">
        <f t="shared" si="5"/>
        <v>264554</v>
      </c>
      <c r="D103">
        <f t="shared" si="6"/>
        <v>-21877</v>
      </c>
      <c r="E103">
        <f t="shared" si="7"/>
        <v>21877</v>
      </c>
      <c r="F103">
        <f t="shared" si="8"/>
        <v>478603129</v>
      </c>
      <c r="G103">
        <f t="shared" si="9"/>
        <v>9.0148633780704396E-2</v>
      </c>
    </row>
    <row r="104" spans="1:7" ht="15.75" customHeight="1" x14ac:dyDescent="0.25">
      <c r="A104" s="1" t="s">
        <v>104</v>
      </c>
      <c r="B104" s="2">
        <v>245369</v>
      </c>
      <c r="C104">
        <f t="shared" si="5"/>
        <v>242677</v>
      </c>
      <c r="D104">
        <f t="shared" si="6"/>
        <v>2692</v>
      </c>
      <c r="E104">
        <f t="shared" si="7"/>
        <v>2692</v>
      </c>
      <c r="F104">
        <f t="shared" si="8"/>
        <v>7246864</v>
      </c>
      <c r="G104">
        <f t="shared" si="9"/>
        <v>1.097123108461134E-2</v>
      </c>
    </row>
    <row r="105" spans="1:7" ht="15.75" customHeight="1" x14ac:dyDescent="0.25">
      <c r="A105" s="1" t="s">
        <v>105</v>
      </c>
      <c r="B105" s="2">
        <v>245611</v>
      </c>
      <c r="C105">
        <f t="shared" si="5"/>
        <v>245369</v>
      </c>
      <c r="D105">
        <f t="shared" si="6"/>
        <v>242</v>
      </c>
      <c r="E105">
        <f t="shared" si="7"/>
        <v>242</v>
      </c>
      <c r="F105">
        <f t="shared" si="8"/>
        <v>58564</v>
      </c>
      <c r="G105">
        <f t="shared" si="9"/>
        <v>9.8529788975249477E-4</v>
      </c>
    </row>
    <row r="106" spans="1:7" ht="15.75" customHeight="1" x14ac:dyDescent="0.25">
      <c r="A106" s="1" t="s">
        <v>106</v>
      </c>
      <c r="B106" s="2">
        <v>219708</v>
      </c>
      <c r="C106">
        <f t="shared" si="5"/>
        <v>245611</v>
      </c>
      <c r="D106">
        <f t="shared" si="6"/>
        <v>-25903</v>
      </c>
      <c r="E106">
        <f t="shared" si="7"/>
        <v>25903</v>
      </c>
      <c r="F106">
        <f t="shared" si="8"/>
        <v>670965409</v>
      </c>
      <c r="G106">
        <f t="shared" si="9"/>
        <v>0.11789739108270977</v>
      </c>
    </row>
    <row r="107" spans="1:7" ht="15.75" customHeight="1" x14ac:dyDescent="0.25">
      <c r="A107" s="1" t="s">
        <v>107</v>
      </c>
      <c r="B107" s="2">
        <v>238109</v>
      </c>
      <c r="C107">
        <f t="shared" si="5"/>
        <v>219708</v>
      </c>
      <c r="D107">
        <f t="shared" si="6"/>
        <v>18401</v>
      </c>
      <c r="E107">
        <f t="shared" si="7"/>
        <v>18401</v>
      </c>
      <c r="F107">
        <f t="shared" si="8"/>
        <v>338596801</v>
      </c>
      <c r="G107">
        <f t="shared" si="9"/>
        <v>7.727973323141922E-2</v>
      </c>
    </row>
    <row r="108" spans="1:7" ht="15.75" customHeight="1" x14ac:dyDescent="0.25">
      <c r="A108" s="1" t="s">
        <v>108</v>
      </c>
      <c r="B108" s="2">
        <v>230230</v>
      </c>
      <c r="C108">
        <f t="shared" si="5"/>
        <v>238109</v>
      </c>
      <c r="D108">
        <f t="shared" si="6"/>
        <v>-7879</v>
      </c>
      <c r="E108">
        <f t="shared" si="7"/>
        <v>7879</v>
      </c>
      <c r="F108">
        <f t="shared" si="8"/>
        <v>62078641</v>
      </c>
      <c r="G108">
        <f t="shared" si="9"/>
        <v>3.4222299439690747E-2</v>
      </c>
    </row>
    <row r="109" spans="1:7" ht="15.75" customHeight="1" x14ac:dyDescent="0.25">
      <c r="A109" s="1" t="s">
        <v>109</v>
      </c>
      <c r="B109" s="2">
        <v>241245</v>
      </c>
      <c r="C109">
        <f t="shared" si="5"/>
        <v>230230</v>
      </c>
      <c r="D109">
        <f t="shared" si="6"/>
        <v>11015</v>
      </c>
      <c r="E109">
        <f t="shared" si="7"/>
        <v>11015</v>
      </c>
      <c r="F109">
        <f t="shared" si="8"/>
        <v>121330225</v>
      </c>
      <c r="G109">
        <f t="shared" si="9"/>
        <v>4.5658977388132398E-2</v>
      </c>
    </row>
    <row r="110" spans="1:7" ht="15.75" customHeight="1" x14ac:dyDescent="0.25">
      <c r="A110" s="1" t="s">
        <v>110</v>
      </c>
      <c r="B110" s="2">
        <v>248552</v>
      </c>
      <c r="C110">
        <f t="shared" si="5"/>
        <v>241245</v>
      </c>
      <c r="D110">
        <f t="shared" si="6"/>
        <v>7307</v>
      </c>
      <c r="E110">
        <f t="shared" si="7"/>
        <v>7307</v>
      </c>
      <c r="F110">
        <f t="shared" si="8"/>
        <v>53392249</v>
      </c>
      <c r="G110">
        <f t="shared" si="9"/>
        <v>2.9398274807686118E-2</v>
      </c>
    </row>
    <row r="111" spans="1:7" ht="15.75" customHeight="1" x14ac:dyDescent="0.25">
      <c r="A111" s="1" t="s">
        <v>111</v>
      </c>
      <c r="B111" s="2">
        <v>209942</v>
      </c>
      <c r="C111">
        <f t="shared" si="5"/>
        <v>248552</v>
      </c>
      <c r="D111">
        <f t="shared" si="6"/>
        <v>-38610</v>
      </c>
      <c r="E111">
        <f t="shared" si="7"/>
        <v>38610</v>
      </c>
      <c r="F111">
        <f t="shared" si="8"/>
        <v>1490732100</v>
      </c>
      <c r="G111">
        <f t="shared" si="9"/>
        <v>0.18390793647769385</v>
      </c>
    </row>
    <row r="112" spans="1:7" ht="15.75" customHeight="1" x14ac:dyDescent="0.25">
      <c r="A112" s="1" t="s">
        <v>112</v>
      </c>
      <c r="B112" s="2">
        <v>236216</v>
      </c>
      <c r="C112">
        <f t="shared" si="5"/>
        <v>209942</v>
      </c>
      <c r="D112">
        <f t="shared" si="6"/>
        <v>26274</v>
      </c>
      <c r="E112">
        <f t="shared" si="7"/>
        <v>26274</v>
      </c>
      <c r="F112">
        <f t="shared" si="8"/>
        <v>690323076</v>
      </c>
      <c r="G112">
        <f t="shared" si="9"/>
        <v>0.11122870593016561</v>
      </c>
    </row>
    <row r="113" spans="1:7" ht="15.75" customHeight="1" x14ac:dyDescent="0.25">
      <c r="A113" s="1" t="s">
        <v>113</v>
      </c>
      <c r="B113" s="2">
        <v>247608</v>
      </c>
      <c r="C113">
        <f t="shared" si="5"/>
        <v>236216</v>
      </c>
      <c r="D113">
        <f t="shared" si="6"/>
        <v>11392</v>
      </c>
      <c r="E113">
        <f t="shared" si="7"/>
        <v>11392</v>
      </c>
      <c r="F113">
        <f t="shared" si="8"/>
        <v>129777664</v>
      </c>
      <c r="G113">
        <f t="shared" si="9"/>
        <v>4.6008206519983198E-2</v>
      </c>
    </row>
    <row r="114" spans="1:7" ht="15.75" customHeight="1" x14ac:dyDescent="0.25">
      <c r="A114" s="1" t="s">
        <v>114</v>
      </c>
      <c r="B114" s="2">
        <v>242857</v>
      </c>
      <c r="C114">
        <f t="shared" si="5"/>
        <v>247608</v>
      </c>
      <c r="D114">
        <f t="shared" si="6"/>
        <v>-4751</v>
      </c>
      <c r="E114">
        <f t="shared" si="7"/>
        <v>4751</v>
      </c>
      <c r="F114">
        <f t="shared" si="8"/>
        <v>22572001</v>
      </c>
      <c r="G114">
        <f t="shared" si="9"/>
        <v>1.9562952684089814E-2</v>
      </c>
    </row>
    <row r="115" spans="1:7" ht="15.75" customHeight="1" x14ac:dyDescent="0.25">
      <c r="A115" s="1" t="s">
        <v>115</v>
      </c>
      <c r="B115" s="2">
        <v>254283</v>
      </c>
      <c r="C115">
        <f t="shared" si="5"/>
        <v>242857</v>
      </c>
      <c r="D115">
        <f t="shared" si="6"/>
        <v>11426</v>
      </c>
      <c r="E115">
        <f t="shared" si="7"/>
        <v>11426</v>
      </c>
      <c r="F115">
        <f t="shared" si="8"/>
        <v>130553476</v>
      </c>
      <c r="G115">
        <f t="shared" si="9"/>
        <v>4.4934187499754211E-2</v>
      </c>
    </row>
    <row r="116" spans="1:7" ht="15.75" customHeight="1" x14ac:dyDescent="0.25">
      <c r="A116" s="1" t="s">
        <v>116</v>
      </c>
      <c r="B116" s="2">
        <v>246671</v>
      </c>
      <c r="C116">
        <f t="shared" si="5"/>
        <v>254283</v>
      </c>
      <c r="D116">
        <f t="shared" si="6"/>
        <v>-7612</v>
      </c>
      <c r="E116">
        <f t="shared" si="7"/>
        <v>7612</v>
      </c>
      <c r="F116">
        <f t="shared" si="8"/>
        <v>57942544</v>
      </c>
      <c r="G116">
        <f t="shared" si="9"/>
        <v>3.0858917343343967E-2</v>
      </c>
    </row>
    <row r="117" spans="1:7" ht="15.75" customHeight="1" x14ac:dyDescent="0.25">
      <c r="A117" s="1" t="s">
        <v>117</v>
      </c>
      <c r="B117" s="2">
        <v>247656</v>
      </c>
      <c r="C117">
        <f t="shared" si="5"/>
        <v>246671</v>
      </c>
      <c r="D117">
        <f t="shared" si="6"/>
        <v>985</v>
      </c>
      <c r="E117">
        <f t="shared" si="7"/>
        <v>985</v>
      </c>
      <c r="F117">
        <f t="shared" si="8"/>
        <v>970225</v>
      </c>
      <c r="G117">
        <f t="shared" si="9"/>
        <v>3.9772910811771162E-3</v>
      </c>
    </row>
    <row r="118" spans="1:7" ht="15.75" customHeight="1" x14ac:dyDescent="0.25">
      <c r="A118" s="1" t="s">
        <v>118</v>
      </c>
      <c r="B118" s="2">
        <v>227795</v>
      </c>
      <c r="C118">
        <f t="shared" si="5"/>
        <v>247656</v>
      </c>
      <c r="D118">
        <f t="shared" si="6"/>
        <v>-19861</v>
      </c>
      <c r="E118">
        <f t="shared" si="7"/>
        <v>19861</v>
      </c>
      <c r="F118">
        <f t="shared" si="8"/>
        <v>394459321</v>
      </c>
      <c r="G118">
        <f t="shared" si="9"/>
        <v>8.7188041879760314E-2</v>
      </c>
    </row>
    <row r="119" spans="1:7" ht="15.75" customHeight="1" x14ac:dyDescent="0.25">
      <c r="A119" s="1" t="s">
        <v>119</v>
      </c>
      <c r="B119" s="2">
        <v>227975</v>
      </c>
      <c r="C119">
        <f t="shared" si="5"/>
        <v>227795</v>
      </c>
      <c r="D119">
        <f t="shared" si="6"/>
        <v>180</v>
      </c>
      <c r="E119">
        <f t="shared" si="7"/>
        <v>180</v>
      </c>
      <c r="F119">
        <f t="shared" si="8"/>
        <v>32400</v>
      </c>
      <c r="G119">
        <f t="shared" si="9"/>
        <v>7.8956025880030705E-4</v>
      </c>
    </row>
    <row r="120" spans="1:7" ht="15.75" customHeight="1" x14ac:dyDescent="0.25">
      <c r="A120" s="1" t="s">
        <v>120</v>
      </c>
      <c r="B120" s="2">
        <v>226251</v>
      </c>
      <c r="C120">
        <f t="shared" si="5"/>
        <v>227975</v>
      </c>
      <c r="D120">
        <f t="shared" si="6"/>
        <v>-1724</v>
      </c>
      <c r="E120">
        <f t="shared" si="7"/>
        <v>1724</v>
      </c>
      <c r="F120">
        <f t="shared" si="8"/>
        <v>2972176</v>
      </c>
      <c r="G120">
        <f t="shared" si="9"/>
        <v>7.6198558238416625E-3</v>
      </c>
    </row>
    <row r="121" spans="1:7" ht="15.75" customHeight="1" x14ac:dyDescent="0.25">
      <c r="A121" s="1" t="s">
        <v>121</v>
      </c>
      <c r="B121" s="2">
        <v>219240</v>
      </c>
      <c r="C121">
        <f t="shared" si="5"/>
        <v>226251</v>
      </c>
      <c r="D121">
        <f t="shared" si="6"/>
        <v>-7011</v>
      </c>
      <c r="E121">
        <f t="shared" si="7"/>
        <v>7011</v>
      </c>
      <c r="F121">
        <f t="shared" si="8"/>
        <v>49154121</v>
      </c>
      <c r="G121">
        <f t="shared" si="9"/>
        <v>3.1978653530377668E-2</v>
      </c>
    </row>
    <row r="122" spans="1:7" ht="15.75" customHeight="1" x14ac:dyDescent="0.25">
      <c r="A122" s="1" t="s">
        <v>122</v>
      </c>
      <c r="B122" s="2">
        <v>234307</v>
      </c>
      <c r="C122">
        <f t="shared" si="5"/>
        <v>219240</v>
      </c>
      <c r="D122">
        <f t="shared" si="6"/>
        <v>15067</v>
      </c>
      <c r="E122">
        <f t="shared" si="7"/>
        <v>15067</v>
      </c>
      <c r="F122">
        <f t="shared" si="8"/>
        <v>227014489</v>
      </c>
      <c r="G122">
        <f t="shared" si="9"/>
        <v>6.4304523552433351E-2</v>
      </c>
    </row>
    <row r="123" spans="1:7" ht="15.75" customHeight="1" x14ac:dyDescent="0.25">
      <c r="A123" s="1" t="s">
        <v>123</v>
      </c>
      <c r="B123" s="2">
        <v>178257</v>
      </c>
      <c r="C123">
        <f t="shared" si="5"/>
        <v>234307</v>
      </c>
      <c r="D123">
        <f t="shared" si="6"/>
        <v>-56050</v>
      </c>
      <c r="E123">
        <f t="shared" si="7"/>
        <v>56050</v>
      </c>
      <c r="F123">
        <f t="shared" si="8"/>
        <v>3141602500</v>
      </c>
      <c r="G123">
        <f t="shared" si="9"/>
        <v>0.31443365477933544</v>
      </c>
    </row>
    <row r="124" spans="1:7" ht="15.75" customHeight="1" x14ac:dyDescent="0.25">
      <c r="A124" s="1" t="s">
        <v>124</v>
      </c>
      <c r="B124" s="2">
        <v>210276</v>
      </c>
      <c r="C124">
        <f t="shared" si="5"/>
        <v>178257</v>
      </c>
      <c r="D124">
        <f t="shared" si="6"/>
        <v>32019</v>
      </c>
      <c r="E124">
        <f t="shared" si="7"/>
        <v>32019</v>
      </c>
      <c r="F124">
        <f t="shared" si="8"/>
        <v>1025216361</v>
      </c>
      <c r="G124">
        <f t="shared" si="9"/>
        <v>0.15227130057638533</v>
      </c>
    </row>
    <row r="125" spans="1:7" ht="15.75" customHeight="1" x14ac:dyDescent="0.25">
      <c r="A125" s="1" t="s">
        <v>125</v>
      </c>
      <c r="B125" s="2">
        <v>209958</v>
      </c>
      <c r="C125">
        <f t="shared" si="5"/>
        <v>210276</v>
      </c>
      <c r="D125">
        <f t="shared" si="6"/>
        <v>-318</v>
      </c>
      <c r="E125">
        <f t="shared" si="7"/>
        <v>318</v>
      </c>
      <c r="F125">
        <f t="shared" si="8"/>
        <v>101124</v>
      </c>
      <c r="G125">
        <f t="shared" si="9"/>
        <v>1.5145886320121168E-3</v>
      </c>
    </row>
    <row r="126" spans="1:7" ht="15.75" customHeight="1" x14ac:dyDescent="0.25">
      <c r="A126" s="1" t="s">
        <v>126</v>
      </c>
      <c r="B126" s="2">
        <v>221259</v>
      </c>
      <c r="C126">
        <f t="shared" si="5"/>
        <v>209958</v>
      </c>
      <c r="D126">
        <f t="shared" si="6"/>
        <v>11301</v>
      </c>
      <c r="E126">
        <f t="shared" si="7"/>
        <v>11301</v>
      </c>
      <c r="F126">
        <f t="shared" si="8"/>
        <v>127712601</v>
      </c>
      <c r="G126">
        <f t="shared" si="9"/>
        <v>5.1075888438436405E-2</v>
      </c>
    </row>
    <row r="127" spans="1:7" ht="15.75" customHeight="1" x14ac:dyDescent="0.25">
      <c r="A127" s="1" t="s">
        <v>127</v>
      </c>
      <c r="B127" s="2">
        <v>214563</v>
      </c>
      <c r="C127">
        <f t="shared" si="5"/>
        <v>221259</v>
      </c>
      <c r="D127">
        <f t="shared" si="6"/>
        <v>-6696</v>
      </c>
      <c r="E127">
        <f t="shared" si="7"/>
        <v>6696</v>
      </c>
      <c r="F127">
        <f t="shared" si="8"/>
        <v>44836416</v>
      </c>
      <c r="G127">
        <f t="shared" si="9"/>
        <v>3.1207617343157953E-2</v>
      </c>
    </row>
    <row r="128" spans="1:7" ht="15.75" customHeight="1" x14ac:dyDescent="0.25">
      <c r="A128" s="1" t="s">
        <v>128</v>
      </c>
      <c r="B128" s="2">
        <v>215083</v>
      </c>
      <c r="C128">
        <f t="shared" si="5"/>
        <v>214563</v>
      </c>
      <c r="D128">
        <f t="shared" si="6"/>
        <v>520</v>
      </c>
      <c r="E128">
        <f t="shared" si="7"/>
        <v>520</v>
      </c>
      <c r="F128">
        <f t="shared" si="8"/>
        <v>270400</v>
      </c>
      <c r="G128">
        <f t="shared" si="9"/>
        <v>2.4176713175843743E-3</v>
      </c>
    </row>
    <row r="129" spans="1:7" ht="15.75" customHeight="1" x14ac:dyDescent="0.25">
      <c r="A129" s="1" t="s">
        <v>129</v>
      </c>
      <c r="B129" s="2">
        <v>215273</v>
      </c>
      <c r="C129">
        <f t="shared" si="5"/>
        <v>215083</v>
      </c>
      <c r="D129">
        <f t="shared" si="6"/>
        <v>190</v>
      </c>
      <c r="E129">
        <f t="shared" si="7"/>
        <v>190</v>
      </c>
      <c r="F129">
        <f t="shared" si="8"/>
        <v>36100</v>
      </c>
      <c r="G129">
        <f t="shared" si="9"/>
        <v>8.8260023319227212E-4</v>
      </c>
    </row>
    <row r="130" spans="1:7" ht="15.75" customHeight="1" x14ac:dyDescent="0.25">
      <c r="A130" s="1" t="s">
        <v>130</v>
      </c>
      <c r="B130" s="2">
        <v>194485</v>
      </c>
      <c r="C130">
        <f t="shared" si="5"/>
        <v>215273</v>
      </c>
      <c r="D130">
        <f t="shared" si="6"/>
        <v>-20788</v>
      </c>
      <c r="E130">
        <f t="shared" si="7"/>
        <v>20788</v>
      </c>
      <c r="F130">
        <f t="shared" si="8"/>
        <v>432140944</v>
      </c>
      <c r="G130">
        <f t="shared" si="9"/>
        <v>0.10688742062369849</v>
      </c>
    </row>
    <row r="131" spans="1:7" ht="15.75" customHeight="1" x14ac:dyDescent="0.25">
      <c r="A131" s="1" t="s">
        <v>131</v>
      </c>
      <c r="B131" s="2">
        <v>193493</v>
      </c>
      <c r="C131">
        <f t="shared" si="5"/>
        <v>194485</v>
      </c>
      <c r="D131">
        <f t="shared" si="6"/>
        <v>-992</v>
      </c>
      <c r="E131">
        <f t="shared" si="7"/>
        <v>992</v>
      </c>
      <c r="F131">
        <f t="shared" si="8"/>
        <v>984064</v>
      </c>
      <c r="G131">
        <f t="shared" si="9"/>
        <v>5.126800452729556E-3</v>
      </c>
    </row>
    <row r="132" spans="1:7" ht="15.75" customHeight="1" x14ac:dyDescent="0.25">
      <c r="A132" s="1" t="s">
        <v>132</v>
      </c>
      <c r="B132" s="2">
        <v>174531</v>
      </c>
      <c r="C132">
        <f t="shared" ref="C132:C168" si="10">B131</f>
        <v>193493</v>
      </c>
      <c r="D132">
        <f t="shared" ref="D132:D168" si="11">B132-C132</f>
        <v>-18962</v>
      </c>
      <c r="E132">
        <f t="shared" ref="E132:E168" si="12">ABS(D132)</f>
        <v>18962</v>
      </c>
      <c r="F132">
        <f t="shared" ref="F132:F168" si="13">E132^2</f>
        <v>359557444</v>
      </c>
      <c r="G132">
        <f t="shared" ref="G132:G168" si="14">E132/B132</f>
        <v>0.10864545553511984</v>
      </c>
    </row>
    <row r="133" spans="1:7" ht="15.75" customHeight="1" x14ac:dyDescent="0.25">
      <c r="A133" s="1" t="s">
        <v>133</v>
      </c>
      <c r="B133" s="2">
        <v>211837</v>
      </c>
      <c r="C133">
        <f t="shared" si="10"/>
        <v>174531</v>
      </c>
      <c r="D133">
        <f t="shared" si="11"/>
        <v>37306</v>
      </c>
      <c r="E133">
        <f t="shared" si="12"/>
        <v>37306</v>
      </c>
      <c r="F133">
        <f t="shared" si="13"/>
        <v>1391737636</v>
      </c>
      <c r="G133">
        <f t="shared" si="14"/>
        <v>0.17610710121461312</v>
      </c>
    </row>
    <row r="134" spans="1:7" ht="15.75" customHeight="1" x14ac:dyDescent="0.25">
      <c r="A134" s="1" t="s">
        <v>134</v>
      </c>
      <c r="B134" s="2">
        <v>198663</v>
      </c>
      <c r="C134">
        <f t="shared" si="10"/>
        <v>211837</v>
      </c>
      <c r="D134">
        <f t="shared" si="11"/>
        <v>-13174</v>
      </c>
      <c r="E134">
        <f t="shared" si="12"/>
        <v>13174</v>
      </c>
      <c r="F134">
        <f t="shared" si="13"/>
        <v>173554276</v>
      </c>
      <c r="G134">
        <f t="shared" si="14"/>
        <v>6.6313304440182616E-2</v>
      </c>
    </row>
    <row r="135" spans="1:7" ht="15.75" customHeight="1" x14ac:dyDescent="0.25">
      <c r="A135" s="1" t="s">
        <v>135</v>
      </c>
      <c r="B135" s="2">
        <v>189060</v>
      </c>
      <c r="C135">
        <f t="shared" si="10"/>
        <v>198663</v>
      </c>
      <c r="D135">
        <f t="shared" si="11"/>
        <v>-9603</v>
      </c>
      <c r="E135">
        <f t="shared" si="12"/>
        <v>9603</v>
      </c>
      <c r="F135">
        <f t="shared" si="13"/>
        <v>92217609</v>
      </c>
      <c r="G135">
        <f t="shared" si="14"/>
        <v>5.0793398920977464E-2</v>
      </c>
    </row>
    <row r="136" spans="1:7" ht="15.75" customHeight="1" x14ac:dyDescent="0.25">
      <c r="A136" s="1" t="s">
        <v>136</v>
      </c>
      <c r="B136" s="2">
        <v>195181</v>
      </c>
      <c r="C136">
        <f t="shared" si="10"/>
        <v>189060</v>
      </c>
      <c r="D136">
        <f t="shared" si="11"/>
        <v>6121</v>
      </c>
      <c r="E136">
        <f t="shared" si="12"/>
        <v>6121</v>
      </c>
      <c r="F136">
        <f t="shared" si="13"/>
        <v>37466641</v>
      </c>
      <c r="G136">
        <f t="shared" si="14"/>
        <v>3.1360634487988072E-2</v>
      </c>
    </row>
    <row r="137" spans="1:7" ht="15.75" customHeight="1" x14ac:dyDescent="0.25">
      <c r="A137" s="1" t="s">
        <v>137</v>
      </c>
      <c r="B137" s="2">
        <v>165586</v>
      </c>
      <c r="C137">
        <f t="shared" si="10"/>
        <v>195181</v>
      </c>
      <c r="D137">
        <f t="shared" si="11"/>
        <v>-29595</v>
      </c>
      <c r="E137">
        <f t="shared" si="12"/>
        <v>29595</v>
      </c>
      <c r="F137">
        <f t="shared" si="13"/>
        <v>875864025</v>
      </c>
      <c r="G137">
        <f t="shared" si="14"/>
        <v>0.17872887804524537</v>
      </c>
    </row>
    <row r="138" spans="1:7" ht="15.75" customHeight="1" x14ac:dyDescent="0.25">
      <c r="A138" s="1" t="s">
        <v>138</v>
      </c>
      <c r="B138" s="2">
        <v>188693</v>
      </c>
      <c r="C138">
        <f t="shared" si="10"/>
        <v>165586</v>
      </c>
      <c r="D138">
        <f t="shared" si="11"/>
        <v>23107</v>
      </c>
      <c r="E138">
        <f t="shared" si="12"/>
        <v>23107</v>
      </c>
      <c r="F138">
        <f t="shared" si="13"/>
        <v>533933449</v>
      </c>
      <c r="G138">
        <f t="shared" si="14"/>
        <v>0.12245817279920294</v>
      </c>
    </row>
    <row r="139" spans="1:7" ht="15.75" customHeight="1" x14ac:dyDescent="0.25">
      <c r="A139" s="1" t="s">
        <v>139</v>
      </c>
      <c r="B139" s="2">
        <v>191919</v>
      </c>
      <c r="C139">
        <f t="shared" si="10"/>
        <v>188693</v>
      </c>
      <c r="D139">
        <f t="shared" si="11"/>
        <v>3226</v>
      </c>
      <c r="E139">
        <f t="shared" si="12"/>
        <v>3226</v>
      </c>
      <c r="F139">
        <f t="shared" si="13"/>
        <v>10407076</v>
      </c>
      <c r="G139">
        <f t="shared" si="14"/>
        <v>1.6809174703911547E-2</v>
      </c>
    </row>
    <row r="140" spans="1:7" ht="15.75" customHeight="1" x14ac:dyDescent="0.25">
      <c r="A140" s="1" t="s">
        <v>140</v>
      </c>
      <c r="B140" s="2">
        <v>183087</v>
      </c>
      <c r="C140">
        <f t="shared" si="10"/>
        <v>191919</v>
      </c>
      <c r="D140">
        <f t="shared" si="11"/>
        <v>-8832</v>
      </c>
      <c r="E140">
        <f t="shared" si="12"/>
        <v>8832</v>
      </c>
      <c r="F140">
        <f t="shared" si="13"/>
        <v>78004224</v>
      </c>
      <c r="G140">
        <f t="shared" si="14"/>
        <v>4.8239361614969931E-2</v>
      </c>
    </row>
    <row r="141" spans="1:7" ht="15.75" customHeight="1" x14ac:dyDescent="0.25">
      <c r="A141" s="1" t="s">
        <v>141</v>
      </c>
      <c r="B141" s="2">
        <v>168406</v>
      </c>
      <c r="C141">
        <f t="shared" si="10"/>
        <v>183087</v>
      </c>
      <c r="D141">
        <f t="shared" si="11"/>
        <v>-14681</v>
      </c>
      <c r="E141">
        <f t="shared" si="12"/>
        <v>14681</v>
      </c>
      <c r="F141">
        <f t="shared" si="13"/>
        <v>215531761</v>
      </c>
      <c r="G141">
        <f t="shared" si="14"/>
        <v>8.7176228875455744E-2</v>
      </c>
    </row>
    <row r="142" spans="1:7" ht="15.75" customHeight="1" x14ac:dyDescent="0.25">
      <c r="A142" s="1" t="s">
        <v>142</v>
      </c>
      <c r="B142" s="2">
        <v>161926</v>
      </c>
      <c r="C142">
        <f t="shared" si="10"/>
        <v>168406</v>
      </c>
      <c r="D142">
        <f t="shared" si="11"/>
        <v>-6480</v>
      </c>
      <c r="E142">
        <f t="shared" si="12"/>
        <v>6480</v>
      </c>
      <c r="F142">
        <f t="shared" si="13"/>
        <v>41990400</v>
      </c>
      <c r="G142">
        <f t="shared" si="14"/>
        <v>4.0018279955041189E-2</v>
      </c>
    </row>
    <row r="143" spans="1:7" ht="15.75" customHeight="1" x14ac:dyDescent="0.25">
      <c r="A143" s="1" t="s">
        <v>143</v>
      </c>
      <c r="B143" s="2">
        <v>164494</v>
      </c>
      <c r="C143">
        <f t="shared" si="10"/>
        <v>161926</v>
      </c>
      <c r="D143">
        <f t="shared" si="11"/>
        <v>2568</v>
      </c>
      <c r="E143">
        <f t="shared" si="12"/>
        <v>2568</v>
      </c>
      <c r="F143">
        <f t="shared" si="13"/>
        <v>6594624</v>
      </c>
      <c r="G143">
        <f t="shared" si="14"/>
        <v>1.5611511666079006E-2</v>
      </c>
    </row>
    <row r="144" spans="1:7" ht="15.75" customHeight="1" x14ac:dyDescent="0.25">
      <c r="A144" s="1" t="s">
        <v>144</v>
      </c>
      <c r="B144" s="2">
        <v>168655</v>
      </c>
      <c r="C144">
        <f t="shared" si="10"/>
        <v>164494</v>
      </c>
      <c r="D144">
        <f t="shared" si="11"/>
        <v>4161</v>
      </c>
      <c r="E144">
        <f t="shared" si="12"/>
        <v>4161</v>
      </c>
      <c r="F144">
        <f t="shared" si="13"/>
        <v>17313921</v>
      </c>
      <c r="G144">
        <f t="shared" si="14"/>
        <v>2.4671667012540394E-2</v>
      </c>
    </row>
    <row r="145" spans="1:7" ht="15.75" customHeight="1" x14ac:dyDescent="0.25">
      <c r="A145" s="1" t="s">
        <v>145</v>
      </c>
      <c r="B145" s="2">
        <v>178597</v>
      </c>
      <c r="C145">
        <f t="shared" si="10"/>
        <v>168655</v>
      </c>
      <c r="D145">
        <f t="shared" si="11"/>
        <v>9942</v>
      </c>
      <c r="E145">
        <f t="shared" si="12"/>
        <v>9942</v>
      </c>
      <c r="F145">
        <f t="shared" si="13"/>
        <v>98843364</v>
      </c>
      <c r="G145">
        <f t="shared" si="14"/>
        <v>5.5667228452885548E-2</v>
      </c>
    </row>
    <row r="146" spans="1:7" ht="15.75" customHeight="1" x14ac:dyDescent="0.25">
      <c r="A146" s="1" t="s">
        <v>146</v>
      </c>
      <c r="B146" s="2">
        <v>181197</v>
      </c>
      <c r="C146">
        <f t="shared" si="10"/>
        <v>178597</v>
      </c>
      <c r="D146">
        <f t="shared" si="11"/>
        <v>2600</v>
      </c>
      <c r="E146">
        <f t="shared" si="12"/>
        <v>2600</v>
      </c>
      <c r="F146">
        <f t="shared" si="13"/>
        <v>6760000</v>
      </c>
      <c r="G146">
        <f t="shared" si="14"/>
        <v>1.4349023438577902E-2</v>
      </c>
    </row>
    <row r="147" spans="1:7" ht="15.75" customHeight="1" x14ac:dyDescent="0.25">
      <c r="A147" s="1" t="s">
        <v>147</v>
      </c>
      <c r="B147" s="2">
        <v>156503</v>
      </c>
      <c r="C147">
        <f t="shared" si="10"/>
        <v>181197</v>
      </c>
      <c r="D147">
        <f t="shared" si="11"/>
        <v>-24694</v>
      </c>
      <c r="E147">
        <f t="shared" si="12"/>
        <v>24694</v>
      </c>
      <c r="F147">
        <f t="shared" si="13"/>
        <v>609793636</v>
      </c>
      <c r="G147">
        <f t="shared" si="14"/>
        <v>0.15778611272627363</v>
      </c>
    </row>
    <row r="148" spans="1:7" ht="15.75" customHeight="1" x14ac:dyDescent="0.25">
      <c r="A148" s="1" t="s">
        <v>148</v>
      </c>
      <c r="B148" s="2">
        <v>180396</v>
      </c>
      <c r="C148">
        <f t="shared" si="10"/>
        <v>156503</v>
      </c>
      <c r="D148">
        <f t="shared" si="11"/>
        <v>23893</v>
      </c>
      <c r="E148">
        <f t="shared" si="12"/>
        <v>23893</v>
      </c>
      <c r="F148">
        <f t="shared" si="13"/>
        <v>570875449</v>
      </c>
      <c r="G148">
        <f t="shared" si="14"/>
        <v>0.13244750437925454</v>
      </c>
    </row>
    <row r="149" spans="1:7" ht="15.75" customHeight="1" x14ac:dyDescent="0.25">
      <c r="A149" s="1" t="s">
        <v>149</v>
      </c>
      <c r="B149" s="2">
        <v>174563</v>
      </c>
      <c r="C149">
        <f t="shared" si="10"/>
        <v>180396</v>
      </c>
      <c r="D149">
        <f t="shared" si="11"/>
        <v>-5833</v>
      </c>
      <c r="E149">
        <f t="shared" si="12"/>
        <v>5833</v>
      </c>
      <c r="F149">
        <f t="shared" si="13"/>
        <v>34023889</v>
      </c>
      <c r="G149">
        <f t="shared" si="14"/>
        <v>3.3414870276060792E-2</v>
      </c>
    </row>
    <row r="150" spans="1:7" ht="15.75" customHeight="1" x14ac:dyDescent="0.25">
      <c r="A150" s="1" t="s">
        <v>150</v>
      </c>
      <c r="B150" s="2">
        <v>180654</v>
      </c>
      <c r="C150">
        <f t="shared" si="10"/>
        <v>174563</v>
      </c>
      <c r="D150">
        <f t="shared" si="11"/>
        <v>6091</v>
      </c>
      <c r="E150">
        <f t="shared" si="12"/>
        <v>6091</v>
      </c>
      <c r="F150">
        <f t="shared" si="13"/>
        <v>37100281</v>
      </c>
      <c r="G150">
        <f t="shared" si="14"/>
        <v>3.371638601968404E-2</v>
      </c>
    </row>
    <row r="151" spans="1:7" ht="15.75" customHeight="1" x14ac:dyDescent="0.25">
      <c r="A151" s="1" t="s">
        <v>151</v>
      </c>
      <c r="B151" s="2">
        <v>198207</v>
      </c>
      <c r="C151">
        <f t="shared" si="10"/>
        <v>180654</v>
      </c>
      <c r="D151">
        <f t="shared" si="11"/>
        <v>17553</v>
      </c>
      <c r="E151">
        <f t="shared" si="12"/>
        <v>17553</v>
      </c>
      <c r="F151">
        <f t="shared" si="13"/>
        <v>308107809</v>
      </c>
      <c r="G151">
        <f t="shared" si="14"/>
        <v>8.8558930814754272E-2</v>
      </c>
    </row>
    <row r="152" spans="1:7" ht="15.75" customHeight="1" x14ac:dyDescent="0.25">
      <c r="A152" s="1" t="s">
        <v>152</v>
      </c>
      <c r="B152" s="2">
        <v>198342</v>
      </c>
      <c r="C152">
        <f t="shared" si="10"/>
        <v>198207</v>
      </c>
      <c r="D152">
        <f t="shared" si="11"/>
        <v>135</v>
      </c>
      <c r="E152">
        <f t="shared" si="12"/>
        <v>135</v>
      </c>
      <c r="F152">
        <f t="shared" si="13"/>
        <v>18225</v>
      </c>
      <c r="G152">
        <f t="shared" si="14"/>
        <v>6.806425265450585E-4</v>
      </c>
    </row>
    <row r="153" spans="1:7" ht="15.75" customHeight="1" x14ac:dyDescent="0.25">
      <c r="A153" s="1" t="s">
        <v>153</v>
      </c>
      <c r="B153" s="2">
        <v>193331</v>
      </c>
      <c r="C153">
        <f t="shared" si="10"/>
        <v>198342</v>
      </c>
      <c r="D153">
        <f t="shared" si="11"/>
        <v>-5011</v>
      </c>
      <c r="E153">
        <f t="shared" si="12"/>
        <v>5011</v>
      </c>
      <c r="F153">
        <f t="shared" si="13"/>
        <v>25110121</v>
      </c>
      <c r="G153">
        <f t="shared" si="14"/>
        <v>2.5919278336117849E-2</v>
      </c>
    </row>
    <row r="154" spans="1:7" ht="15.75" customHeight="1" x14ac:dyDescent="0.25">
      <c r="A154" s="1" t="s">
        <v>154</v>
      </c>
      <c r="B154" s="2">
        <v>195755</v>
      </c>
      <c r="C154">
        <f t="shared" si="10"/>
        <v>193331</v>
      </c>
      <c r="D154">
        <f t="shared" si="11"/>
        <v>2424</v>
      </c>
      <c r="E154">
        <f t="shared" si="12"/>
        <v>2424</v>
      </c>
      <c r="F154">
        <f t="shared" si="13"/>
        <v>5875776</v>
      </c>
      <c r="G154">
        <f t="shared" si="14"/>
        <v>1.2382825470613777E-2</v>
      </c>
    </row>
    <row r="155" spans="1:7" ht="15.75" customHeight="1" x14ac:dyDescent="0.25">
      <c r="A155" s="1" t="s">
        <v>155</v>
      </c>
      <c r="B155" s="2">
        <v>185112</v>
      </c>
      <c r="C155">
        <f t="shared" si="10"/>
        <v>195755</v>
      </c>
      <c r="D155">
        <f t="shared" si="11"/>
        <v>-10643</v>
      </c>
      <c r="E155">
        <f t="shared" si="12"/>
        <v>10643</v>
      </c>
      <c r="F155">
        <f t="shared" si="13"/>
        <v>113273449</v>
      </c>
      <c r="G155">
        <f t="shared" si="14"/>
        <v>5.7494921993171702E-2</v>
      </c>
    </row>
    <row r="156" spans="1:7" ht="15.75" customHeight="1" x14ac:dyDescent="0.25">
      <c r="A156" s="1" t="s">
        <v>156</v>
      </c>
      <c r="B156" s="2">
        <v>190010</v>
      </c>
      <c r="C156">
        <f t="shared" si="10"/>
        <v>185112</v>
      </c>
      <c r="D156">
        <f t="shared" si="11"/>
        <v>4898</v>
      </c>
      <c r="E156">
        <f t="shared" si="12"/>
        <v>4898</v>
      </c>
      <c r="F156">
        <f t="shared" si="13"/>
        <v>23990404</v>
      </c>
      <c r="G156">
        <f t="shared" si="14"/>
        <v>2.577759065312352E-2</v>
      </c>
    </row>
    <row r="157" spans="1:7" ht="15.75" customHeight="1" x14ac:dyDescent="0.25">
      <c r="A157" s="1" t="s">
        <v>157</v>
      </c>
      <c r="B157" s="2">
        <v>199289</v>
      </c>
      <c r="C157">
        <f t="shared" si="10"/>
        <v>190010</v>
      </c>
      <c r="D157">
        <f t="shared" si="11"/>
        <v>9279</v>
      </c>
      <c r="E157">
        <f t="shared" si="12"/>
        <v>9279</v>
      </c>
      <c r="F157">
        <f t="shared" si="13"/>
        <v>86099841</v>
      </c>
      <c r="G157">
        <f t="shared" si="14"/>
        <v>4.6560522658049365E-2</v>
      </c>
    </row>
    <row r="158" spans="1:7" ht="15.75" customHeight="1" x14ac:dyDescent="0.25">
      <c r="A158" s="1" t="s">
        <v>158</v>
      </c>
      <c r="B158" s="2">
        <v>197873</v>
      </c>
      <c r="C158">
        <f t="shared" si="10"/>
        <v>199289</v>
      </c>
      <c r="D158">
        <f t="shared" si="11"/>
        <v>-1416</v>
      </c>
      <c r="E158">
        <f t="shared" si="12"/>
        <v>1416</v>
      </c>
      <c r="F158">
        <f t="shared" si="13"/>
        <v>2005056</v>
      </c>
      <c r="G158">
        <f t="shared" si="14"/>
        <v>7.1561051785741358E-3</v>
      </c>
    </row>
    <row r="159" spans="1:7" ht="15.75" customHeight="1" x14ac:dyDescent="0.25">
      <c r="A159" s="1" t="s">
        <v>159</v>
      </c>
      <c r="B159" s="2">
        <v>172325</v>
      </c>
      <c r="C159">
        <f t="shared" si="10"/>
        <v>197873</v>
      </c>
      <c r="D159">
        <f t="shared" si="11"/>
        <v>-25548</v>
      </c>
      <c r="E159">
        <f t="shared" si="12"/>
        <v>25548</v>
      </c>
      <c r="F159">
        <f t="shared" si="13"/>
        <v>652700304</v>
      </c>
      <c r="G159">
        <f t="shared" si="14"/>
        <v>0.14825475119686637</v>
      </c>
    </row>
    <row r="160" spans="1:7" ht="15.75" customHeight="1" x14ac:dyDescent="0.25">
      <c r="A160" s="1" t="s">
        <v>160</v>
      </c>
      <c r="B160" s="2">
        <v>198883</v>
      </c>
      <c r="C160">
        <f t="shared" si="10"/>
        <v>172325</v>
      </c>
      <c r="D160">
        <f t="shared" si="11"/>
        <v>26558</v>
      </c>
      <c r="E160">
        <f t="shared" si="12"/>
        <v>26558</v>
      </c>
      <c r="F160">
        <f t="shared" si="13"/>
        <v>705327364</v>
      </c>
      <c r="G160">
        <f t="shared" si="14"/>
        <v>0.13353579742863894</v>
      </c>
    </row>
    <row r="161" spans="1:7" ht="15.75" customHeight="1" x14ac:dyDescent="0.25">
      <c r="A161" s="1" t="s">
        <v>161</v>
      </c>
      <c r="B161" s="2">
        <v>181770</v>
      </c>
      <c r="C161">
        <f t="shared" si="10"/>
        <v>198883</v>
      </c>
      <c r="D161">
        <f t="shared" si="11"/>
        <v>-17113</v>
      </c>
      <c r="E161">
        <f t="shared" si="12"/>
        <v>17113</v>
      </c>
      <c r="F161">
        <f t="shared" si="13"/>
        <v>292854769</v>
      </c>
      <c r="G161">
        <f t="shared" si="14"/>
        <v>9.4146448808934372E-2</v>
      </c>
    </row>
    <row r="162" spans="1:7" ht="15.75" customHeight="1" x14ac:dyDescent="0.25">
      <c r="A162" s="1" t="s">
        <v>162</v>
      </c>
      <c r="B162" s="2">
        <v>191050</v>
      </c>
      <c r="C162">
        <f t="shared" si="10"/>
        <v>181770</v>
      </c>
      <c r="D162">
        <f t="shared" si="11"/>
        <v>9280</v>
      </c>
      <c r="E162">
        <f t="shared" si="12"/>
        <v>9280</v>
      </c>
      <c r="F162">
        <f t="shared" si="13"/>
        <v>86118400</v>
      </c>
      <c r="G162">
        <f t="shared" si="14"/>
        <v>4.8573671813661345E-2</v>
      </c>
    </row>
    <row r="163" spans="1:7" ht="15.75" customHeight="1" x14ac:dyDescent="0.25">
      <c r="A163" s="1" t="s">
        <v>163</v>
      </c>
      <c r="B163" s="2">
        <v>194195</v>
      </c>
      <c r="C163">
        <f t="shared" si="10"/>
        <v>191050</v>
      </c>
      <c r="D163">
        <f t="shared" si="11"/>
        <v>3145</v>
      </c>
      <c r="E163">
        <f t="shared" si="12"/>
        <v>3145</v>
      </c>
      <c r="F163">
        <f t="shared" si="13"/>
        <v>9891025</v>
      </c>
      <c r="G163">
        <f t="shared" si="14"/>
        <v>1.6195061664821441E-2</v>
      </c>
    </row>
    <row r="164" spans="1:7" ht="15.75" customHeight="1" x14ac:dyDescent="0.25">
      <c r="A164" s="1" t="s">
        <v>164</v>
      </c>
      <c r="B164" s="2">
        <v>204719</v>
      </c>
      <c r="C164">
        <f t="shared" si="10"/>
        <v>194195</v>
      </c>
      <c r="D164">
        <f t="shared" si="11"/>
        <v>10524</v>
      </c>
      <c r="E164">
        <f t="shared" si="12"/>
        <v>10524</v>
      </c>
      <c r="F164">
        <f t="shared" si="13"/>
        <v>110754576</v>
      </c>
      <c r="G164">
        <f t="shared" si="14"/>
        <v>5.1407050640145759E-2</v>
      </c>
    </row>
    <row r="165" spans="1:7" ht="15.75" customHeight="1" x14ac:dyDescent="0.25">
      <c r="A165" s="1" t="s">
        <v>165</v>
      </c>
      <c r="B165" s="2">
        <v>196232</v>
      </c>
      <c r="C165">
        <f t="shared" si="10"/>
        <v>204719</v>
      </c>
      <c r="D165">
        <f t="shared" si="11"/>
        <v>-8487</v>
      </c>
      <c r="E165">
        <f t="shared" si="12"/>
        <v>8487</v>
      </c>
      <c r="F165">
        <f t="shared" si="13"/>
        <v>72029169</v>
      </c>
      <c r="G165">
        <f t="shared" si="14"/>
        <v>4.3249826735700596E-2</v>
      </c>
    </row>
    <row r="166" spans="1:7" ht="15.75" customHeight="1" x14ac:dyDescent="0.25">
      <c r="A166" s="1" t="s">
        <v>166</v>
      </c>
      <c r="B166" s="2">
        <v>188048</v>
      </c>
      <c r="C166">
        <f t="shared" si="10"/>
        <v>196232</v>
      </c>
      <c r="D166">
        <f t="shared" si="11"/>
        <v>-8184</v>
      </c>
      <c r="E166">
        <f t="shared" si="12"/>
        <v>8184</v>
      </c>
      <c r="F166">
        <f t="shared" si="13"/>
        <v>66977856</v>
      </c>
      <c r="G166">
        <f t="shared" si="14"/>
        <v>4.3520803199183188E-2</v>
      </c>
    </row>
    <row r="167" spans="1:7" ht="15.75" customHeight="1" x14ac:dyDescent="0.25">
      <c r="A167" s="1" t="s">
        <v>167</v>
      </c>
      <c r="B167" s="2">
        <v>193347</v>
      </c>
      <c r="C167">
        <f t="shared" si="10"/>
        <v>188048</v>
      </c>
      <c r="D167">
        <f t="shared" si="11"/>
        <v>5299</v>
      </c>
      <c r="E167">
        <f t="shared" si="12"/>
        <v>5299</v>
      </c>
      <c r="F167">
        <f t="shared" si="13"/>
        <v>28079401</v>
      </c>
      <c r="G167">
        <f t="shared" si="14"/>
        <v>2.7406683320661814E-2</v>
      </c>
    </row>
    <row r="168" spans="1:7" ht="15.75" customHeight="1" x14ac:dyDescent="0.25">
      <c r="A168" s="1" t="s">
        <v>168</v>
      </c>
      <c r="B168" s="2">
        <v>187292</v>
      </c>
      <c r="C168">
        <f t="shared" si="10"/>
        <v>193347</v>
      </c>
      <c r="D168">
        <f t="shared" si="11"/>
        <v>-6055</v>
      </c>
      <c r="E168">
        <f t="shared" si="12"/>
        <v>6055</v>
      </c>
      <c r="F168">
        <f t="shared" si="13"/>
        <v>36663025</v>
      </c>
      <c r="G168">
        <f t="shared" si="14"/>
        <v>3.232919718941546E-2</v>
      </c>
    </row>
    <row r="169" spans="1:7" ht="15.75" customHeight="1" x14ac:dyDescent="0.25">
      <c r="A169" s="1"/>
    </row>
    <row r="170" spans="1:7" ht="15.75" customHeight="1" x14ac:dyDescent="0.25">
      <c r="A170" s="1"/>
    </row>
    <row r="171" spans="1:7" ht="15.75" customHeight="1" x14ac:dyDescent="0.25">
      <c r="A171" s="1"/>
    </row>
    <row r="172" spans="1:7" ht="15.75" customHeight="1" x14ac:dyDescent="0.25">
      <c r="A172" s="1"/>
    </row>
    <row r="173" spans="1:7" ht="15.75" customHeight="1" x14ac:dyDescent="0.25">
      <c r="A173" s="1"/>
    </row>
    <row r="174" spans="1:7" ht="15.75" customHeight="1" x14ac:dyDescent="0.25">
      <c r="A174" s="1"/>
    </row>
    <row r="175" spans="1:7" ht="15.75" customHeight="1" x14ac:dyDescent="0.25">
      <c r="A175" s="1"/>
    </row>
    <row r="176" spans="1:7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E81A-0756-4029-AAF8-97A84C6EF20C}">
  <dimension ref="A1:N168"/>
  <sheetViews>
    <sheetView workbookViewId="0">
      <selection activeCell="M1" sqref="M1:N5"/>
    </sheetView>
  </sheetViews>
  <sheetFormatPr defaultRowHeight="15" x14ac:dyDescent="0.25"/>
  <cols>
    <col min="2" max="2" width="42.28515625" bestFit="1" customWidth="1"/>
    <col min="3" max="3" width="18.28515625" bestFit="1" customWidth="1"/>
    <col min="4" max="4" width="13.28515625" bestFit="1" customWidth="1"/>
    <col min="5" max="5" width="13.85546875" bestFit="1" customWidth="1"/>
    <col min="6" max="6" width="16.7109375" bestFit="1" customWidth="1"/>
    <col min="7" max="7" width="15.85546875" bestFit="1" customWidth="1"/>
    <col min="13" max="13" width="10.28515625" bestFit="1" customWidth="1"/>
    <col min="14" max="14" width="15.28515625" bestFit="1" customWidth="1"/>
  </cols>
  <sheetData>
    <row r="1" spans="1:14" x14ac:dyDescent="0.25">
      <c r="A1" s="1" t="s">
        <v>0</v>
      </c>
      <c r="B1" s="2" t="s">
        <v>1</v>
      </c>
      <c r="C1" s="10" t="s">
        <v>169</v>
      </c>
      <c r="D1" s="10" t="s">
        <v>170</v>
      </c>
      <c r="E1" s="10" t="s">
        <v>171</v>
      </c>
      <c r="F1" s="10" t="s">
        <v>172</v>
      </c>
      <c r="G1" s="10" t="s">
        <v>173</v>
      </c>
      <c r="M1" s="5" t="s">
        <v>174</v>
      </c>
      <c r="N1" s="5"/>
    </row>
    <row r="2" spans="1:14" x14ac:dyDescent="0.25">
      <c r="A2" s="1" t="s">
        <v>2</v>
      </c>
      <c r="B2" s="2">
        <v>317275</v>
      </c>
      <c r="M2" s="5" t="s">
        <v>175</v>
      </c>
      <c r="N2" s="6">
        <f>AVERAGE(E13:E168)</f>
        <v>11371.063034188039</v>
      </c>
    </row>
    <row r="3" spans="1:14" x14ac:dyDescent="0.25">
      <c r="A3" s="1" t="s">
        <v>3</v>
      </c>
      <c r="B3" s="2">
        <v>262339</v>
      </c>
      <c r="M3" s="5" t="s">
        <v>176</v>
      </c>
      <c r="N3" s="6">
        <f>AVERAGE(F13:F168)</f>
        <v>232192337.4171119</v>
      </c>
    </row>
    <row r="4" spans="1:14" x14ac:dyDescent="0.25">
      <c r="A4" s="1" t="s">
        <v>4</v>
      </c>
      <c r="B4" s="2">
        <v>303897</v>
      </c>
      <c r="M4" s="5" t="s">
        <v>177</v>
      </c>
      <c r="N4" s="7">
        <f>AVERAGE(G13:G168)</f>
        <v>5.1152540564654715E-2</v>
      </c>
    </row>
    <row r="5" spans="1:14" x14ac:dyDescent="0.25">
      <c r="A5" s="1" t="s">
        <v>5</v>
      </c>
      <c r="B5" s="2">
        <v>285934</v>
      </c>
      <c r="M5" s="5" t="s">
        <v>178</v>
      </c>
      <c r="N5" s="11">
        <f>100%-N4</f>
        <v>0.94884745943534532</v>
      </c>
    </row>
    <row r="6" spans="1:14" x14ac:dyDescent="0.25">
      <c r="A6" s="1" t="s">
        <v>6</v>
      </c>
      <c r="B6" s="2">
        <v>281147</v>
      </c>
    </row>
    <row r="7" spans="1:14" x14ac:dyDescent="0.25">
      <c r="A7" s="1" t="s">
        <v>7</v>
      </c>
      <c r="B7" s="2">
        <v>284093</v>
      </c>
    </row>
    <row r="8" spans="1:14" x14ac:dyDescent="0.25">
      <c r="A8" s="1" t="s">
        <v>8</v>
      </c>
      <c r="B8" s="2">
        <v>287569</v>
      </c>
    </row>
    <row r="9" spans="1:14" x14ac:dyDescent="0.25">
      <c r="A9" s="1" t="s">
        <v>9</v>
      </c>
      <c r="B9" s="2">
        <v>279111</v>
      </c>
    </row>
    <row r="10" spans="1:14" x14ac:dyDescent="0.25">
      <c r="A10" s="1" t="s">
        <v>10</v>
      </c>
      <c r="B10" s="2">
        <v>289561</v>
      </c>
    </row>
    <row r="11" spans="1:14" x14ac:dyDescent="0.25">
      <c r="A11" s="1" t="s">
        <v>11</v>
      </c>
      <c r="B11" s="2">
        <v>272678</v>
      </c>
    </row>
    <row r="12" spans="1:14" x14ac:dyDescent="0.25">
      <c r="A12" s="1" t="s">
        <v>12</v>
      </c>
      <c r="B12" s="2">
        <v>273248</v>
      </c>
    </row>
    <row r="13" spans="1:14" x14ac:dyDescent="0.25">
      <c r="A13" s="1" t="s">
        <v>13</v>
      </c>
      <c r="B13" s="2">
        <v>265615</v>
      </c>
      <c r="C13" s="3">
        <f>AVERAGE(B2:B13)</f>
        <v>283538.91666666669</v>
      </c>
      <c r="D13" s="3">
        <f>B13-C13</f>
        <v>-17923.916666666686</v>
      </c>
      <c r="E13">
        <f>ABS(D13)</f>
        <v>17923.916666666686</v>
      </c>
      <c r="F13">
        <f>E13^2</f>
        <v>321266788.67361182</v>
      </c>
      <c r="G13" s="4">
        <f>E13/B13</f>
        <v>6.748081496401441E-2</v>
      </c>
    </row>
    <row r="14" spans="1:14" x14ac:dyDescent="0.25">
      <c r="A14" s="1" t="s">
        <v>14</v>
      </c>
      <c r="B14" s="2">
        <v>274568</v>
      </c>
      <c r="C14" s="3">
        <f t="shared" ref="C14:C77" si="0">AVERAGE(B3:B14)</f>
        <v>279980</v>
      </c>
      <c r="D14" s="3">
        <f t="shared" ref="D14:D77" si="1">B14-C14</f>
        <v>-5412</v>
      </c>
      <c r="E14">
        <f t="shared" ref="E14:E77" si="2">ABS(D14)</f>
        <v>5412</v>
      </c>
      <c r="F14">
        <f t="shared" ref="F14:F77" si="3">E14^2</f>
        <v>29289744</v>
      </c>
      <c r="G14" s="4">
        <f t="shared" ref="G14:G77" si="4">E14/B14</f>
        <v>1.9710964132746714E-2</v>
      </c>
    </row>
    <row r="15" spans="1:14" x14ac:dyDescent="0.25">
      <c r="A15" s="1" t="s">
        <v>15</v>
      </c>
      <c r="B15" s="2">
        <v>253150</v>
      </c>
      <c r="C15" s="3">
        <f t="shared" si="0"/>
        <v>279214.25</v>
      </c>
      <c r="D15" s="3">
        <f t="shared" si="1"/>
        <v>-26064.25</v>
      </c>
      <c r="E15">
        <f t="shared" si="2"/>
        <v>26064.25</v>
      </c>
      <c r="F15">
        <f t="shared" si="3"/>
        <v>679345128.0625</v>
      </c>
      <c r="G15" s="4">
        <f t="shared" si="4"/>
        <v>0.10295970768319178</v>
      </c>
    </row>
    <row r="16" spans="1:14" x14ac:dyDescent="0.25">
      <c r="A16" s="1" t="s">
        <v>16</v>
      </c>
      <c r="B16" s="2">
        <v>299033</v>
      </c>
      <c r="C16" s="3">
        <f t="shared" si="0"/>
        <v>278808.91666666669</v>
      </c>
      <c r="D16" s="3">
        <f t="shared" si="1"/>
        <v>20224.083333333314</v>
      </c>
      <c r="E16">
        <f t="shared" si="2"/>
        <v>20224.083333333314</v>
      </c>
      <c r="F16">
        <f t="shared" si="3"/>
        <v>409013546.67361033</v>
      </c>
      <c r="G16" s="4">
        <f t="shared" si="4"/>
        <v>6.7631610335091158E-2</v>
      </c>
    </row>
    <row r="17" spans="1:7" x14ac:dyDescent="0.25">
      <c r="A17" s="1" t="s">
        <v>17</v>
      </c>
      <c r="B17" s="2">
        <v>302836</v>
      </c>
      <c r="C17" s="3">
        <f t="shared" si="0"/>
        <v>280217.41666666669</v>
      </c>
      <c r="D17" s="3">
        <f t="shared" si="1"/>
        <v>22618.583333333314</v>
      </c>
      <c r="E17">
        <f t="shared" si="2"/>
        <v>22618.583333333314</v>
      </c>
      <c r="F17">
        <f t="shared" si="3"/>
        <v>511600312.00694358</v>
      </c>
      <c r="G17" s="4">
        <f t="shared" si="4"/>
        <v>7.4689215725122882E-2</v>
      </c>
    </row>
    <row r="18" spans="1:7" x14ac:dyDescent="0.25">
      <c r="A18" s="1" t="s">
        <v>18</v>
      </c>
      <c r="B18" s="2">
        <v>310396</v>
      </c>
      <c r="C18" s="3">
        <f t="shared" si="0"/>
        <v>282654.83333333331</v>
      </c>
      <c r="D18" s="3">
        <f t="shared" si="1"/>
        <v>27741.166666666686</v>
      </c>
      <c r="E18">
        <f t="shared" si="2"/>
        <v>27741.166666666686</v>
      </c>
      <c r="F18">
        <f t="shared" si="3"/>
        <v>769572328.02777886</v>
      </c>
      <c r="G18" s="4">
        <f t="shared" si="4"/>
        <v>8.9373467012031999E-2</v>
      </c>
    </row>
    <row r="19" spans="1:7" x14ac:dyDescent="0.25">
      <c r="A19" s="1" t="s">
        <v>19</v>
      </c>
      <c r="B19" s="2">
        <v>310153</v>
      </c>
      <c r="C19" s="3">
        <f t="shared" si="0"/>
        <v>284826.5</v>
      </c>
      <c r="D19" s="3">
        <f t="shared" si="1"/>
        <v>25326.5</v>
      </c>
      <c r="E19">
        <f t="shared" si="2"/>
        <v>25326.5</v>
      </c>
      <c r="F19">
        <f t="shared" si="3"/>
        <v>641431602.25</v>
      </c>
      <c r="G19" s="4">
        <f t="shared" si="4"/>
        <v>8.1658084880687917E-2</v>
      </c>
    </row>
    <row r="20" spans="1:7" x14ac:dyDescent="0.25">
      <c r="A20" s="1" t="s">
        <v>20</v>
      </c>
      <c r="B20" s="2">
        <v>318991</v>
      </c>
      <c r="C20" s="3">
        <f t="shared" si="0"/>
        <v>287445</v>
      </c>
      <c r="D20" s="3">
        <f t="shared" si="1"/>
        <v>31546</v>
      </c>
      <c r="E20">
        <f t="shared" si="2"/>
        <v>31546</v>
      </c>
      <c r="F20">
        <f t="shared" si="3"/>
        <v>995150116</v>
      </c>
      <c r="G20" s="4">
        <f t="shared" si="4"/>
        <v>9.8893072218338443E-2</v>
      </c>
    </row>
    <row r="21" spans="1:7" x14ac:dyDescent="0.25">
      <c r="A21" s="1" t="s">
        <v>21</v>
      </c>
      <c r="B21" s="2">
        <v>309053</v>
      </c>
      <c r="C21" s="3">
        <f t="shared" si="0"/>
        <v>289940.16666666669</v>
      </c>
      <c r="D21" s="3">
        <f t="shared" si="1"/>
        <v>19112.833333333314</v>
      </c>
      <c r="E21">
        <f t="shared" si="2"/>
        <v>19112.833333333314</v>
      </c>
      <c r="F21">
        <f t="shared" si="3"/>
        <v>365300398.02777702</v>
      </c>
      <c r="G21" s="4">
        <f t="shared" si="4"/>
        <v>6.1843222144206053E-2</v>
      </c>
    </row>
    <row r="22" spans="1:7" x14ac:dyDescent="0.25">
      <c r="A22" s="1" t="s">
        <v>22</v>
      </c>
      <c r="B22" s="2">
        <v>284192</v>
      </c>
      <c r="C22" s="3">
        <f t="shared" si="0"/>
        <v>289492.75</v>
      </c>
      <c r="D22" s="3">
        <f t="shared" si="1"/>
        <v>-5300.75</v>
      </c>
      <c r="E22">
        <f t="shared" si="2"/>
        <v>5300.75</v>
      </c>
      <c r="F22">
        <f t="shared" si="3"/>
        <v>28097950.5625</v>
      </c>
      <c r="G22" s="4">
        <f t="shared" si="4"/>
        <v>1.8652002871298277E-2</v>
      </c>
    </row>
    <row r="23" spans="1:7" x14ac:dyDescent="0.25">
      <c r="A23" s="1" t="s">
        <v>23</v>
      </c>
      <c r="B23" s="2">
        <v>272415</v>
      </c>
      <c r="C23" s="3">
        <f t="shared" si="0"/>
        <v>289470.83333333331</v>
      </c>
      <c r="D23" s="3">
        <f t="shared" si="1"/>
        <v>-17055.833333333314</v>
      </c>
      <c r="E23">
        <f t="shared" si="2"/>
        <v>17055.833333333314</v>
      </c>
      <c r="F23">
        <f t="shared" si="3"/>
        <v>290901450.69444376</v>
      </c>
      <c r="G23" s="4">
        <f t="shared" si="4"/>
        <v>6.2609743712105842E-2</v>
      </c>
    </row>
    <row r="24" spans="1:7" x14ac:dyDescent="0.25">
      <c r="A24" s="1" t="s">
        <v>24</v>
      </c>
      <c r="B24" s="2">
        <v>271185</v>
      </c>
      <c r="C24" s="3">
        <f t="shared" si="0"/>
        <v>289298.91666666669</v>
      </c>
      <c r="D24" s="3">
        <f t="shared" si="1"/>
        <v>-18113.916666666686</v>
      </c>
      <c r="E24">
        <f t="shared" si="2"/>
        <v>18113.916666666686</v>
      </c>
      <c r="F24">
        <f t="shared" si="3"/>
        <v>328113977.00694513</v>
      </c>
      <c r="G24" s="4">
        <f t="shared" si="4"/>
        <v>6.6795422559015744E-2</v>
      </c>
    </row>
    <row r="25" spans="1:7" x14ac:dyDescent="0.25">
      <c r="A25" s="1" t="s">
        <v>25</v>
      </c>
      <c r="B25" s="2">
        <v>279096</v>
      </c>
      <c r="C25" s="3">
        <f t="shared" si="0"/>
        <v>290422.33333333331</v>
      </c>
      <c r="D25" s="3">
        <f t="shared" si="1"/>
        <v>-11326.333333333314</v>
      </c>
      <c r="E25">
        <f t="shared" si="2"/>
        <v>11326.333333333314</v>
      </c>
      <c r="F25">
        <f t="shared" si="3"/>
        <v>128285826.77777734</v>
      </c>
      <c r="G25" s="4">
        <f t="shared" si="4"/>
        <v>4.0582213049751029E-2</v>
      </c>
    </row>
    <row r="26" spans="1:7" x14ac:dyDescent="0.25">
      <c r="A26" s="1" t="s">
        <v>26</v>
      </c>
      <c r="B26" s="2">
        <v>296158</v>
      </c>
      <c r="C26" s="3">
        <f t="shared" si="0"/>
        <v>292221.5</v>
      </c>
      <c r="D26" s="3">
        <f t="shared" si="1"/>
        <v>3936.5</v>
      </c>
      <c r="E26">
        <f t="shared" si="2"/>
        <v>3936.5</v>
      </c>
      <c r="F26">
        <f t="shared" si="3"/>
        <v>15496032.25</v>
      </c>
      <c r="G26" s="4">
        <f t="shared" si="4"/>
        <v>1.3291891490353123E-2</v>
      </c>
    </row>
    <row r="27" spans="1:7" x14ac:dyDescent="0.25">
      <c r="A27" s="1" t="s">
        <v>27</v>
      </c>
      <c r="B27" s="2">
        <v>235122</v>
      </c>
      <c r="C27" s="3">
        <f t="shared" si="0"/>
        <v>290719.16666666669</v>
      </c>
      <c r="D27" s="3">
        <f t="shared" si="1"/>
        <v>-55597.166666666686</v>
      </c>
      <c r="E27">
        <f t="shared" si="2"/>
        <v>55597.166666666686</v>
      </c>
      <c r="F27">
        <f t="shared" si="3"/>
        <v>3091044941.3611131</v>
      </c>
      <c r="G27" s="4">
        <f t="shared" si="4"/>
        <v>0.23646092950326505</v>
      </c>
    </row>
    <row r="28" spans="1:7" x14ac:dyDescent="0.25">
      <c r="A28" s="1" t="s">
        <v>28</v>
      </c>
      <c r="B28" s="2">
        <v>292010</v>
      </c>
      <c r="C28" s="3">
        <f t="shared" si="0"/>
        <v>290133.91666666669</v>
      </c>
      <c r="D28" s="3">
        <f t="shared" si="1"/>
        <v>1876.0833333333139</v>
      </c>
      <c r="E28">
        <f t="shared" si="2"/>
        <v>1876.0833333333139</v>
      </c>
      <c r="F28">
        <f t="shared" si="3"/>
        <v>3519688.6736110384</v>
      </c>
      <c r="G28" s="4">
        <f t="shared" si="4"/>
        <v>6.4247228976175947E-3</v>
      </c>
    </row>
    <row r="29" spans="1:7" x14ac:dyDescent="0.25">
      <c r="A29" s="1" t="s">
        <v>29</v>
      </c>
      <c r="B29" s="2">
        <v>265822</v>
      </c>
      <c r="C29" s="3">
        <f t="shared" si="0"/>
        <v>287049.41666666669</v>
      </c>
      <c r="D29" s="3">
        <f t="shared" si="1"/>
        <v>-21227.416666666686</v>
      </c>
      <c r="E29">
        <f t="shared" si="2"/>
        <v>21227.416666666686</v>
      </c>
      <c r="F29">
        <f t="shared" si="3"/>
        <v>450603218.34027863</v>
      </c>
      <c r="G29" s="4">
        <f t="shared" si="4"/>
        <v>7.9855755605881706E-2</v>
      </c>
    </row>
    <row r="30" spans="1:7" x14ac:dyDescent="0.25">
      <c r="A30" s="1" t="s">
        <v>30</v>
      </c>
      <c r="B30" s="2">
        <v>289106</v>
      </c>
      <c r="C30" s="3">
        <f t="shared" si="0"/>
        <v>285275.25</v>
      </c>
      <c r="D30" s="3">
        <f t="shared" si="1"/>
        <v>3830.75</v>
      </c>
      <c r="E30">
        <f t="shared" si="2"/>
        <v>3830.75</v>
      </c>
      <c r="F30">
        <f t="shared" si="3"/>
        <v>14674645.5625</v>
      </c>
      <c r="G30" s="4">
        <f t="shared" si="4"/>
        <v>1.3250330328668378E-2</v>
      </c>
    </row>
    <row r="31" spans="1:7" x14ac:dyDescent="0.25">
      <c r="A31" s="1" t="s">
        <v>31</v>
      </c>
      <c r="B31" s="2">
        <v>285572</v>
      </c>
      <c r="C31" s="3">
        <f t="shared" si="0"/>
        <v>283226.83333333331</v>
      </c>
      <c r="D31" s="3">
        <f t="shared" si="1"/>
        <v>2345.1666666666861</v>
      </c>
      <c r="E31">
        <f t="shared" si="2"/>
        <v>2345.1666666666861</v>
      </c>
      <c r="F31">
        <f t="shared" si="3"/>
        <v>5499806.6944445353</v>
      </c>
      <c r="G31" s="4">
        <f t="shared" si="4"/>
        <v>8.2121729954851529E-3</v>
      </c>
    </row>
    <row r="32" spans="1:7" x14ac:dyDescent="0.25">
      <c r="A32" s="1" t="s">
        <v>32</v>
      </c>
      <c r="B32" s="2">
        <v>295338</v>
      </c>
      <c r="C32" s="3">
        <f t="shared" si="0"/>
        <v>281255.75</v>
      </c>
      <c r="D32" s="3">
        <f t="shared" si="1"/>
        <v>14082.25</v>
      </c>
      <c r="E32">
        <f t="shared" si="2"/>
        <v>14082.25</v>
      </c>
      <c r="F32">
        <f t="shared" si="3"/>
        <v>198309765.0625</v>
      </c>
      <c r="G32" s="4">
        <f t="shared" si="4"/>
        <v>4.76818086395926E-2</v>
      </c>
    </row>
    <row r="33" spans="1:7" x14ac:dyDescent="0.25">
      <c r="A33" s="1" t="s">
        <v>33</v>
      </c>
      <c r="B33" s="2">
        <v>287633</v>
      </c>
      <c r="C33" s="3">
        <f t="shared" si="0"/>
        <v>279470.75</v>
      </c>
      <c r="D33" s="3">
        <f t="shared" si="1"/>
        <v>8162.25</v>
      </c>
      <c r="E33">
        <f t="shared" si="2"/>
        <v>8162.25</v>
      </c>
      <c r="F33">
        <f t="shared" si="3"/>
        <v>66622325.0625</v>
      </c>
      <c r="G33" s="4">
        <f t="shared" si="4"/>
        <v>2.837730719354177E-2</v>
      </c>
    </row>
    <row r="34" spans="1:7" x14ac:dyDescent="0.25">
      <c r="A34" s="1" t="s">
        <v>34</v>
      </c>
      <c r="B34" s="2">
        <v>273698</v>
      </c>
      <c r="C34" s="3">
        <f t="shared" si="0"/>
        <v>278596.25</v>
      </c>
      <c r="D34" s="3">
        <f t="shared" si="1"/>
        <v>-4898.25</v>
      </c>
      <c r="E34">
        <f t="shared" si="2"/>
        <v>4898.25</v>
      </c>
      <c r="F34">
        <f t="shared" si="3"/>
        <v>23992853.0625</v>
      </c>
      <c r="G34" s="4">
        <f t="shared" si="4"/>
        <v>1.7896550212277765E-2</v>
      </c>
    </row>
    <row r="35" spans="1:7" x14ac:dyDescent="0.25">
      <c r="A35" s="1" t="s">
        <v>35</v>
      </c>
      <c r="B35" s="2">
        <v>284594</v>
      </c>
      <c r="C35" s="3">
        <f t="shared" si="0"/>
        <v>279611.16666666669</v>
      </c>
      <c r="D35" s="3">
        <f t="shared" si="1"/>
        <v>4982.8333333333139</v>
      </c>
      <c r="E35">
        <f t="shared" si="2"/>
        <v>4982.8333333333139</v>
      </c>
      <c r="F35">
        <f t="shared" si="3"/>
        <v>24828628.027777586</v>
      </c>
      <c r="G35" s="4">
        <f t="shared" si="4"/>
        <v>1.7508567760856918E-2</v>
      </c>
    </row>
    <row r="36" spans="1:7" x14ac:dyDescent="0.25">
      <c r="A36" s="1" t="s">
        <v>36</v>
      </c>
      <c r="B36" s="2">
        <v>268189</v>
      </c>
      <c r="C36" s="3">
        <f t="shared" si="0"/>
        <v>279361.5</v>
      </c>
      <c r="D36" s="3">
        <f t="shared" si="1"/>
        <v>-11172.5</v>
      </c>
      <c r="E36">
        <f t="shared" si="2"/>
        <v>11172.5</v>
      </c>
      <c r="F36">
        <f t="shared" si="3"/>
        <v>124824756.25</v>
      </c>
      <c r="G36" s="4">
        <f t="shared" si="4"/>
        <v>4.1659053876184335E-2</v>
      </c>
    </row>
    <row r="37" spans="1:7" x14ac:dyDescent="0.25">
      <c r="A37" s="1" t="s">
        <v>37</v>
      </c>
      <c r="B37" s="2">
        <v>279359</v>
      </c>
      <c r="C37" s="3">
        <f t="shared" si="0"/>
        <v>279383.41666666669</v>
      </c>
      <c r="D37" s="3">
        <f t="shared" si="1"/>
        <v>-24.416666666686069</v>
      </c>
      <c r="E37">
        <f t="shared" si="2"/>
        <v>24.416666666686069</v>
      </c>
      <c r="F37">
        <f t="shared" si="3"/>
        <v>596.17361111205855</v>
      </c>
      <c r="G37" s="4">
        <f t="shared" si="4"/>
        <v>8.7402470178823909E-5</v>
      </c>
    </row>
    <row r="38" spans="1:7" x14ac:dyDescent="0.25">
      <c r="A38" s="1" t="s">
        <v>38</v>
      </c>
      <c r="B38" s="2">
        <v>257536</v>
      </c>
      <c r="C38" s="3">
        <f t="shared" si="0"/>
        <v>276164.91666666669</v>
      </c>
      <c r="D38" s="3">
        <f t="shared" si="1"/>
        <v>-18628.916666666686</v>
      </c>
      <c r="E38">
        <f t="shared" si="2"/>
        <v>18628.916666666686</v>
      </c>
      <c r="F38">
        <f t="shared" si="3"/>
        <v>347036536.17361182</v>
      </c>
      <c r="G38" s="4">
        <f t="shared" si="4"/>
        <v>7.2335194561795962E-2</v>
      </c>
    </row>
    <row r="39" spans="1:7" x14ac:dyDescent="0.25">
      <c r="A39" s="1" t="s">
        <v>39</v>
      </c>
      <c r="B39" s="2">
        <v>242560</v>
      </c>
      <c r="C39" s="3">
        <f t="shared" si="0"/>
        <v>276784.75</v>
      </c>
      <c r="D39" s="3">
        <f t="shared" si="1"/>
        <v>-34224.75</v>
      </c>
      <c r="E39">
        <f t="shared" si="2"/>
        <v>34224.75</v>
      </c>
      <c r="F39">
        <f t="shared" si="3"/>
        <v>1171333512.5625</v>
      </c>
      <c r="G39" s="4">
        <f t="shared" si="4"/>
        <v>0.14109807882585751</v>
      </c>
    </row>
    <row r="40" spans="1:7" x14ac:dyDescent="0.25">
      <c r="A40" s="1" t="s">
        <v>40</v>
      </c>
      <c r="B40" s="2">
        <v>271697</v>
      </c>
      <c r="C40" s="3">
        <f t="shared" si="0"/>
        <v>275092</v>
      </c>
      <c r="D40" s="3">
        <f t="shared" si="1"/>
        <v>-3395</v>
      </c>
      <c r="E40">
        <f t="shared" si="2"/>
        <v>3395</v>
      </c>
      <c r="F40">
        <f t="shared" si="3"/>
        <v>11526025</v>
      </c>
      <c r="G40" s="4">
        <f t="shared" si="4"/>
        <v>1.2495537308104248E-2</v>
      </c>
    </row>
    <row r="41" spans="1:7" x14ac:dyDescent="0.25">
      <c r="A41" s="1" t="s">
        <v>41</v>
      </c>
      <c r="B41" s="2">
        <v>258417</v>
      </c>
      <c r="C41" s="3">
        <f t="shared" si="0"/>
        <v>274474.91666666669</v>
      </c>
      <c r="D41" s="3">
        <f t="shared" si="1"/>
        <v>-16057.916666666686</v>
      </c>
      <c r="E41">
        <f t="shared" si="2"/>
        <v>16057.916666666686</v>
      </c>
      <c r="F41">
        <f t="shared" si="3"/>
        <v>257856687.67361173</v>
      </c>
      <c r="G41" s="4">
        <f t="shared" si="4"/>
        <v>6.213955222244158E-2</v>
      </c>
    </row>
    <row r="42" spans="1:7" x14ac:dyDescent="0.25">
      <c r="A42" s="1" t="s">
        <v>42</v>
      </c>
      <c r="B42" s="2">
        <v>272766</v>
      </c>
      <c r="C42" s="3">
        <f t="shared" si="0"/>
        <v>273113.25</v>
      </c>
      <c r="D42" s="3">
        <f t="shared" si="1"/>
        <v>-347.25</v>
      </c>
      <c r="E42">
        <f t="shared" si="2"/>
        <v>347.25</v>
      </c>
      <c r="F42">
        <f t="shared" si="3"/>
        <v>120582.5625</v>
      </c>
      <c r="G42" s="4">
        <f t="shared" si="4"/>
        <v>1.2730692241701678E-3</v>
      </c>
    </row>
    <row r="43" spans="1:7" x14ac:dyDescent="0.25">
      <c r="A43" s="1" t="s">
        <v>43</v>
      </c>
      <c r="B43" s="2">
        <v>270684</v>
      </c>
      <c r="C43" s="3">
        <f t="shared" si="0"/>
        <v>271872.58333333331</v>
      </c>
      <c r="D43" s="3">
        <f t="shared" si="1"/>
        <v>-1188.5833333333139</v>
      </c>
      <c r="E43">
        <f t="shared" si="2"/>
        <v>1188.5833333333139</v>
      </c>
      <c r="F43">
        <f t="shared" si="3"/>
        <v>1412730.3402777317</v>
      </c>
      <c r="G43" s="4">
        <f t="shared" si="4"/>
        <v>4.3910365346060869E-3</v>
      </c>
    </row>
    <row r="44" spans="1:7" x14ac:dyDescent="0.25">
      <c r="A44" s="1" t="s">
        <v>44</v>
      </c>
      <c r="B44" s="2">
        <v>266782</v>
      </c>
      <c r="C44" s="3">
        <f t="shared" si="0"/>
        <v>269492.91666666669</v>
      </c>
      <c r="D44" s="3">
        <f t="shared" si="1"/>
        <v>-2710.9166666666861</v>
      </c>
      <c r="E44">
        <f t="shared" si="2"/>
        <v>2710.9166666666861</v>
      </c>
      <c r="F44">
        <f t="shared" si="3"/>
        <v>7349069.1736112162</v>
      </c>
      <c r="G44" s="4">
        <f t="shared" si="4"/>
        <v>1.0161542632811382E-2</v>
      </c>
    </row>
    <row r="45" spans="1:7" x14ac:dyDescent="0.25">
      <c r="A45" s="1" t="s">
        <v>45</v>
      </c>
      <c r="B45" s="2">
        <v>263945</v>
      </c>
      <c r="C45" s="3">
        <f t="shared" si="0"/>
        <v>267518.91666666669</v>
      </c>
      <c r="D45" s="3">
        <f t="shared" si="1"/>
        <v>-3573.9166666666861</v>
      </c>
      <c r="E45">
        <f t="shared" si="2"/>
        <v>3573.9166666666861</v>
      </c>
      <c r="F45">
        <f t="shared" si="3"/>
        <v>12772880.340277916</v>
      </c>
      <c r="G45" s="4">
        <f t="shared" si="4"/>
        <v>1.3540384044655841E-2</v>
      </c>
    </row>
    <row r="46" spans="1:7" x14ac:dyDescent="0.25">
      <c r="A46" s="1" t="s">
        <v>46</v>
      </c>
      <c r="B46" s="2">
        <v>250160</v>
      </c>
      <c r="C46" s="3">
        <f t="shared" si="0"/>
        <v>265557.41666666669</v>
      </c>
      <c r="D46" s="3">
        <f t="shared" si="1"/>
        <v>-15397.416666666686</v>
      </c>
      <c r="E46">
        <f t="shared" si="2"/>
        <v>15397.416666666686</v>
      </c>
      <c r="F46">
        <f t="shared" si="3"/>
        <v>237080440.00694504</v>
      </c>
      <c r="G46" s="4">
        <f t="shared" si="4"/>
        <v>6.1550274490992506E-2</v>
      </c>
    </row>
    <row r="47" spans="1:7" x14ac:dyDescent="0.25">
      <c r="A47" s="1" t="s">
        <v>47</v>
      </c>
      <c r="B47" s="2">
        <v>250303</v>
      </c>
      <c r="C47" s="3">
        <f t="shared" si="0"/>
        <v>262699.83333333331</v>
      </c>
      <c r="D47" s="3">
        <f t="shared" si="1"/>
        <v>-12396.833333333314</v>
      </c>
      <c r="E47">
        <f t="shared" si="2"/>
        <v>12396.833333333314</v>
      </c>
      <c r="F47">
        <f t="shared" si="3"/>
        <v>153681476.69444397</v>
      </c>
      <c r="G47" s="4">
        <f t="shared" si="4"/>
        <v>4.9527306238172593E-2</v>
      </c>
    </row>
    <row r="48" spans="1:7" x14ac:dyDescent="0.25">
      <c r="A48" s="1" t="s">
        <v>48</v>
      </c>
      <c r="B48" s="2">
        <v>244987</v>
      </c>
      <c r="C48" s="3">
        <f t="shared" si="0"/>
        <v>260766.33333333334</v>
      </c>
      <c r="D48" s="3">
        <f t="shared" si="1"/>
        <v>-15779.333333333343</v>
      </c>
      <c r="E48">
        <f t="shared" si="2"/>
        <v>15779.333333333343</v>
      </c>
      <c r="F48">
        <f t="shared" si="3"/>
        <v>248987360.44444475</v>
      </c>
      <c r="G48" s="4">
        <f t="shared" si="4"/>
        <v>6.4408859789839235E-2</v>
      </c>
    </row>
    <row r="49" spans="1:7" x14ac:dyDescent="0.25">
      <c r="A49" s="1" t="s">
        <v>49</v>
      </c>
      <c r="B49" s="2">
        <v>235120</v>
      </c>
      <c r="C49" s="3">
        <f t="shared" si="0"/>
        <v>257079.75</v>
      </c>
      <c r="D49" s="3">
        <f t="shared" si="1"/>
        <v>-21959.75</v>
      </c>
      <c r="E49">
        <f t="shared" si="2"/>
        <v>21959.75</v>
      </c>
      <c r="F49">
        <f t="shared" si="3"/>
        <v>482230620.0625</v>
      </c>
      <c r="G49" s="4">
        <f t="shared" si="4"/>
        <v>9.3398052058523306E-2</v>
      </c>
    </row>
    <row r="50" spans="1:7" x14ac:dyDescent="0.25">
      <c r="A50" s="1" t="s">
        <v>50</v>
      </c>
      <c r="B50" s="2">
        <v>245715</v>
      </c>
      <c r="C50" s="3">
        <f t="shared" si="0"/>
        <v>256094.66666666666</v>
      </c>
      <c r="D50" s="3">
        <f t="shared" si="1"/>
        <v>-10379.666666666657</v>
      </c>
      <c r="E50">
        <f t="shared" si="2"/>
        <v>10379.666666666657</v>
      </c>
      <c r="F50">
        <f t="shared" si="3"/>
        <v>107737480.11111091</v>
      </c>
      <c r="G50" s="4">
        <f t="shared" si="4"/>
        <v>4.224270665879843E-2</v>
      </c>
    </row>
    <row r="51" spans="1:7" x14ac:dyDescent="0.25">
      <c r="A51" s="1" t="s">
        <v>51</v>
      </c>
      <c r="B51" s="2">
        <v>203162</v>
      </c>
      <c r="C51" s="3">
        <f t="shared" si="0"/>
        <v>252811.5</v>
      </c>
      <c r="D51" s="3">
        <f t="shared" si="1"/>
        <v>-49649.5</v>
      </c>
      <c r="E51">
        <f t="shared" si="2"/>
        <v>49649.5</v>
      </c>
      <c r="F51">
        <f t="shared" si="3"/>
        <v>2465072850.25</v>
      </c>
      <c r="G51" s="4">
        <f t="shared" si="4"/>
        <v>0.24438379224461268</v>
      </c>
    </row>
    <row r="52" spans="1:7" x14ac:dyDescent="0.25">
      <c r="A52" s="1" t="s">
        <v>52</v>
      </c>
      <c r="B52" s="2">
        <v>231414</v>
      </c>
      <c r="C52" s="3">
        <f t="shared" si="0"/>
        <v>249454.58333333334</v>
      </c>
      <c r="D52" s="3">
        <f t="shared" si="1"/>
        <v>-18040.583333333343</v>
      </c>
      <c r="E52">
        <f t="shared" si="2"/>
        <v>18040.583333333343</v>
      </c>
      <c r="F52">
        <f t="shared" si="3"/>
        <v>325462647.00694478</v>
      </c>
      <c r="G52" s="4">
        <f t="shared" si="4"/>
        <v>7.7958046329666061E-2</v>
      </c>
    </row>
    <row r="53" spans="1:7" x14ac:dyDescent="0.25">
      <c r="A53" s="1" t="s">
        <v>53</v>
      </c>
      <c r="B53" s="2">
        <v>231621</v>
      </c>
      <c r="C53" s="3">
        <f t="shared" si="0"/>
        <v>247221.58333333334</v>
      </c>
      <c r="D53" s="3">
        <f t="shared" si="1"/>
        <v>-15600.583333333343</v>
      </c>
      <c r="E53">
        <f t="shared" si="2"/>
        <v>15600.583333333343</v>
      </c>
      <c r="F53">
        <f t="shared" si="3"/>
        <v>243378200.34027809</v>
      </c>
      <c r="G53" s="4">
        <f t="shared" si="4"/>
        <v>6.735392444265996E-2</v>
      </c>
    </row>
    <row r="54" spans="1:7" x14ac:dyDescent="0.25">
      <c r="A54" s="1" t="s">
        <v>54</v>
      </c>
      <c r="B54" s="2">
        <v>238809</v>
      </c>
      <c r="C54" s="3">
        <f t="shared" si="0"/>
        <v>244391.83333333334</v>
      </c>
      <c r="D54" s="3">
        <f t="shared" si="1"/>
        <v>-5582.833333333343</v>
      </c>
      <c r="E54">
        <f t="shared" si="2"/>
        <v>5582.833333333343</v>
      </c>
      <c r="F54">
        <f t="shared" si="3"/>
        <v>31168028.027777888</v>
      </c>
      <c r="G54" s="4">
        <f t="shared" si="4"/>
        <v>2.3377817977267786E-2</v>
      </c>
    </row>
    <row r="55" spans="1:7" x14ac:dyDescent="0.25">
      <c r="A55" s="1" t="s">
        <v>55</v>
      </c>
      <c r="B55" s="2">
        <v>231912</v>
      </c>
      <c r="C55" s="3">
        <f t="shared" si="0"/>
        <v>241160.83333333334</v>
      </c>
      <c r="D55" s="3">
        <f t="shared" si="1"/>
        <v>-9248.833333333343</v>
      </c>
      <c r="E55">
        <f t="shared" si="2"/>
        <v>9248.833333333343</v>
      </c>
      <c r="F55">
        <f t="shared" si="3"/>
        <v>85540918.027777955</v>
      </c>
      <c r="G55" s="4">
        <f t="shared" si="4"/>
        <v>3.9880788115032179E-2</v>
      </c>
    </row>
    <row r="56" spans="1:7" x14ac:dyDescent="0.25">
      <c r="A56" s="1" t="s">
        <v>56</v>
      </c>
      <c r="B56" s="2">
        <v>245724</v>
      </c>
      <c r="C56" s="3">
        <f t="shared" si="0"/>
        <v>239406</v>
      </c>
      <c r="D56" s="3">
        <f t="shared" si="1"/>
        <v>6318</v>
      </c>
      <c r="E56">
        <f t="shared" si="2"/>
        <v>6318</v>
      </c>
      <c r="F56">
        <f t="shared" si="3"/>
        <v>39917124</v>
      </c>
      <c r="G56" s="4">
        <f t="shared" si="4"/>
        <v>2.5711774185671728E-2</v>
      </c>
    </row>
    <row r="57" spans="1:7" x14ac:dyDescent="0.25">
      <c r="A57" s="1" t="s">
        <v>57</v>
      </c>
      <c r="B57" s="2">
        <v>251079</v>
      </c>
      <c r="C57" s="3">
        <f t="shared" si="0"/>
        <v>238333.83333333334</v>
      </c>
      <c r="D57" s="3">
        <f t="shared" si="1"/>
        <v>12745.166666666657</v>
      </c>
      <c r="E57">
        <f t="shared" si="2"/>
        <v>12745.166666666657</v>
      </c>
      <c r="F57">
        <f t="shared" si="3"/>
        <v>162439273.36111087</v>
      </c>
      <c r="G57" s="4">
        <f t="shared" si="4"/>
        <v>5.0761579688730067E-2</v>
      </c>
    </row>
    <row r="58" spans="1:7" x14ac:dyDescent="0.25">
      <c r="A58" s="1" t="s">
        <v>58</v>
      </c>
      <c r="B58" s="2">
        <v>237699</v>
      </c>
      <c r="C58" s="3">
        <f t="shared" si="0"/>
        <v>237295.41666666666</v>
      </c>
      <c r="D58" s="3">
        <f t="shared" si="1"/>
        <v>403.58333333334303</v>
      </c>
      <c r="E58">
        <f t="shared" si="2"/>
        <v>403.58333333334303</v>
      </c>
      <c r="F58">
        <f t="shared" si="3"/>
        <v>162879.50694445227</v>
      </c>
      <c r="G58" s="4">
        <f t="shared" si="4"/>
        <v>1.6978756045811848E-3</v>
      </c>
    </row>
    <row r="59" spans="1:7" x14ac:dyDescent="0.25">
      <c r="A59" s="1" t="s">
        <v>59</v>
      </c>
      <c r="B59" s="2">
        <v>230822</v>
      </c>
      <c r="C59" s="3">
        <f t="shared" si="0"/>
        <v>235672</v>
      </c>
      <c r="D59" s="3">
        <f t="shared" si="1"/>
        <v>-4850</v>
      </c>
      <c r="E59">
        <f t="shared" si="2"/>
        <v>4850</v>
      </c>
      <c r="F59">
        <f t="shared" si="3"/>
        <v>23522500</v>
      </c>
      <c r="G59" s="4">
        <f t="shared" si="4"/>
        <v>2.1011861954233133E-2</v>
      </c>
    </row>
    <row r="60" spans="1:7" x14ac:dyDescent="0.25">
      <c r="A60" s="1" t="s">
        <v>60</v>
      </c>
      <c r="B60" s="2">
        <v>222248</v>
      </c>
      <c r="C60" s="3">
        <f t="shared" si="0"/>
        <v>233777.08333333334</v>
      </c>
      <c r="D60" s="3">
        <f t="shared" si="1"/>
        <v>-11529.083333333343</v>
      </c>
      <c r="E60">
        <f t="shared" si="2"/>
        <v>11529.083333333343</v>
      </c>
      <c r="F60">
        <f t="shared" si="3"/>
        <v>132919762.50694467</v>
      </c>
      <c r="G60" s="4">
        <f t="shared" si="4"/>
        <v>5.1874857516528129E-2</v>
      </c>
    </row>
    <row r="61" spans="1:7" x14ac:dyDescent="0.25">
      <c r="A61" s="1" t="s">
        <v>61</v>
      </c>
      <c r="B61" s="2">
        <v>240519</v>
      </c>
      <c r="C61" s="3">
        <f t="shared" si="0"/>
        <v>234227</v>
      </c>
      <c r="D61" s="3">
        <f t="shared" si="1"/>
        <v>6292</v>
      </c>
      <c r="E61">
        <f t="shared" si="2"/>
        <v>6292</v>
      </c>
      <c r="F61">
        <f t="shared" si="3"/>
        <v>39589264</v>
      </c>
      <c r="G61" s="4">
        <f t="shared" si="4"/>
        <v>2.6160095460233911E-2</v>
      </c>
    </row>
    <row r="62" spans="1:7" x14ac:dyDescent="0.25">
      <c r="A62" s="1" t="s">
        <v>62</v>
      </c>
      <c r="B62" s="2">
        <v>234969</v>
      </c>
      <c r="C62" s="3">
        <f t="shared" si="0"/>
        <v>233331.5</v>
      </c>
      <c r="D62" s="3">
        <f t="shared" si="1"/>
        <v>1637.5</v>
      </c>
      <c r="E62">
        <f t="shared" si="2"/>
        <v>1637.5</v>
      </c>
      <c r="F62">
        <f t="shared" si="3"/>
        <v>2681406.25</v>
      </c>
      <c r="G62" s="4">
        <f t="shared" si="4"/>
        <v>6.9690044218599046E-3</v>
      </c>
    </row>
    <row r="63" spans="1:7" x14ac:dyDescent="0.25">
      <c r="A63" s="1" t="s">
        <v>63</v>
      </c>
      <c r="B63" s="2">
        <v>201572</v>
      </c>
      <c r="C63" s="3">
        <f t="shared" si="0"/>
        <v>233199</v>
      </c>
      <c r="D63" s="3">
        <f t="shared" si="1"/>
        <v>-31627</v>
      </c>
      <c r="E63">
        <f t="shared" si="2"/>
        <v>31627</v>
      </c>
      <c r="F63">
        <f t="shared" si="3"/>
        <v>1000267129</v>
      </c>
      <c r="G63" s="4">
        <f t="shared" si="4"/>
        <v>0.15690175222749192</v>
      </c>
    </row>
    <row r="64" spans="1:7" x14ac:dyDescent="0.25">
      <c r="A64" s="1" t="s">
        <v>64</v>
      </c>
      <c r="B64" s="2">
        <v>225487</v>
      </c>
      <c r="C64" s="3">
        <f t="shared" si="0"/>
        <v>232705.08333333334</v>
      </c>
      <c r="D64" s="3">
        <f t="shared" si="1"/>
        <v>-7218.083333333343</v>
      </c>
      <c r="E64">
        <f t="shared" si="2"/>
        <v>7218.083333333343</v>
      </c>
      <c r="F64">
        <f t="shared" si="3"/>
        <v>52100727.006944582</v>
      </c>
      <c r="G64" s="4">
        <f t="shared" si="4"/>
        <v>3.2011084157105921E-2</v>
      </c>
    </row>
    <row r="65" spans="1:7" x14ac:dyDescent="0.25">
      <c r="A65" s="1" t="s">
        <v>65</v>
      </c>
      <c r="B65" s="2">
        <v>226639</v>
      </c>
      <c r="C65" s="3">
        <f t="shared" si="0"/>
        <v>232289.91666666666</v>
      </c>
      <c r="D65" s="3">
        <f t="shared" si="1"/>
        <v>-5650.916666666657</v>
      </c>
      <c r="E65">
        <f t="shared" si="2"/>
        <v>5650.916666666657</v>
      </c>
      <c r="F65">
        <f t="shared" si="3"/>
        <v>31932859.173611</v>
      </c>
      <c r="G65" s="4">
        <f t="shared" si="4"/>
        <v>2.4933558066646329E-2</v>
      </c>
    </row>
    <row r="66" spans="1:7" x14ac:dyDescent="0.25">
      <c r="A66" s="1" t="s">
        <v>66</v>
      </c>
      <c r="B66" s="2">
        <v>222177</v>
      </c>
      <c r="C66" s="3">
        <f t="shared" si="0"/>
        <v>230903.91666666666</v>
      </c>
      <c r="D66" s="3">
        <f t="shared" si="1"/>
        <v>-8726.916666666657</v>
      </c>
      <c r="E66">
        <f t="shared" si="2"/>
        <v>8726.916666666657</v>
      </c>
      <c r="F66">
        <f t="shared" si="3"/>
        <v>76159074.506944269</v>
      </c>
      <c r="G66" s="4">
        <f t="shared" si="4"/>
        <v>3.9279118300574123E-2</v>
      </c>
    </row>
    <row r="67" spans="1:7" x14ac:dyDescent="0.25">
      <c r="A67" s="1" t="s">
        <v>67</v>
      </c>
      <c r="B67" s="2">
        <v>212025</v>
      </c>
      <c r="C67" s="3">
        <f t="shared" si="0"/>
        <v>229246.66666666666</v>
      </c>
      <c r="D67" s="3">
        <f t="shared" si="1"/>
        <v>-17221.666666666657</v>
      </c>
      <c r="E67">
        <f t="shared" si="2"/>
        <v>17221.666666666657</v>
      </c>
      <c r="F67">
        <f t="shared" si="3"/>
        <v>296585802.77777743</v>
      </c>
      <c r="G67" s="4">
        <f t="shared" si="4"/>
        <v>8.1224698345320867E-2</v>
      </c>
    </row>
    <row r="68" spans="1:7" x14ac:dyDescent="0.25">
      <c r="A68" s="1" t="s">
        <v>68</v>
      </c>
      <c r="B68" s="2">
        <v>236534</v>
      </c>
      <c r="C68" s="3">
        <f t="shared" si="0"/>
        <v>228480.83333333334</v>
      </c>
      <c r="D68" s="3">
        <f t="shared" si="1"/>
        <v>8053.166666666657</v>
      </c>
      <c r="E68">
        <f t="shared" si="2"/>
        <v>8053.166666666657</v>
      </c>
      <c r="F68">
        <f t="shared" si="3"/>
        <v>64853493.361110955</v>
      </c>
      <c r="G68" s="4">
        <f t="shared" si="4"/>
        <v>3.4046550037908532E-2</v>
      </c>
    </row>
    <row r="69" spans="1:7" x14ac:dyDescent="0.25">
      <c r="A69" s="1" t="s">
        <v>69</v>
      </c>
      <c r="B69" s="2">
        <v>231649</v>
      </c>
      <c r="C69" s="3">
        <f t="shared" si="0"/>
        <v>226861.66666666666</v>
      </c>
      <c r="D69" s="3">
        <f t="shared" si="1"/>
        <v>4787.333333333343</v>
      </c>
      <c r="E69">
        <f t="shared" si="2"/>
        <v>4787.333333333343</v>
      </c>
      <c r="F69">
        <f t="shared" si="3"/>
        <v>22918560.444444537</v>
      </c>
      <c r="G69" s="4">
        <f t="shared" si="4"/>
        <v>2.0666324194506962E-2</v>
      </c>
    </row>
    <row r="70" spans="1:7" x14ac:dyDescent="0.25">
      <c r="A70" s="1" t="s">
        <v>70</v>
      </c>
      <c r="B70" s="2">
        <v>224851</v>
      </c>
      <c r="C70" s="3">
        <f t="shared" si="0"/>
        <v>225791</v>
      </c>
      <c r="D70" s="3">
        <f t="shared" si="1"/>
        <v>-940</v>
      </c>
      <c r="E70">
        <f t="shared" si="2"/>
        <v>940</v>
      </c>
      <c r="F70">
        <f t="shared" si="3"/>
        <v>883600</v>
      </c>
      <c r="G70" s="4">
        <f t="shared" si="4"/>
        <v>4.1805462283912454E-3</v>
      </c>
    </row>
    <row r="71" spans="1:7" x14ac:dyDescent="0.25">
      <c r="A71" s="1" t="s">
        <v>71</v>
      </c>
      <c r="B71" s="2">
        <v>221600</v>
      </c>
      <c r="C71" s="3">
        <f t="shared" si="0"/>
        <v>225022.5</v>
      </c>
      <c r="D71" s="3">
        <f t="shared" si="1"/>
        <v>-3422.5</v>
      </c>
      <c r="E71">
        <f t="shared" si="2"/>
        <v>3422.5</v>
      </c>
      <c r="F71">
        <f t="shared" si="3"/>
        <v>11713506.25</v>
      </c>
      <c r="G71" s="4">
        <f t="shared" si="4"/>
        <v>1.5444494584837544E-2</v>
      </c>
    </row>
    <row r="72" spans="1:7" x14ac:dyDescent="0.25">
      <c r="A72" s="1" t="s">
        <v>72</v>
      </c>
      <c r="B72" s="2">
        <v>218845</v>
      </c>
      <c r="C72" s="3">
        <f t="shared" si="0"/>
        <v>224738.91666666666</v>
      </c>
      <c r="D72" s="3">
        <f t="shared" si="1"/>
        <v>-5893.916666666657</v>
      </c>
      <c r="E72">
        <f t="shared" si="2"/>
        <v>5893.916666666657</v>
      </c>
      <c r="F72">
        <f t="shared" si="3"/>
        <v>34738253.673611</v>
      </c>
      <c r="G72" s="4">
        <f t="shared" si="4"/>
        <v>2.6931922898246051E-2</v>
      </c>
    </row>
    <row r="73" spans="1:7" x14ac:dyDescent="0.25">
      <c r="A73" s="1" t="s">
        <v>73</v>
      </c>
      <c r="B73" s="2">
        <v>223978</v>
      </c>
      <c r="C73" s="3">
        <f t="shared" si="0"/>
        <v>223360.5</v>
      </c>
      <c r="D73" s="3">
        <f t="shared" si="1"/>
        <v>617.5</v>
      </c>
      <c r="E73">
        <f t="shared" si="2"/>
        <v>617.5</v>
      </c>
      <c r="F73">
        <f t="shared" si="3"/>
        <v>381306.25</v>
      </c>
      <c r="G73" s="4">
        <f t="shared" si="4"/>
        <v>2.7569672021359242E-3</v>
      </c>
    </row>
    <row r="74" spans="1:7" x14ac:dyDescent="0.25">
      <c r="A74" s="1" t="s">
        <v>74</v>
      </c>
      <c r="B74" s="2">
        <v>222315</v>
      </c>
      <c r="C74" s="3">
        <f t="shared" si="0"/>
        <v>222306</v>
      </c>
      <c r="D74" s="3">
        <f t="shared" si="1"/>
        <v>9</v>
      </c>
      <c r="E74">
        <f t="shared" si="2"/>
        <v>9</v>
      </c>
      <c r="F74">
        <f t="shared" si="3"/>
        <v>81</v>
      </c>
      <c r="G74" s="4">
        <f t="shared" si="4"/>
        <v>4.0483098306457056E-5</v>
      </c>
    </row>
    <row r="75" spans="1:7" x14ac:dyDescent="0.25">
      <c r="A75" s="1" t="s">
        <v>75</v>
      </c>
      <c r="B75" s="2">
        <v>198807</v>
      </c>
      <c r="C75" s="3">
        <f t="shared" si="0"/>
        <v>222075.58333333334</v>
      </c>
      <c r="D75" s="3">
        <f t="shared" si="1"/>
        <v>-23268.583333333343</v>
      </c>
      <c r="E75">
        <f t="shared" si="2"/>
        <v>23268.583333333343</v>
      </c>
      <c r="F75">
        <f t="shared" si="3"/>
        <v>541426970.34027827</v>
      </c>
      <c r="G75" s="4">
        <f t="shared" si="4"/>
        <v>0.11704106662910935</v>
      </c>
    </row>
    <row r="76" spans="1:7" x14ac:dyDescent="0.25">
      <c r="A76" s="1" t="s">
        <v>76</v>
      </c>
      <c r="B76" s="2">
        <v>235360</v>
      </c>
      <c r="C76" s="3">
        <f t="shared" si="0"/>
        <v>222898.33333333334</v>
      </c>
      <c r="D76" s="3">
        <f t="shared" si="1"/>
        <v>12461.666666666657</v>
      </c>
      <c r="E76">
        <f t="shared" si="2"/>
        <v>12461.666666666657</v>
      </c>
      <c r="F76">
        <f t="shared" si="3"/>
        <v>155293136.11111087</v>
      </c>
      <c r="G76" s="4">
        <f t="shared" si="4"/>
        <v>5.2947258101064994E-2</v>
      </c>
    </row>
    <row r="77" spans="1:7" x14ac:dyDescent="0.25">
      <c r="A77" s="1" t="s">
        <v>77</v>
      </c>
      <c r="B77" s="2">
        <v>216229</v>
      </c>
      <c r="C77" s="3">
        <f t="shared" si="0"/>
        <v>222030.83333333334</v>
      </c>
      <c r="D77" s="3">
        <f t="shared" si="1"/>
        <v>-5801.833333333343</v>
      </c>
      <c r="E77">
        <f t="shared" si="2"/>
        <v>5801.833333333343</v>
      </c>
      <c r="F77">
        <f t="shared" si="3"/>
        <v>33661270.027777888</v>
      </c>
      <c r="G77" s="4">
        <f t="shared" si="4"/>
        <v>2.6831892731008989E-2</v>
      </c>
    </row>
    <row r="78" spans="1:7" x14ac:dyDescent="0.25">
      <c r="A78" s="1" t="s">
        <v>78</v>
      </c>
      <c r="B78" s="2">
        <v>224604</v>
      </c>
      <c r="C78" s="3">
        <f t="shared" ref="C78:C141" si="5">AVERAGE(B67:B78)</f>
        <v>222233.08333333334</v>
      </c>
      <c r="D78" s="3">
        <f t="shared" ref="D78:D141" si="6">B78-C78</f>
        <v>2370.916666666657</v>
      </c>
      <c r="E78">
        <f t="shared" ref="E78:E141" si="7">ABS(D78)</f>
        <v>2370.916666666657</v>
      </c>
      <c r="F78">
        <f t="shared" ref="F78:F141" si="8">E78^2</f>
        <v>5621245.8402777314</v>
      </c>
      <c r="G78" s="4">
        <f t="shared" ref="G78:G141" si="9">E78/B78</f>
        <v>1.0555985942666457E-2</v>
      </c>
    </row>
    <row r="79" spans="1:7" x14ac:dyDescent="0.25">
      <c r="A79" s="1" t="s">
        <v>79</v>
      </c>
      <c r="B79" s="2">
        <v>219618</v>
      </c>
      <c r="C79" s="3">
        <f t="shared" si="5"/>
        <v>222865.83333333334</v>
      </c>
      <c r="D79" s="3">
        <f t="shared" si="6"/>
        <v>-3247.833333333343</v>
      </c>
      <c r="E79">
        <f t="shared" si="7"/>
        <v>3247.833333333343</v>
      </c>
      <c r="F79">
        <f t="shared" si="8"/>
        <v>10548421.361111173</v>
      </c>
      <c r="G79" s="4">
        <f t="shared" si="9"/>
        <v>1.478855710066271E-2</v>
      </c>
    </row>
    <row r="80" spans="1:7" x14ac:dyDescent="0.25">
      <c r="A80" s="1" t="s">
        <v>80</v>
      </c>
      <c r="B80" s="2">
        <v>228160</v>
      </c>
      <c r="C80" s="3">
        <f t="shared" si="5"/>
        <v>222168</v>
      </c>
      <c r="D80" s="3">
        <f t="shared" si="6"/>
        <v>5992</v>
      </c>
      <c r="E80">
        <f t="shared" si="7"/>
        <v>5992</v>
      </c>
      <c r="F80">
        <f t="shared" si="8"/>
        <v>35904064</v>
      </c>
      <c r="G80" s="4">
        <f t="shared" si="9"/>
        <v>2.6262272089761569E-2</v>
      </c>
    </row>
    <row r="81" spans="1:7" x14ac:dyDescent="0.25">
      <c r="A81" s="1" t="s">
        <v>81</v>
      </c>
      <c r="B81" s="2">
        <v>239212</v>
      </c>
      <c r="C81" s="3">
        <f t="shared" si="5"/>
        <v>222798.25</v>
      </c>
      <c r="D81" s="3">
        <f t="shared" si="6"/>
        <v>16413.75</v>
      </c>
      <c r="E81">
        <f t="shared" si="7"/>
        <v>16413.75</v>
      </c>
      <c r="F81">
        <f t="shared" si="8"/>
        <v>269411189.0625</v>
      </c>
      <c r="G81" s="4">
        <f t="shared" si="9"/>
        <v>6.8615913917362006E-2</v>
      </c>
    </row>
    <row r="82" spans="1:7" x14ac:dyDescent="0.25">
      <c r="A82" s="1" t="s">
        <v>82</v>
      </c>
      <c r="B82" s="2">
        <v>216838</v>
      </c>
      <c r="C82" s="3">
        <f t="shared" si="5"/>
        <v>222130.5</v>
      </c>
      <c r="D82" s="3">
        <f t="shared" si="6"/>
        <v>-5292.5</v>
      </c>
      <c r="E82">
        <f t="shared" si="7"/>
        <v>5292.5</v>
      </c>
      <c r="F82">
        <f t="shared" si="8"/>
        <v>28010556.25</v>
      </c>
      <c r="G82" s="4">
        <f t="shared" si="9"/>
        <v>2.4407622280227637E-2</v>
      </c>
    </row>
    <row r="83" spans="1:7" x14ac:dyDescent="0.25">
      <c r="A83" s="1" t="s">
        <v>83</v>
      </c>
      <c r="B83" s="2">
        <v>220171</v>
      </c>
      <c r="C83" s="3">
        <f t="shared" si="5"/>
        <v>222011.41666666666</v>
      </c>
      <c r="D83" s="3">
        <f t="shared" si="6"/>
        <v>-1840.416666666657</v>
      </c>
      <c r="E83">
        <f t="shared" si="7"/>
        <v>1840.416666666657</v>
      </c>
      <c r="F83">
        <f t="shared" si="8"/>
        <v>3387133.5069444086</v>
      </c>
      <c r="G83" s="4">
        <f t="shared" si="9"/>
        <v>8.3590330546105384E-3</v>
      </c>
    </row>
    <row r="84" spans="1:7" x14ac:dyDescent="0.25">
      <c r="A84" s="1" t="s">
        <v>84</v>
      </c>
      <c r="B84" s="2">
        <v>221130</v>
      </c>
      <c r="C84" s="3">
        <f t="shared" si="5"/>
        <v>222201.83333333334</v>
      </c>
      <c r="D84" s="3">
        <f t="shared" si="6"/>
        <v>-1071.833333333343</v>
      </c>
      <c r="E84">
        <f t="shared" si="7"/>
        <v>1071.833333333343</v>
      </c>
      <c r="F84">
        <f t="shared" si="8"/>
        <v>1148826.6944444652</v>
      </c>
      <c r="G84" s="4">
        <f t="shared" si="9"/>
        <v>4.8470733655919277E-3</v>
      </c>
    </row>
    <row r="85" spans="1:7" x14ac:dyDescent="0.25">
      <c r="A85" s="1" t="s">
        <v>85</v>
      </c>
      <c r="B85" s="2">
        <v>244965</v>
      </c>
      <c r="C85" s="3">
        <f t="shared" si="5"/>
        <v>223950.75</v>
      </c>
      <c r="D85" s="3">
        <f t="shared" si="6"/>
        <v>21014.25</v>
      </c>
      <c r="E85">
        <f t="shared" si="7"/>
        <v>21014.25</v>
      </c>
      <c r="F85">
        <f t="shared" si="8"/>
        <v>441598703.0625</v>
      </c>
      <c r="G85" s="4">
        <f t="shared" si="9"/>
        <v>8.578470393729716E-2</v>
      </c>
    </row>
    <row r="86" spans="1:7" x14ac:dyDescent="0.25">
      <c r="A86" s="1" t="s">
        <v>86</v>
      </c>
      <c r="B86" s="2">
        <v>236065</v>
      </c>
      <c r="C86" s="3">
        <f t="shared" si="5"/>
        <v>225096.58333333334</v>
      </c>
      <c r="D86" s="3">
        <f t="shared" si="6"/>
        <v>10968.416666666657</v>
      </c>
      <c r="E86">
        <f t="shared" si="7"/>
        <v>10968.416666666657</v>
      </c>
      <c r="F86">
        <f t="shared" si="8"/>
        <v>120306164.1736109</v>
      </c>
      <c r="G86" s="4">
        <f t="shared" si="9"/>
        <v>4.6463544645189488E-2</v>
      </c>
    </row>
    <row r="87" spans="1:7" x14ac:dyDescent="0.25">
      <c r="A87" s="1" t="s">
        <v>87</v>
      </c>
      <c r="B87" s="2">
        <v>229492</v>
      </c>
      <c r="C87" s="3">
        <f t="shared" si="5"/>
        <v>227653.66666666666</v>
      </c>
      <c r="D87" s="3">
        <f t="shared" si="6"/>
        <v>1838.333333333343</v>
      </c>
      <c r="E87">
        <f t="shared" si="7"/>
        <v>1838.333333333343</v>
      </c>
      <c r="F87">
        <f t="shared" si="8"/>
        <v>3379469.4444444799</v>
      </c>
      <c r="G87" s="4">
        <f t="shared" si="9"/>
        <v>8.010446261017129E-3</v>
      </c>
    </row>
    <row r="88" spans="1:7" x14ac:dyDescent="0.25">
      <c r="A88" s="1" t="s">
        <v>88</v>
      </c>
      <c r="B88" s="2">
        <v>248383</v>
      </c>
      <c r="C88" s="3">
        <f t="shared" si="5"/>
        <v>228738.91666666666</v>
      </c>
      <c r="D88" s="3">
        <f t="shared" si="6"/>
        <v>19644.083333333343</v>
      </c>
      <c r="E88">
        <f t="shared" si="7"/>
        <v>19644.083333333343</v>
      </c>
      <c r="F88">
        <f t="shared" si="8"/>
        <v>385890010.00694484</v>
      </c>
      <c r="G88" s="4">
        <f t="shared" si="9"/>
        <v>7.9087873700427733E-2</v>
      </c>
    </row>
    <row r="89" spans="1:7" x14ac:dyDescent="0.25">
      <c r="A89" s="1" t="s">
        <v>89</v>
      </c>
      <c r="B89" s="2">
        <v>228344</v>
      </c>
      <c r="C89" s="3">
        <f t="shared" si="5"/>
        <v>229748.5</v>
      </c>
      <c r="D89" s="3">
        <f t="shared" si="6"/>
        <v>-1404.5</v>
      </c>
      <c r="E89">
        <f t="shared" si="7"/>
        <v>1404.5</v>
      </c>
      <c r="F89">
        <f t="shared" si="8"/>
        <v>1972620.25</v>
      </c>
      <c r="G89" s="4">
        <f t="shared" si="9"/>
        <v>6.1508075535157483E-3</v>
      </c>
    </row>
    <row r="90" spans="1:7" x14ac:dyDescent="0.25">
      <c r="A90" s="1" t="s">
        <v>90</v>
      </c>
      <c r="B90" s="2">
        <v>245749</v>
      </c>
      <c r="C90" s="3">
        <f t="shared" si="5"/>
        <v>231510.58333333334</v>
      </c>
      <c r="D90" s="3">
        <f t="shared" si="6"/>
        <v>14238.416666666657</v>
      </c>
      <c r="E90">
        <f t="shared" si="7"/>
        <v>14238.416666666657</v>
      </c>
      <c r="F90">
        <f t="shared" si="8"/>
        <v>202732509.17361084</v>
      </c>
      <c r="G90" s="4">
        <f t="shared" si="9"/>
        <v>5.793885902553686E-2</v>
      </c>
    </row>
    <row r="91" spans="1:7" x14ac:dyDescent="0.25">
      <c r="A91" s="1" t="s">
        <v>91</v>
      </c>
      <c r="B91" s="2">
        <v>226802</v>
      </c>
      <c r="C91" s="3">
        <f t="shared" si="5"/>
        <v>232109.25</v>
      </c>
      <c r="D91" s="3">
        <f t="shared" si="6"/>
        <v>-5307.25</v>
      </c>
      <c r="E91">
        <f t="shared" si="7"/>
        <v>5307.25</v>
      </c>
      <c r="F91">
        <f t="shared" si="8"/>
        <v>28166902.5625</v>
      </c>
      <c r="G91" s="4">
        <f t="shared" si="9"/>
        <v>2.3400366839798591E-2</v>
      </c>
    </row>
    <row r="92" spans="1:7" x14ac:dyDescent="0.25">
      <c r="A92" s="1" t="s">
        <v>92</v>
      </c>
      <c r="B92" s="2">
        <v>250986</v>
      </c>
      <c r="C92" s="3">
        <f t="shared" si="5"/>
        <v>234011.41666666666</v>
      </c>
      <c r="D92" s="3">
        <f t="shared" si="6"/>
        <v>16974.583333333343</v>
      </c>
      <c r="E92">
        <f t="shared" si="7"/>
        <v>16974.583333333343</v>
      </c>
      <c r="F92">
        <f t="shared" si="8"/>
        <v>288136479.34027809</v>
      </c>
      <c r="G92" s="4">
        <f t="shared" si="9"/>
        <v>6.7631594325314334E-2</v>
      </c>
    </row>
    <row r="93" spans="1:7" x14ac:dyDescent="0.25">
      <c r="A93" s="1" t="s">
        <v>93</v>
      </c>
      <c r="B93" s="2">
        <v>248482</v>
      </c>
      <c r="C93" s="3">
        <f t="shared" si="5"/>
        <v>234783.91666666666</v>
      </c>
      <c r="D93" s="3">
        <f t="shared" si="6"/>
        <v>13698.083333333343</v>
      </c>
      <c r="E93">
        <f t="shared" si="7"/>
        <v>13698.083333333343</v>
      </c>
      <c r="F93">
        <f t="shared" si="8"/>
        <v>187637487.00694472</v>
      </c>
      <c r="G93" s="4">
        <f t="shared" si="9"/>
        <v>5.5127064871231493E-2</v>
      </c>
    </row>
    <row r="94" spans="1:7" x14ac:dyDescent="0.25">
      <c r="A94" s="1" t="s">
        <v>94</v>
      </c>
      <c r="B94" s="2">
        <v>241213</v>
      </c>
      <c r="C94" s="3">
        <f t="shared" si="5"/>
        <v>236815.16666666666</v>
      </c>
      <c r="D94" s="3">
        <f t="shared" si="6"/>
        <v>4397.833333333343</v>
      </c>
      <c r="E94">
        <f t="shared" si="7"/>
        <v>4397.833333333343</v>
      </c>
      <c r="F94">
        <f t="shared" si="8"/>
        <v>19340938.027777862</v>
      </c>
      <c r="G94" s="4">
        <f t="shared" si="9"/>
        <v>1.8232157194402222E-2</v>
      </c>
    </row>
    <row r="95" spans="1:7" x14ac:dyDescent="0.25">
      <c r="A95" s="1" t="s">
        <v>95</v>
      </c>
      <c r="B95" s="2">
        <v>234666</v>
      </c>
      <c r="C95" s="3">
        <f t="shared" si="5"/>
        <v>238023.08333333334</v>
      </c>
      <c r="D95" s="3">
        <f t="shared" si="6"/>
        <v>-3357.083333333343</v>
      </c>
      <c r="E95">
        <f t="shared" si="7"/>
        <v>3357.083333333343</v>
      </c>
      <c r="F95">
        <f t="shared" si="8"/>
        <v>11270008.506944509</v>
      </c>
      <c r="G95" s="4">
        <f t="shared" si="9"/>
        <v>1.4305793482367889E-2</v>
      </c>
    </row>
    <row r="96" spans="1:7" x14ac:dyDescent="0.25">
      <c r="A96" s="1" t="s">
        <v>96</v>
      </c>
      <c r="B96" s="2">
        <v>240691</v>
      </c>
      <c r="C96" s="3">
        <f t="shared" si="5"/>
        <v>239653.16666666666</v>
      </c>
      <c r="D96" s="3">
        <f t="shared" si="6"/>
        <v>1037.833333333343</v>
      </c>
      <c r="E96">
        <f t="shared" si="7"/>
        <v>1037.833333333343</v>
      </c>
      <c r="F96">
        <f t="shared" si="8"/>
        <v>1077098.027777798</v>
      </c>
      <c r="G96" s="4">
        <f t="shared" si="9"/>
        <v>4.3118909029973831E-3</v>
      </c>
    </row>
    <row r="97" spans="1:7" x14ac:dyDescent="0.25">
      <c r="A97" s="1" t="s">
        <v>97</v>
      </c>
      <c r="B97" s="2">
        <v>242213</v>
      </c>
      <c r="C97" s="3">
        <f t="shared" si="5"/>
        <v>239423.83333333334</v>
      </c>
      <c r="D97" s="3">
        <f t="shared" si="6"/>
        <v>2789.166666666657</v>
      </c>
      <c r="E97">
        <f t="shared" si="7"/>
        <v>2789.166666666657</v>
      </c>
      <c r="F97">
        <f t="shared" si="8"/>
        <v>7779450.69444439</v>
      </c>
      <c r="G97" s="4">
        <f t="shared" si="9"/>
        <v>1.1515346685217791E-2</v>
      </c>
    </row>
    <row r="98" spans="1:7" x14ac:dyDescent="0.25">
      <c r="A98" s="1" t="s">
        <v>98</v>
      </c>
      <c r="B98" s="2">
        <v>262811</v>
      </c>
      <c r="C98" s="3">
        <f t="shared" si="5"/>
        <v>241652.66666666666</v>
      </c>
      <c r="D98" s="3">
        <f t="shared" si="6"/>
        <v>21158.333333333343</v>
      </c>
      <c r="E98">
        <f t="shared" si="7"/>
        <v>21158.333333333343</v>
      </c>
      <c r="F98">
        <f t="shared" si="8"/>
        <v>447675069.44444484</v>
      </c>
      <c r="G98" s="4">
        <f t="shared" si="9"/>
        <v>8.0507792038131368E-2</v>
      </c>
    </row>
    <row r="99" spans="1:7" x14ac:dyDescent="0.25">
      <c r="A99" s="1" t="s">
        <v>99</v>
      </c>
      <c r="B99" s="2">
        <v>220558</v>
      </c>
      <c r="C99" s="3">
        <f t="shared" si="5"/>
        <v>240908.16666666666</v>
      </c>
      <c r="D99" s="3">
        <f t="shared" si="6"/>
        <v>-20350.166666666657</v>
      </c>
      <c r="E99">
        <f t="shared" si="7"/>
        <v>20350.166666666657</v>
      </c>
      <c r="F99">
        <f t="shared" si="8"/>
        <v>414129283.36111069</v>
      </c>
      <c r="G99" s="4">
        <f t="shared" si="9"/>
        <v>9.2266735582779397E-2</v>
      </c>
    </row>
    <row r="100" spans="1:7" x14ac:dyDescent="0.25">
      <c r="A100" s="1" t="s">
        <v>100</v>
      </c>
      <c r="B100" s="2">
        <v>253114</v>
      </c>
      <c r="C100" s="3">
        <f t="shared" si="5"/>
        <v>241302.41666666666</v>
      </c>
      <c r="D100" s="3">
        <f t="shared" si="6"/>
        <v>11811.583333333343</v>
      </c>
      <c r="E100">
        <f t="shared" si="7"/>
        <v>11811.583333333343</v>
      </c>
      <c r="F100">
        <f t="shared" si="8"/>
        <v>139513500.840278</v>
      </c>
      <c r="G100" s="4">
        <f t="shared" si="9"/>
        <v>4.6665073181781105E-2</v>
      </c>
    </row>
    <row r="101" spans="1:7" x14ac:dyDescent="0.25">
      <c r="A101" s="1" t="s">
        <v>101</v>
      </c>
      <c r="B101" s="2">
        <v>246132</v>
      </c>
      <c r="C101" s="3">
        <f t="shared" si="5"/>
        <v>242784.75</v>
      </c>
      <c r="D101" s="3">
        <f t="shared" si="6"/>
        <v>3347.25</v>
      </c>
      <c r="E101">
        <f t="shared" si="7"/>
        <v>3347.25</v>
      </c>
      <c r="F101">
        <f t="shared" si="8"/>
        <v>11204082.5625</v>
      </c>
      <c r="G101" s="4">
        <f t="shared" si="9"/>
        <v>1.3599410072643947E-2</v>
      </c>
    </row>
    <row r="102" spans="1:7" x14ac:dyDescent="0.25">
      <c r="A102" s="1" t="s">
        <v>102</v>
      </c>
      <c r="B102" s="2">
        <v>264554</v>
      </c>
      <c r="C102" s="3">
        <f t="shared" si="5"/>
        <v>244351.83333333334</v>
      </c>
      <c r="D102" s="3">
        <f t="shared" si="6"/>
        <v>20202.166666666657</v>
      </c>
      <c r="E102">
        <f t="shared" si="7"/>
        <v>20202.166666666657</v>
      </c>
      <c r="F102">
        <f t="shared" si="8"/>
        <v>408127538.02777737</v>
      </c>
      <c r="G102" s="4">
        <f t="shared" si="9"/>
        <v>7.6363111752862006E-2</v>
      </c>
    </row>
    <row r="103" spans="1:7" x14ac:dyDescent="0.25">
      <c r="A103" s="1" t="s">
        <v>103</v>
      </c>
      <c r="B103" s="2">
        <v>242677</v>
      </c>
      <c r="C103" s="3">
        <f t="shared" si="5"/>
        <v>245674.75</v>
      </c>
      <c r="D103" s="3">
        <f t="shared" si="6"/>
        <v>-2997.75</v>
      </c>
      <c r="E103">
        <f t="shared" si="7"/>
        <v>2997.75</v>
      </c>
      <c r="F103">
        <f t="shared" si="8"/>
        <v>8986505.0625</v>
      </c>
      <c r="G103" s="4">
        <f t="shared" si="9"/>
        <v>1.2352839370850967E-2</v>
      </c>
    </row>
    <row r="104" spans="1:7" x14ac:dyDescent="0.25">
      <c r="A104" s="1" t="s">
        <v>104</v>
      </c>
      <c r="B104" s="2">
        <v>245369</v>
      </c>
      <c r="C104" s="3">
        <f t="shared" si="5"/>
        <v>245206.66666666666</v>
      </c>
      <c r="D104" s="3">
        <f t="shared" si="6"/>
        <v>162.33333333334303</v>
      </c>
      <c r="E104">
        <f t="shared" si="7"/>
        <v>162.33333333334303</v>
      </c>
      <c r="F104">
        <f t="shared" si="8"/>
        <v>26352.11111111426</v>
      </c>
      <c r="G104" s="4">
        <f t="shared" si="9"/>
        <v>6.6158860057033701E-4</v>
      </c>
    </row>
    <row r="105" spans="1:7" x14ac:dyDescent="0.25">
      <c r="A105" s="1" t="s">
        <v>105</v>
      </c>
      <c r="B105" s="2">
        <v>245611</v>
      </c>
      <c r="C105" s="3">
        <f t="shared" si="5"/>
        <v>244967.41666666666</v>
      </c>
      <c r="D105" s="3">
        <f t="shared" si="6"/>
        <v>643.58333333334303</v>
      </c>
      <c r="E105">
        <f t="shared" si="7"/>
        <v>643.58333333334303</v>
      </c>
      <c r="F105">
        <f t="shared" si="8"/>
        <v>414199.50694445695</v>
      </c>
      <c r="G105" s="4">
        <f t="shared" si="9"/>
        <v>2.6203359512942948E-3</v>
      </c>
    </row>
    <row r="106" spans="1:7" x14ac:dyDescent="0.25">
      <c r="A106" s="1" t="s">
        <v>106</v>
      </c>
      <c r="B106" s="2">
        <v>219708</v>
      </c>
      <c r="C106" s="3">
        <f t="shared" si="5"/>
        <v>243175.33333333334</v>
      </c>
      <c r="D106" s="3">
        <f t="shared" si="6"/>
        <v>-23467.333333333343</v>
      </c>
      <c r="E106">
        <f t="shared" si="7"/>
        <v>23467.333333333343</v>
      </c>
      <c r="F106">
        <f t="shared" si="8"/>
        <v>550715733.77777827</v>
      </c>
      <c r="G106" s="4">
        <f t="shared" si="9"/>
        <v>0.10681146491403747</v>
      </c>
    </row>
    <row r="107" spans="1:7" x14ac:dyDescent="0.25">
      <c r="A107" s="1" t="s">
        <v>107</v>
      </c>
      <c r="B107" s="2">
        <v>238109</v>
      </c>
      <c r="C107" s="3">
        <f t="shared" si="5"/>
        <v>243462.25</v>
      </c>
      <c r="D107" s="3">
        <f t="shared" si="6"/>
        <v>-5353.25</v>
      </c>
      <c r="E107">
        <f t="shared" si="7"/>
        <v>5353.25</v>
      </c>
      <c r="F107">
        <f t="shared" si="8"/>
        <v>28657285.5625</v>
      </c>
      <c r="G107" s="4">
        <f t="shared" si="9"/>
        <v>2.2482350520139936E-2</v>
      </c>
    </row>
    <row r="108" spans="1:7" x14ac:dyDescent="0.25">
      <c r="A108" s="1" t="s">
        <v>108</v>
      </c>
      <c r="B108" s="2">
        <v>230230</v>
      </c>
      <c r="C108" s="3">
        <f t="shared" si="5"/>
        <v>242590.5</v>
      </c>
      <c r="D108" s="3">
        <f t="shared" si="6"/>
        <v>-12360.5</v>
      </c>
      <c r="E108">
        <f t="shared" si="7"/>
        <v>12360.5</v>
      </c>
      <c r="F108">
        <f t="shared" si="8"/>
        <v>152781960.25</v>
      </c>
      <c r="G108" s="4">
        <f t="shared" si="9"/>
        <v>5.3687616731094991E-2</v>
      </c>
    </row>
    <row r="109" spans="1:7" x14ac:dyDescent="0.25">
      <c r="A109" s="1" t="s">
        <v>109</v>
      </c>
      <c r="B109" s="2">
        <v>241245</v>
      </c>
      <c r="C109" s="3">
        <f t="shared" si="5"/>
        <v>242509.83333333334</v>
      </c>
      <c r="D109" s="3">
        <f t="shared" si="6"/>
        <v>-1264.833333333343</v>
      </c>
      <c r="E109">
        <f t="shared" si="7"/>
        <v>1264.833333333343</v>
      </c>
      <c r="F109">
        <f t="shared" si="8"/>
        <v>1599803.3611111357</v>
      </c>
      <c r="G109" s="4">
        <f t="shared" si="9"/>
        <v>5.2429411317678832E-3</v>
      </c>
    </row>
    <row r="110" spans="1:7" x14ac:dyDescent="0.25">
      <c r="A110" s="1" t="s">
        <v>110</v>
      </c>
      <c r="B110" s="2">
        <v>248552</v>
      </c>
      <c r="C110" s="3">
        <f t="shared" si="5"/>
        <v>241321.58333333334</v>
      </c>
      <c r="D110" s="3">
        <f t="shared" si="6"/>
        <v>7230.416666666657</v>
      </c>
      <c r="E110">
        <f t="shared" si="7"/>
        <v>7230.416666666657</v>
      </c>
      <c r="F110">
        <f t="shared" si="8"/>
        <v>52278925.17361097</v>
      </c>
      <c r="G110" s="4">
        <f t="shared" si="9"/>
        <v>2.9090156855171783E-2</v>
      </c>
    </row>
    <row r="111" spans="1:7" x14ac:dyDescent="0.25">
      <c r="A111" s="1" t="s">
        <v>111</v>
      </c>
      <c r="B111" s="2">
        <v>209942</v>
      </c>
      <c r="C111" s="3">
        <f t="shared" si="5"/>
        <v>240436.91666666666</v>
      </c>
      <c r="D111" s="3">
        <f t="shared" si="6"/>
        <v>-30494.916666666657</v>
      </c>
      <c r="E111">
        <f t="shared" si="7"/>
        <v>30494.916666666657</v>
      </c>
      <c r="F111">
        <f t="shared" si="8"/>
        <v>929939942.50694382</v>
      </c>
      <c r="G111" s="4">
        <f t="shared" si="9"/>
        <v>0.14525400666215743</v>
      </c>
    </row>
    <row r="112" spans="1:7" x14ac:dyDescent="0.25">
      <c r="A112" s="1" t="s">
        <v>112</v>
      </c>
      <c r="B112" s="2">
        <v>236216</v>
      </c>
      <c r="C112" s="3">
        <f t="shared" si="5"/>
        <v>239028.75</v>
      </c>
      <c r="D112" s="3">
        <f t="shared" si="6"/>
        <v>-2812.75</v>
      </c>
      <c r="E112">
        <f t="shared" si="7"/>
        <v>2812.75</v>
      </c>
      <c r="F112">
        <f t="shared" si="8"/>
        <v>7911562.5625</v>
      </c>
      <c r="G112" s="4">
        <f t="shared" si="9"/>
        <v>1.1907533782639618E-2</v>
      </c>
    </row>
    <row r="113" spans="1:7" x14ac:dyDescent="0.25">
      <c r="A113" s="1" t="s">
        <v>113</v>
      </c>
      <c r="B113" s="2">
        <v>247608</v>
      </c>
      <c r="C113" s="3">
        <f t="shared" si="5"/>
        <v>239151.75</v>
      </c>
      <c r="D113" s="3">
        <f t="shared" si="6"/>
        <v>8456.25</v>
      </c>
      <c r="E113">
        <f t="shared" si="7"/>
        <v>8456.25</v>
      </c>
      <c r="F113">
        <f t="shared" si="8"/>
        <v>71508164.0625</v>
      </c>
      <c r="G113" s="4">
        <f t="shared" si="9"/>
        <v>3.4151764078705051E-2</v>
      </c>
    </row>
    <row r="114" spans="1:7" x14ac:dyDescent="0.25">
      <c r="A114" s="1" t="s">
        <v>114</v>
      </c>
      <c r="B114" s="2">
        <v>242857</v>
      </c>
      <c r="C114" s="3">
        <f t="shared" si="5"/>
        <v>237343.66666666666</v>
      </c>
      <c r="D114" s="3">
        <f t="shared" si="6"/>
        <v>5513.333333333343</v>
      </c>
      <c r="E114">
        <f t="shared" si="7"/>
        <v>5513.333333333343</v>
      </c>
      <c r="F114">
        <f t="shared" si="8"/>
        <v>30396844.444444552</v>
      </c>
      <c r="G114" s="4">
        <f t="shared" si="9"/>
        <v>2.2701974138416198E-2</v>
      </c>
    </row>
    <row r="115" spans="1:7" x14ac:dyDescent="0.25">
      <c r="A115" s="1" t="s">
        <v>115</v>
      </c>
      <c r="B115" s="2">
        <v>254283</v>
      </c>
      <c r="C115" s="3">
        <f t="shared" si="5"/>
        <v>238310.83333333334</v>
      </c>
      <c r="D115" s="3">
        <f t="shared" si="6"/>
        <v>15972.166666666657</v>
      </c>
      <c r="E115">
        <f t="shared" si="7"/>
        <v>15972.166666666657</v>
      </c>
      <c r="F115">
        <f t="shared" si="8"/>
        <v>255110108.02777746</v>
      </c>
      <c r="G115" s="4">
        <f t="shared" si="9"/>
        <v>6.2812561856933638E-2</v>
      </c>
    </row>
    <row r="116" spans="1:7" x14ac:dyDescent="0.25">
      <c r="A116" s="1" t="s">
        <v>116</v>
      </c>
      <c r="B116" s="2">
        <v>246671</v>
      </c>
      <c r="C116" s="3">
        <f t="shared" si="5"/>
        <v>238419.33333333334</v>
      </c>
      <c r="D116" s="3">
        <f t="shared" si="6"/>
        <v>8251.666666666657</v>
      </c>
      <c r="E116">
        <f t="shared" si="7"/>
        <v>8251.666666666657</v>
      </c>
      <c r="F116">
        <f t="shared" si="8"/>
        <v>68090002.777777612</v>
      </c>
      <c r="G116" s="4">
        <f t="shared" si="9"/>
        <v>3.3452115030411587E-2</v>
      </c>
    </row>
    <row r="117" spans="1:7" x14ac:dyDescent="0.25">
      <c r="A117" s="1" t="s">
        <v>117</v>
      </c>
      <c r="B117" s="2">
        <v>247656</v>
      </c>
      <c r="C117" s="3">
        <f t="shared" si="5"/>
        <v>238589.75</v>
      </c>
      <c r="D117" s="3">
        <f t="shared" si="6"/>
        <v>9066.25</v>
      </c>
      <c r="E117">
        <f t="shared" si="7"/>
        <v>9066.25</v>
      </c>
      <c r="F117">
        <f t="shared" si="8"/>
        <v>82196889.0625</v>
      </c>
      <c r="G117" s="4">
        <f t="shared" si="9"/>
        <v>3.6608238847433534E-2</v>
      </c>
    </row>
    <row r="118" spans="1:7" x14ac:dyDescent="0.25">
      <c r="A118" s="1" t="s">
        <v>118</v>
      </c>
      <c r="B118" s="2">
        <v>227795</v>
      </c>
      <c r="C118" s="3">
        <f t="shared" si="5"/>
        <v>239263.66666666666</v>
      </c>
      <c r="D118" s="3">
        <f t="shared" si="6"/>
        <v>-11468.666666666657</v>
      </c>
      <c r="E118">
        <f t="shared" si="7"/>
        <v>11468.666666666657</v>
      </c>
      <c r="F118">
        <f t="shared" si="8"/>
        <v>131530315.1111109</v>
      </c>
      <c r="G118" s="4">
        <f t="shared" si="9"/>
        <v>5.0346437220600351E-2</v>
      </c>
    </row>
    <row r="119" spans="1:7" x14ac:dyDescent="0.25">
      <c r="A119" s="1" t="s">
        <v>119</v>
      </c>
      <c r="B119" s="2">
        <v>227975</v>
      </c>
      <c r="C119" s="3">
        <f t="shared" si="5"/>
        <v>238419.16666666666</v>
      </c>
      <c r="D119" s="3">
        <f t="shared" si="6"/>
        <v>-10444.166666666657</v>
      </c>
      <c r="E119">
        <f t="shared" si="7"/>
        <v>10444.166666666657</v>
      </c>
      <c r="F119">
        <f t="shared" si="8"/>
        <v>109080617.36111091</v>
      </c>
      <c r="G119" s="4">
        <f t="shared" si="9"/>
        <v>4.5812771868260369E-2</v>
      </c>
    </row>
    <row r="120" spans="1:7" x14ac:dyDescent="0.25">
      <c r="A120" s="1" t="s">
        <v>120</v>
      </c>
      <c r="B120" s="2">
        <v>226251</v>
      </c>
      <c r="C120" s="3">
        <f t="shared" si="5"/>
        <v>238087.58333333334</v>
      </c>
      <c r="D120" s="3">
        <f t="shared" si="6"/>
        <v>-11836.583333333343</v>
      </c>
      <c r="E120">
        <f t="shared" si="7"/>
        <v>11836.583333333343</v>
      </c>
      <c r="F120">
        <f t="shared" si="8"/>
        <v>140104705.00694469</v>
      </c>
      <c r="G120" s="4">
        <f t="shared" si="9"/>
        <v>5.2316159191929952E-2</v>
      </c>
    </row>
    <row r="121" spans="1:7" x14ac:dyDescent="0.25">
      <c r="A121" s="1" t="s">
        <v>121</v>
      </c>
      <c r="B121" s="2">
        <v>219240</v>
      </c>
      <c r="C121" s="3">
        <f t="shared" si="5"/>
        <v>236253.83333333334</v>
      </c>
      <c r="D121" s="3">
        <f t="shared" si="6"/>
        <v>-17013.833333333343</v>
      </c>
      <c r="E121">
        <f t="shared" si="7"/>
        <v>17013.833333333343</v>
      </c>
      <c r="F121">
        <f t="shared" si="8"/>
        <v>289470524.69444478</v>
      </c>
      <c r="G121" s="4">
        <f t="shared" si="9"/>
        <v>7.7603691540473196E-2</v>
      </c>
    </row>
    <row r="122" spans="1:7" x14ac:dyDescent="0.25">
      <c r="A122" s="1" t="s">
        <v>122</v>
      </c>
      <c r="B122" s="2">
        <v>234307</v>
      </c>
      <c r="C122" s="3">
        <f t="shared" si="5"/>
        <v>235066.75</v>
      </c>
      <c r="D122" s="3">
        <f t="shared" si="6"/>
        <v>-759.75</v>
      </c>
      <c r="E122">
        <f t="shared" si="7"/>
        <v>759.75</v>
      </c>
      <c r="F122">
        <f t="shared" si="8"/>
        <v>577220.0625</v>
      </c>
      <c r="G122" s="4">
        <f t="shared" si="9"/>
        <v>3.2425407691618262E-3</v>
      </c>
    </row>
    <row r="123" spans="1:7" x14ac:dyDescent="0.25">
      <c r="A123" s="1" t="s">
        <v>123</v>
      </c>
      <c r="B123" s="2">
        <v>178257</v>
      </c>
      <c r="C123" s="3">
        <f t="shared" si="5"/>
        <v>232426.33333333334</v>
      </c>
      <c r="D123" s="3">
        <f t="shared" si="6"/>
        <v>-54169.333333333343</v>
      </c>
      <c r="E123">
        <f t="shared" si="7"/>
        <v>54169.333333333343</v>
      </c>
      <c r="F123">
        <f t="shared" si="8"/>
        <v>2934316673.7777786</v>
      </c>
      <c r="G123" s="4">
        <f t="shared" si="9"/>
        <v>0.30388334445959114</v>
      </c>
    </row>
    <row r="124" spans="1:7" x14ac:dyDescent="0.25">
      <c r="A124" s="1" t="s">
        <v>124</v>
      </c>
      <c r="B124" s="2">
        <v>210276</v>
      </c>
      <c r="C124" s="3">
        <f t="shared" si="5"/>
        <v>230264.66666666666</v>
      </c>
      <c r="D124" s="3">
        <f t="shared" si="6"/>
        <v>-19988.666666666657</v>
      </c>
      <c r="E124">
        <f t="shared" si="7"/>
        <v>19988.666666666657</v>
      </c>
      <c r="F124">
        <f t="shared" si="8"/>
        <v>399546795.11111075</v>
      </c>
      <c r="G124" s="4">
        <f t="shared" si="9"/>
        <v>9.5059192046009322E-2</v>
      </c>
    </row>
    <row r="125" spans="1:7" x14ac:dyDescent="0.25">
      <c r="A125" s="1" t="s">
        <v>125</v>
      </c>
      <c r="B125" s="2">
        <v>209958</v>
      </c>
      <c r="C125" s="3">
        <f t="shared" si="5"/>
        <v>227127.16666666666</v>
      </c>
      <c r="D125" s="3">
        <f t="shared" si="6"/>
        <v>-17169.166666666657</v>
      </c>
      <c r="E125">
        <f t="shared" si="7"/>
        <v>17169.166666666657</v>
      </c>
      <c r="F125">
        <f t="shared" si="8"/>
        <v>294780284.02777743</v>
      </c>
      <c r="G125" s="4">
        <f t="shared" si="9"/>
        <v>8.17742913662097E-2</v>
      </c>
    </row>
    <row r="126" spans="1:7" x14ac:dyDescent="0.25">
      <c r="A126" s="1" t="s">
        <v>126</v>
      </c>
      <c r="B126" s="2">
        <v>221259</v>
      </c>
      <c r="C126" s="3">
        <f t="shared" si="5"/>
        <v>225327.33333333334</v>
      </c>
      <c r="D126" s="3">
        <f t="shared" si="6"/>
        <v>-4068.333333333343</v>
      </c>
      <c r="E126">
        <f t="shared" si="7"/>
        <v>4068.333333333343</v>
      </c>
      <c r="F126">
        <f t="shared" si="8"/>
        <v>16551336.11111119</v>
      </c>
      <c r="G126" s="4">
        <f t="shared" si="9"/>
        <v>1.8387199315432787E-2</v>
      </c>
    </row>
    <row r="127" spans="1:7" x14ac:dyDescent="0.25">
      <c r="A127" s="1" t="s">
        <v>127</v>
      </c>
      <c r="B127" s="2">
        <v>214563</v>
      </c>
      <c r="C127" s="3">
        <f t="shared" si="5"/>
        <v>222017.33333333334</v>
      </c>
      <c r="D127" s="3">
        <f t="shared" si="6"/>
        <v>-7454.333333333343</v>
      </c>
      <c r="E127">
        <f t="shared" si="7"/>
        <v>7454.333333333343</v>
      </c>
      <c r="F127">
        <f t="shared" si="8"/>
        <v>55567085.444444589</v>
      </c>
      <c r="G127" s="4">
        <f t="shared" si="9"/>
        <v>3.4741932827809748E-2</v>
      </c>
    </row>
    <row r="128" spans="1:7" x14ac:dyDescent="0.25">
      <c r="A128" s="1" t="s">
        <v>128</v>
      </c>
      <c r="B128" s="2">
        <v>215083</v>
      </c>
      <c r="C128" s="3">
        <f t="shared" si="5"/>
        <v>219385</v>
      </c>
      <c r="D128" s="3">
        <f t="shared" si="6"/>
        <v>-4302</v>
      </c>
      <c r="E128">
        <f t="shared" si="7"/>
        <v>4302</v>
      </c>
      <c r="F128">
        <f t="shared" si="8"/>
        <v>18507204</v>
      </c>
      <c r="G128" s="4">
        <f t="shared" si="9"/>
        <v>2.0001580785092267E-2</v>
      </c>
    </row>
    <row r="129" spans="1:7" x14ac:dyDescent="0.25">
      <c r="A129" s="1" t="s">
        <v>129</v>
      </c>
      <c r="B129" s="2">
        <v>215273</v>
      </c>
      <c r="C129" s="3">
        <f t="shared" si="5"/>
        <v>216686.41666666666</v>
      </c>
      <c r="D129" s="3">
        <f t="shared" si="6"/>
        <v>-1413.416666666657</v>
      </c>
      <c r="E129">
        <f t="shared" si="7"/>
        <v>1413.416666666657</v>
      </c>
      <c r="F129">
        <f t="shared" si="8"/>
        <v>1997746.6736110838</v>
      </c>
      <c r="G129" s="4">
        <f t="shared" si="9"/>
        <v>6.5656941031465021E-3</v>
      </c>
    </row>
    <row r="130" spans="1:7" x14ac:dyDescent="0.25">
      <c r="A130" s="1" t="s">
        <v>130</v>
      </c>
      <c r="B130" s="2">
        <v>194485</v>
      </c>
      <c r="C130" s="3">
        <f t="shared" si="5"/>
        <v>213910.58333333334</v>
      </c>
      <c r="D130" s="3">
        <f t="shared" si="6"/>
        <v>-19425.583333333343</v>
      </c>
      <c r="E130">
        <f t="shared" si="7"/>
        <v>19425.583333333343</v>
      </c>
      <c r="F130">
        <f t="shared" si="8"/>
        <v>377353287.84027815</v>
      </c>
      <c r="G130" s="4">
        <f t="shared" si="9"/>
        <v>9.9882167433649596E-2</v>
      </c>
    </row>
    <row r="131" spans="1:7" x14ac:dyDescent="0.25">
      <c r="A131" s="1" t="s">
        <v>131</v>
      </c>
      <c r="B131" s="2">
        <v>193493</v>
      </c>
      <c r="C131" s="3">
        <f t="shared" si="5"/>
        <v>211037.08333333334</v>
      </c>
      <c r="D131" s="3">
        <f t="shared" si="6"/>
        <v>-17544.083333333343</v>
      </c>
      <c r="E131">
        <f t="shared" si="7"/>
        <v>17544.083333333343</v>
      </c>
      <c r="F131">
        <f t="shared" si="8"/>
        <v>307794860.00694478</v>
      </c>
      <c r="G131" s="4">
        <f t="shared" si="9"/>
        <v>9.06703773952202E-2</v>
      </c>
    </row>
    <row r="132" spans="1:7" x14ac:dyDescent="0.25">
      <c r="A132" s="1" t="s">
        <v>132</v>
      </c>
      <c r="B132" s="2">
        <v>174531</v>
      </c>
      <c r="C132" s="3">
        <f t="shared" si="5"/>
        <v>206727.08333333334</v>
      </c>
      <c r="D132" s="3">
        <f t="shared" si="6"/>
        <v>-32196.083333333343</v>
      </c>
      <c r="E132">
        <f t="shared" si="7"/>
        <v>32196.083333333343</v>
      </c>
      <c r="F132">
        <f t="shared" si="8"/>
        <v>1036587782.006945</v>
      </c>
      <c r="G132" s="4">
        <f t="shared" si="9"/>
        <v>0.1844720040183884</v>
      </c>
    </row>
    <row r="133" spans="1:7" x14ac:dyDescent="0.25">
      <c r="A133" s="1" t="s">
        <v>133</v>
      </c>
      <c r="B133" s="2">
        <v>211837</v>
      </c>
      <c r="C133" s="3">
        <f t="shared" si="5"/>
        <v>206110.16666666666</v>
      </c>
      <c r="D133" s="3">
        <f t="shared" si="6"/>
        <v>5726.833333333343</v>
      </c>
      <c r="E133">
        <f t="shared" si="7"/>
        <v>5726.833333333343</v>
      </c>
      <c r="F133">
        <f t="shared" si="8"/>
        <v>32796620.027777888</v>
      </c>
      <c r="G133" s="4">
        <f t="shared" si="9"/>
        <v>2.7034150471038312E-2</v>
      </c>
    </row>
    <row r="134" spans="1:7" x14ac:dyDescent="0.25">
      <c r="A134" s="1" t="s">
        <v>134</v>
      </c>
      <c r="B134" s="2">
        <v>198663</v>
      </c>
      <c r="C134" s="3">
        <f t="shared" si="5"/>
        <v>203139.83333333334</v>
      </c>
      <c r="D134" s="3">
        <f t="shared" si="6"/>
        <v>-4476.833333333343</v>
      </c>
      <c r="E134">
        <f t="shared" si="7"/>
        <v>4476.833333333343</v>
      </c>
      <c r="F134">
        <f t="shared" si="8"/>
        <v>20042036.69444453</v>
      </c>
      <c r="G134" s="4">
        <f t="shared" si="9"/>
        <v>2.2534811884112004E-2</v>
      </c>
    </row>
    <row r="135" spans="1:7" x14ac:dyDescent="0.25">
      <c r="A135" s="1" t="s">
        <v>135</v>
      </c>
      <c r="B135" s="2">
        <v>189060</v>
      </c>
      <c r="C135" s="3">
        <f t="shared" si="5"/>
        <v>204040.08333333334</v>
      </c>
      <c r="D135" s="3">
        <f t="shared" si="6"/>
        <v>-14980.083333333343</v>
      </c>
      <c r="E135">
        <f t="shared" si="7"/>
        <v>14980.083333333343</v>
      </c>
      <c r="F135">
        <f t="shared" si="8"/>
        <v>224402896.6736114</v>
      </c>
      <c r="G135" s="4">
        <f t="shared" si="9"/>
        <v>7.9234546352128121E-2</v>
      </c>
    </row>
    <row r="136" spans="1:7" x14ac:dyDescent="0.25">
      <c r="A136" s="1" t="s">
        <v>136</v>
      </c>
      <c r="B136" s="2">
        <v>195181</v>
      </c>
      <c r="C136" s="3">
        <f t="shared" si="5"/>
        <v>202782.16666666666</v>
      </c>
      <c r="D136" s="3">
        <f t="shared" si="6"/>
        <v>-7601.166666666657</v>
      </c>
      <c r="E136">
        <f t="shared" si="7"/>
        <v>7601.166666666657</v>
      </c>
      <c r="F136">
        <f t="shared" si="8"/>
        <v>57777734.694444299</v>
      </c>
      <c r="G136" s="4">
        <f t="shared" si="9"/>
        <v>3.8944193680054189E-2</v>
      </c>
    </row>
    <row r="137" spans="1:7" x14ac:dyDescent="0.25">
      <c r="A137" s="1" t="s">
        <v>137</v>
      </c>
      <c r="B137" s="2">
        <v>165586</v>
      </c>
      <c r="C137" s="3">
        <f t="shared" si="5"/>
        <v>199084.5</v>
      </c>
      <c r="D137" s="3">
        <f t="shared" si="6"/>
        <v>-33498.5</v>
      </c>
      <c r="E137">
        <f t="shared" si="7"/>
        <v>33498.5</v>
      </c>
      <c r="F137">
        <f t="shared" si="8"/>
        <v>1122149502.25</v>
      </c>
      <c r="G137" s="4">
        <f t="shared" si="9"/>
        <v>0.2023027309072023</v>
      </c>
    </row>
    <row r="138" spans="1:7" x14ac:dyDescent="0.25">
      <c r="A138" s="1" t="s">
        <v>138</v>
      </c>
      <c r="B138" s="2">
        <v>188693</v>
      </c>
      <c r="C138" s="3">
        <f t="shared" si="5"/>
        <v>196370.66666666666</v>
      </c>
      <c r="D138" s="3">
        <f t="shared" si="6"/>
        <v>-7677.666666666657</v>
      </c>
      <c r="E138">
        <f t="shared" si="7"/>
        <v>7677.666666666657</v>
      </c>
      <c r="F138">
        <f t="shared" si="8"/>
        <v>58946565.444444299</v>
      </c>
      <c r="G138" s="4">
        <f t="shared" si="9"/>
        <v>4.0688667129499541E-2</v>
      </c>
    </row>
    <row r="139" spans="1:7" x14ac:dyDescent="0.25">
      <c r="A139" s="1" t="s">
        <v>139</v>
      </c>
      <c r="B139" s="2">
        <v>191919</v>
      </c>
      <c r="C139" s="3">
        <f t="shared" si="5"/>
        <v>194483.66666666666</v>
      </c>
      <c r="D139" s="3">
        <f t="shared" si="6"/>
        <v>-2564.666666666657</v>
      </c>
      <c r="E139">
        <f t="shared" si="7"/>
        <v>2564.666666666657</v>
      </c>
      <c r="F139">
        <f t="shared" si="8"/>
        <v>6577515.1111110616</v>
      </c>
      <c r="G139" s="4">
        <f t="shared" si="9"/>
        <v>1.3363276521171207E-2</v>
      </c>
    </row>
    <row r="140" spans="1:7" x14ac:dyDescent="0.25">
      <c r="A140" s="1" t="s">
        <v>140</v>
      </c>
      <c r="B140" s="2">
        <v>183087</v>
      </c>
      <c r="C140" s="3">
        <f t="shared" si="5"/>
        <v>191817.33333333334</v>
      </c>
      <c r="D140" s="3">
        <f t="shared" si="6"/>
        <v>-8730.333333333343</v>
      </c>
      <c r="E140">
        <f t="shared" si="7"/>
        <v>8730.333333333343</v>
      </c>
      <c r="F140">
        <f t="shared" si="8"/>
        <v>76218720.111111283</v>
      </c>
      <c r="G140" s="4">
        <f t="shared" si="9"/>
        <v>4.7684070050486069E-2</v>
      </c>
    </row>
    <row r="141" spans="1:7" x14ac:dyDescent="0.25">
      <c r="A141" s="1" t="s">
        <v>141</v>
      </c>
      <c r="B141" s="2">
        <v>168406</v>
      </c>
      <c r="C141" s="3">
        <f t="shared" si="5"/>
        <v>187911.75</v>
      </c>
      <c r="D141" s="3">
        <f t="shared" si="6"/>
        <v>-19505.75</v>
      </c>
      <c r="E141">
        <f t="shared" si="7"/>
        <v>19505.75</v>
      </c>
      <c r="F141">
        <f t="shared" si="8"/>
        <v>380474283.0625</v>
      </c>
      <c r="G141" s="4">
        <f t="shared" si="9"/>
        <v>0.11582574255074048</v>
      </c>
    </row>
    <row r="142" spans="1:7" x14ac:dyDescent="0.25">
      <c r="A142" s="1" t="s">
        <v>142</v>
      </c>
      <c r="B142" s="2">
        <v>161926</v>
      </c>
      <c r="C142" s="3">
        <f t="shared" ref="C142:C168" si="10">AVERAGE(B131:B142)</f>
        <v>185198.5</v>
      </c>
      <c r="D142" s="3">
        <f t="shared" ref="D142:D168" si="11">B142-C142</f>
        <v>-23272.5</v>
      </c>
      <c r="E142">
        <f t="shared" ref="E142:E168" si="12">ABS(D142)</f>
        <v>23272.5</v>
      </c>
      <c r="F142">
        <f t="shared" ref="F142:F168" si="13">E142^2</f>
        <v>541609256.25</v>
      </c>
      <c r="G142" s="4">
        <f t="shared" ref="G142:G168" si="14">E142/B142</f>
        <v>0.14372305868112595</v>
      </c>
    </row>
    <row r="143" spans="1:7" x14ac:dyDescent="0.25">
      <c r="A143" s="1" t="s">
        <v>143</v>
      </c>
      <c r="B143" s="2">
        <v>164494</v>
      </c>
      <c r="C143" s="3">
        <f t="shared" si="10"/>
        <v>182781.91666666666</v>
      </c>
      <c r="D143" s="3">
        <f t="shared" si="11"/>
        <v>-18287.916666666657</v>
      </c>
      <c r="E143">
        <f t="shared" si="12"/>
        <v>18287.916666666657</v>
      </c>
      <c r="F143">
        <f t="shared" si="13"/>
        <v>334447896.00694406</v>
      </c>
      <c r="G143" s="4">
        <f t="shared" si="14"/>
        <v>0.11117680077490155</v>
      </c>
    </row>
    <row r="144" spans="1:7" x14ac:dyDescent="0.25">
      <c r="A144" s="1" t="s">
        <v>144</v>
      </c>
      <c r="B144" s="2">
        <v>168655</v>
      </c>
      <c r="C144" s="3">
        <f t="shared" si="10"/>
        <v>182292.25</v>
      </c>
      <c r="D144" s="3">
        <f t="shared" si="11"/>
        <v>-13637.25</v>
      </c>
      <c r="E144">
        <f t="shared" si="12"/>
        <v>13637.25</v>
      </c>
      <c r="F144">
        <f t="shared" si="13"/>
        <v>185974587.5625</v>
      </c>
      <c r="G144" s="4">
        <f t="shared" si="14"/>
        <v>8.0858853873291628E-2</v>
      </c>
    </row>
    <row r="145" spans="1:7" x14ac:dyDescent="0.25">
      <c r="A145" s="1" t="s">
        <v>145</v>
      </c>
      <c r="B145" s="2">
        <v>178597</v>
      </c>
      <c r="C145" s="3">
        <f t="shared" si="10"/>
        <v>179522.25</v>
      </c>
      <c r="D145" s="3">
        <f t="shared" si="11"/>
        <v>-925.25</v>
      </c>
      <c r="E145">
        <f t="shared" si="12"/>
        <v>925.25</v>
      </c>
      <c r="F145">
        <f t="shared" si="13"/>
        <v>856087.5625</v>
      </c>
      <c r="G145" s="4">
        <f t="shared" si="14"/>
        <v>5.1806581297558192E-3</v>
      </c>
    </row>
    <row r="146" spans="1:7" x14ac:dyDescent="0.25">
      <c r="A146" s="1" t="s">
        <v>146</v>
      </c>
      <c r="B146" s="2">
        <v>181197</v>
      </c>
      <c r="C146" s="3">
        <f t="shared" si="10"/>
        <v>178066.75</v>
      </c>
      <c r="D146" s="3">
        <f t="shared" si="11"/>
        <v>3130.25</v>
      </c>
      <c r="E146">
        <f t="shared" si="12"/>
        <v>3130.25</v>
      </c>
      <c r="F146">
        <f t="shared" si="13"/>
        <v>9798465.0625</v>
      </c>
      <c r="G146" s="4">
        <f t="shared" si="14"/>
        <v>1.7275396391772491E-2</v>
      </c>
    </row>
    <row r="147" spans="1:7" x14ac:dyDescent="0.25">
      <c r="A147" s="1" t="s">
        <v>147</v>
      </c>
      <c r="B147" s="2">
        <v>156503</v>
      </c>
      <c r="C147" s="3">
        <f t="shared" si="10"/>
        <v>175353.66666666666</v>
      </c>
      <c r="D147" s="3">
        <f t="shared" si="11"/>
        <v>-18850.666666666657</v>
      </c>
      <c r="E147">
        <f t="shared" si="12"/>
        <v>18850.666666666657</v>
      </c>
      <c r="F147">
        <f t="shared" si="13"/>
        <v>355347633.77777743</v>
      </c>
      <c r="G147" s="4">
        <f t="shared" si="14"/>
        <v>0.12044923526492564</v>
      </c>
    </row>
    <row r="148" spans="1:7" x14ac:dyDescent="0.25">
      <c r="A148" s="1" t="s">
        <v>148</v>
      </c>
      <c r="B148" s="2">
        <v>180396</v>
      </c>
      <c r="C148" s="3">
        <f t="shared" si="10"/>
        <v>174121.58333333334</v>
      </c>
      <c r="D148" s="3">
        <f t="shared" si="11"/>
        <v>6274.416666666657</v>
      </c>
      <c r="E148">
        <f t="shared" si="12"/>
        <v>6274.416666666657</v>
      </c>
      <c r="F148">
        <f t="shared" si="13"/>
        <v>39368304.506944321</v>
      </c>
      <c r="G148" s="4">
        <f t="shared" si="14"/>
        <v>3.4781351397296267E-2</v>
      </c>
    </row>
    <row r="149" spans="1:7" x14ac:dyDescent="0.25">
      <c r="A149" s="1" t="s">
        <v>149</v>
      </c>
      <c r="B149" s="2">
        <v>174563</v>
      </c>
      <c r="C149" s="3">
        <f t="shared" si="10"/>
        <v>174869.66666666666</v>
      </c>
      <c r="D149" s="3">
        <f t="shared" si="11"/>
        <v>-306.66666666665697</v>
      </c>
      <c r="E149">
        <f t="shared" si="12"/>
        <v>306.66666666665697</v>
      </c>
      <c r="F149">
        <f t="shared" si="13"/>
        <v>94044.444444438501</v>
      </c>
      <c r="G149" s="4">
        <f t="shared" si="14"/>
        <v>1.7567678526758646E-3</v>
      </c>
    </row>
    <row r="150" spans="1:7" x14ac:dyDescent="0.25">
      <c r="A150" s="1" t="s">
        <v>150</v>
      </c>
      <c r="B150" s="2">
        <v>180654</v>
      </c>
      <c r="C150" s="3">
        <f t="shared" si="10"/>
        <v>174199.75</v>
      </c>
      <c r="D150" s="3">
        <f t="shared" si="11"/>
        <v>6454.25</v>
      </c>
      <c r="E150">
        <f t="shared" si="12"/>
        <v>6454.25</v>
      </c>
      <c r="F150">
        <f t="shared" si="13"/>
        <v>41657343.0625</v>
      </c>
      <c r="G150" s="4">
        <f t="shared" si="14"/>
        <v>3.5727135850853013E-2</v>
      </c>
    </row>
    <row r="151" spans="1:7" x14ac:dyDescent="0.25">
      <c r="A151" s="1" t="s">
        <v>151</v>
      </c>
      <c r="B151" s="2">
        <v>198207</v>
      </c>
      <c r="C151" s="3">
        <f t="shared" si="10"/>
        <v>174723.75</v>
      </c>
      <c r="D151" s="3">
        <f t="shared" si="11"/>
        <v>23483.25</v>
      </c>
      <c r="E151">
        <f t="shared" si="12"/>
        <v>23483.25</v>
      </c>
      <c r="F151">
        <f t="shared" si="13"/>
        <v>551463030.5625</v>
      </c>
      <c r="G151" s="4">
        <f t="shared" si="14"/>
        <v>0.11847840893611225</v>
      </c>
    </row>
    <row r="152" spans="1:7" x14ac:dyDescent="0.25">
      <c r="A152" s="1" t="s">
        <v>152</v>
      </c>
      <c r="B152" s="2">
        <v>198342</v>
      </c>
      <c r="C152" s="3">
        <f t="shared" si="10"/>
        <v>175995</v>
      </c>
      <c r="D152" s="3">
        <f t="shared" si="11"/>
        <v>22347</v>
      </c>
      <c r="E152">
        <f t="shared" si="12"/>
        <v>22347</v>
      </c>
      <c r="F152">
        <f t="shared" si="13"/>
        <v>499388409</v>
      </c>
      <c r="G152" s="4">
        <f t="shared" si="14"/>
        <v>0.11266902622742536</v>
      </c>
    </row>
    <row r="153" spans="1:7" x14ac:dyDescent="0.25">
      <c r="A153" s="1" t="s">
        <v>153</v>
      </c>
      <c r="B153" s="2">
        <v>193331</v>
      </c>
      <c r="C153" s="3">
        <f t="shared" si="10"/>
        <v>178072.08333333334</v>
      </c>
      <c r="D153" s="3">
        <f t="shared" si="11"/>
        <v>15258.916666666657</v>
      </c>
      <c r="E153">
        <f t="shared" si="12"/>
        <v>15258.916666666657</v>
      </c>
      <c r="F153">
        <f t="shared" si="13"/>
        <v>232834537.84027749</v>
      </c>
      <c r="G153" s="4">
        <f t="shared" si="14"/>
        <v>7.8926383594284708E-2</v>
      </c>
    </row>
    <row r="154" spans="1:7" x14ac:dyDescent="0.25">
      <c r="A154" s="1" t="s">
        <v>154</v>
      </c>
      <c r="B154" s="2">
        <v>195755</v>
      </c>
      <c r="C154" s="3">
        <f t="shared" si="10"/>
        <v>180891.16666666666</v>
      </c>
      <c r="D154" s="3">
        <f t="shared" si="11"/>
        <v>14863.833333333343</v>
      </c>
      <c r="E154">
        <f t="shared" si="12"/>
        <v>14863.833333333343</v>
      </c>
      <c r="F154">
        <f t="shared" si="13"/>
        <v>220933541.3611114</v>
      </c>
      <c r="G154" s="4">
        <f t="shared" si="14"/>
        <v>7.5930797851055359E-2</v>
      </c>
    </row>
    <row r="155" spans="1:7" x14ac:dyDescent="0.25">
      <c r="A155" s="1" t="s">
        <v>155</v>
      </c>
      <c r="B155" s="2">
        <v>185112</v>
      </c>
      <c r="C155" s="3">
        <f t="shared" si="10"/>
        <v>182609.33333333334</v>
      </c>
      <c r="D155" s="3">
        <f t="shared" si="11"/>
        <v>2502.666666666657</v>
      </c>
      <c r="E155">
        <f t="shared" si="12"/>
        <v>2502.666666666657</v>
      </c>
      <c r="F155">
        <f t="shared" si="13"/>
        <v>6263340.4444443956</v>
      </c>
      <c r="G155" s="4">
        <f t="shared" si="14"/>
        <v>1.351974300243451E-2</v>
      </c>
    </row>
    <row r="156" spans="1:7" x14ac:dyDescent="0.25">
      <c r="A156" s="1" t="s">
        <v>156</v>
      </c>
      <c r="B156" s="2">
        <v>190010</v>
      </c>
      <c r="C156" s="3">
        <f t="shared" si="10"/>
        <v>184388.91666666666</v>
      </c>
      <c r="D156" s="3">
        <f t="shared" si="11"/>
        <v>5621.083333333343</v>
      </c>
      <c r="E156">
        <f t="shared" si="12"/>
        <v>5621.083333333343</v>
      </c>
      <c r="F156">
        <f t="shared" si="13"/>
        <v>31596577.840277888</v>
      </c>
      <c r="G156" s="4">
        <f t="shared" si="14"/>
        <v>2.9583092117958756E-2</v>
      </c>
    </row>
    <row r="157" spans="1:7" x14ac:dyDescent="0.25">
      <c r="A157" s="1" t="s">
        <v>157</v>
      </c>
      <c r="B157" s="2">
        <v>199289</v>
      </c>
      <c r="C157" s="3">
        <f t="shared" si="10"/>
        <v>186113.25</v>
      </c>
      <c r="D157" s="3">
        <f t="shared" si="11"/>
        <v>13175.75</v>
      </c>
      <c r="E157">
        <f t="shared" si="12"/>
        <v>13175.75</v>
      </c>
      <c r="F157">
        <f t="shared" si="13"/>
        <v>173600388.0625</v>
      </c>
      <c r="G157" s="4">
        <f t="shared" si="14"/>
        <v>6.6113784503911407E-2</v>
      </c>
    </row>
    <row r="158" spans="1:7" x14ac:dyDescent="0.25">
      <c r="A158" s="1" t="s">
        <v>158</v>
      </c>
      <c r="B158" s="2">
        <v>197873</v>
      </c>
      <c r="C158" s="3">
        <f t="shared" si="10"/>
        <v>187502.91666666666</v>
      </c>
      <c r="D158" s="3">
        <f t="shared" si="11"/>
        <v>10370.083333333343</v>
      </c>
      <c r="E158">
        <f t="shared" si="12"/>
        <v>10370.083333333343</v>
      </c>
      <c r="F158">
        <f t="shared" si="13"/>
        <v>107538628.34027798</v>
      </c>
      <c r="G158" s="4">
        <f t="shared" si="14"/>
        <v>5.24077733360961E-2</v>
      </c>
    </row>
    <row r="159" spans="1:7" x14ac:dyDescent="0.25">
      <c r="A159" s="1" t="s">
        <v>159</v>
      </c>
      <c r="B159" s="2">
        <v>172325</v>
      </c>
      <c r="C159" s="3">
        <f t="shared" si="10"/>
        <v>188821.41666666666</v>
      </c>
      <c r="D159" s="3">
        <f t="shared" si="11"/>
        <v>-16496.416666666657</v>
      </c>
      <c r="E159">
        <f t="shared" si="12"/>
        <v>16496.416666666657</v>
      </c>
      <c r="F159">
        <f t="shared" si="13"/>
        <v>272131762.84027743</v>
      </c>
      <c r="G159" s="4">
        <f t="shared" si="14"/>
        <v>9.5728516852845821E-2</v>
      </c>
    </row>
    <row r="160" spans="1:7" x14ac:dyDescent="0.25">
      <c r="A160" s="1" t="s">
        <v>160</v>
      </c>
      <c r="B160" s="2">
        <v>198883</v>
      </c>
      <c r="C160" s="3">
        <f t="shared" si="10"/>
        <v>190362</v>
      </c>
      <c r="D160" s="3">
        <f t="shared" si="11"/>
        <v>8521</v>
      </c>
      <c r="E160">
        <f t="shared" si="12"/>
        <v>8521</v>
      </c>
      <c r="F160">
        <f t="shared" si="13"/>
        <v>72607441</v>
      </c>
      <c r="G160" s="4">
        <f t="shared" si="14"/>
        <v>4.284428533358809E-2</v>
      </c>
    </row>
    <row r="161" spans="1:7" x14ac:dyDescent="0.25">
      <c r="A161" s="1" t="s">
        <v>161</v>
      </c>
      <c r="B161" s="2">
        <v>181770</v>
      </c>
      <c r="C161" s="3">
        <f t="shared" si="10"/>
        <v>190962.58333333334</v>
      </c>
      <c r="D161" s="3">
        <f t="shared" si="11"/>
        <v>-9192.583333333343</v>
      </c>
      <c r="E161">
        <f t="shared" si="12"/>
        <v>9192.583333333343</v>
      </c>
      <c r="F161">
        <f t="shared" si="13"/>
        <v>84503588.340277955</v>
      </c>
      <c r="G161" s="4">
        <f t="shared" si="14"/>
        <v>5.0572610075003264E-2</v>
      </c>
    </row>
    <row r="162" spans="1:7" x14ac:dyDescent="0.25">
      <c r="A162" s="1" t="s">
        <v>162</v>
      </c>
      <c r="B162" s="2">
        <v>191050</v>
      </c>
      <c r="C162" s="3">
        <f t="shared" si="10"/>
        <v>191828.91666666666</v>
      </c>
      <c r="D162" s="3">
        <f t="shared" si="11"/>
        <v>-778.91666666665697</v>
      </c>
      <c r="E162">
        <f t="shared" si="12"/>
        <v>778.91666666665697</v>
      </c>
      <c r="F162">
        <f t="shared" si="13"/>
        <v>606711.17361109599</v>
      </c>
      <c r="G162" s="4">
        <f t="shared" si="14"/>
        <v>4.0770304457820308E-3</v>
      </c>
    </row>
    <row r="163" spans="1:7" x14ac:dyDescent="0.25">
      <c r="A163" s="1" t="s">
        <v>163</v>
      </c>
      <c r="B163" s="2">
        <v>194195</v>
      </c>
      <c r="C163" s="3">
        <f t="shared" si="10"/>
        <v>191494.58333333334</v>
      </c>
      <c r="D163" s="3">
        <f t="shared" si="11"/>
        <v>2700.416666666657</v>
      </c>
      <c r="E163">
        <f t="shared" si="12"/>
        <v>2700.416666666657</v>
      </c>
      <c r="F163">
        <f t="shared" si="13"/>
        <v>7292250.1736110589</v>
      </c>
      <c r="G163" s="4">
        <f t="shared" si="14"/>
        <v>1.3905696164508133E-2</v>
      </c>
    </row>
    <row r="164" spans="1:7" x14ac:dyDescent="0.25">
      <c r="A164" s="1" t="s">
        <v>164</v>
      </c>
      <c r="B164" s="2">
        <v>204719</v>
      </c>
      <c r="C164" s="3">
        <f t="shared" si="10"/>
        <v>192026</v>
      </c>
      <c r="D164" s="3">
        <f t="shared" si="11"/>
        <v>12693</v>
      </c>
      <c r="E164">
        <f t="shared" si="12"/>
        <v>12693</v>
      </c>
      <c r="F164">
        <f t="shared" si="13"/>
        <v>161112249</v>
      </c>
      <c r="G164" s="4">
        <f t="shared" si="14"/>
        <v>6.2002061362159841E-2</v>
      </c>
    </row>
    <row r="165" spans="1:7" x14ac:dyDescent="0.25">
      <c r="A165" s="1" t="s">
        <v>165</v>
      </c>
      <c r="B165" s="2">
        <v>196232</v>
      </c>
      <c r="C165" s="3">
        <f t="shared" si="10"/>
        <v>192267.75</v>
      </c>
      <c r="D165" s="3">
        <f t="shared" si="11"/>
        <v>3964.25</v>
      </c>
      <c r="E165">
        <f t="shared" si="12"/>
        <v>3964.25</v>
      </c>
      <c r="F165">
        <f t="shared" si="13"/>
        <v>15715278.0625</v>
      </c>
      <c r="G165" s="4">
        <f t="shared" si="14"/>
        <v>2.0201852908801825E-2</v>
      </c>
    </row>
    <row r="166" spans="1:7" x14ac:dyDescent="0.25">
      <c r="A166" s="1" t="s">
        <v>166</v>
      </c>
      <c r="B166" s="2">
        <v>188048</v>
      </c>
      <c r="C166" s="3">
        <f t="shared" si="10"/>
        <v>191625.5</v>
      </c>
      <c r="D166" s="3">
        <f t="shared" si="11"/>
        <v>-3577.5</v>
      </c>
      <c r="E166">
        <f t="shared" si="12"/>
        <v>3577.5</v>
      </c>
      <c r="F166">
        <f t="shared" si="13"/>
        <v>12798506.25</v>
      </c>
      <c r="G166" s="4">
        <f t="shared" si="14"/>
        <v>1.9024398026035907E-2</v>
      </c>
    </row>
    <row r="167" spans="1:7" x14ac:dyDescent="0.25">
      <c r="A167" s="1" t="s">
        <v>167</v>
      </c>
      <c r="B167" s="2">
        <v>193347</v>
      </c>
      <c r="C167" s="3">
        <f t="shared" si="10"/>
        <v>192311.75</v>
      </c>
      <c r="D167" s="3">
        <f t="shared" si="11"/>
        <v>1035.25</v>
      </c>
      <c r="E167">
        <f t="shared" si="12"/>
        <v>1035.25</v>
      </c>
      <c r="F167">
        <f t="shared" si="13"/>
        <v>1071742.5625</v>
      </c>
      <c r="G167" s="4">
        <f t="shared" si="14"/>
        <v>5.3543628812446013E-3</v>
      </c>
    </row>
    <row r="168" spans="1:7" x14ac:dyDescent="0.25">
      <c r="A168" s="1" t="s">
        <v>168</v>
      </c>
      <c r="B168" s="2">
        <v>187292</v>
      </c>
      <c r="C168" s="3">
        <f t="shared" si="10"/>
        <v>192085.25</v>
      </c>
      <c r="D168" s="3">
        <f t="shared" si="11"/>
        <v>-4793.25</v>
      </c>
      <c r="E168">
        <f t="shared" si="12"/>
        <v>4793.25</v>
      </c>
      <c r="F168">
        <f t="shared" si="13"/>
        <v>22975245.5625</v>
      </c>
      <c r="G168" s="4">
        <f t="shared" si="14"/>
        <v>2.5592390491852295E-2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20C1-073B-48AE-8045-6C8EEF7159E2}">
  <dimension ref="A1:N168"/>
  <sheetViews>
    <sheetView workbookViewId="0">
      <selection activeCell="M1" sqref="M1:N5"/>
    </sheetView>
  </sheetViews>
  <sheetFormatPr defaultRowHeight="15" x14ac:dyDescent="0.25"/>
  <cols>
    <col min="2" max="2" width="42.28515625" bestFit="1" customWidth="1"/>
    <col min="3" max="3" width="18.28515625" bestFit="1" customWidth="1"/>
    <col min="4" max="4" width="13.28515625" bestFit="1" customWidth="1"/>
    <col min="5" max="5" width="13.85546875" bestFit="1" customWidth="1"/>
    <col min="6" max="6" width="16.7109375" bestFit="1" customWidth="1"/>
    <col min="7" max="7" width="15.85546875" bestFit="1" customWidth="1"/>
    <col min="14" max="14" width="15.28515625" bestFit="1" customWidth="1"/>
  </cols>
  <sheetData>
    <row r="1" spans="1:14" x14ac:dyDescent="0.25">
      <c r="A1" s="15" t="s">
        <v>0</v>
      </c>
      <c r="B1" s="16" t="s">
        <v>1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M1" s="12" t="s">
        <v>174</v>
      </c>
      <c r="N1" s="12"/>
    </row>
    <row r="2" spans="1:14" x14ac:dyDescent="0.25">
      <c r="A2" s="1" t="s">
        <v>2</v>
      </c>
      <c r="B2" s="2">
        <v>317275</v>
      </c>
      <c r="C2" t="e">
        <v>#N/A</v>
      </c>
      <c r="M2" s="12" t="s">
        <v>175</v>
      </c>
      <c r="N2" s="13">
        <f>AVERAGE(E3:E168)</f>
        <v>11869.428165299623</v>
      </c>
    </row>
    <row r="3" spans="1:14" x14ac:dyDescent="0.25">
      <c r="A3" s="1" t="s">
        <v>3</v>
      </c>
      <c r="B3" s="2">
        <v>262339</v>
      </c>
      <c r="C3">
        <f>B2</f>
        <v>317275</v>
      </c>
      <c r="D3">
        <f>B3-C3</f>
        <v>-54936</v>
      </c>
      <c r="E3">
        <f>ABS(D3)</f>
        <v>54936</v>
      </c>
      <c r="F3">
        <f>E3^2</f>
        <v>3017964096</v>
      </c>
      <c r="G3" s="4">
        <f>E3/B3</f>
        <v>0.20940843717480054</v>
      </c>
      <c r="M3" s="12" t="s">
        <v>176</v>
      </c>
      <c r="N3" s="13">
        <f>AVERAGE(F3:F168)</f>
        <v>249286578.46607062</v>
      </c>
    </row>
    <row r="4" spans="1:14" x14ac:dyDescent="0.25">
      <c r="A4" s="1" t="s">
        <v>4</v>
      </c>
      <c r="B4" s="2">
        <v>303897</v>
      </c>
      <c r="C4">
        <f t="shared" ref="C4:C35" si="0">0.2*B3+0.8*C3</f>
        <v>306287.8</v>
      </c>
      <c r="D4">
        <f t="shared" ref="D4:D67" si="1">B4-C4</f>
        <v>-2390.7999999999884</v>
      </c>
      <c r="E4">
        <f t="shared" ref="E4:E67" si="2">ABS(D4)</f>
        <v>2390.7999999999884</v>
      </c>
      <c r="F4">
        <f t="shared" ref="F4:F67" si="3">E4^2</f>
        <v>5715924.6399999447</v>
      </c>
      <c r="G4" s="4">
        <f t="shared" ref="G4:G67" si="4">E4/B4</f>
        <v>7.8671391951878056E-3</v>
      </c>
      <c r="M4" s="12" t="s">
        <v>177</v>
      </c>
      <c r="N4" s="14">
        <f>AVERAGE(G3:G168)</f>
        <v>5.2295579334244946E-2</v>
      </c>
    </row>
    <row r="5" spans="1:14" x14ac:dyDescent="0.25">
      <c r="A5" s="1" t="s">
        <v>5</v>
      </c>
      <c r="B5" s="2">
        <v>285934</v>
      </c>
      <c r="C5">
        <f t="shared" si="0"/>
        <v>305809.64</v>
      </c>
      <c r="D5">
        <f t="shared" si="1"/>
        <v>-19875.640000000014</v>
      </c>
      <c r="E5">
        <f t="shared" si="2"/>
        <v>19875.640000000014</v>
      </c>
      <c r="F5">
        <f t="shared" si="3"/>
        <v>395041065.40960056</v>
      </c>
      <c r="G5" s="4">
        <f t="shared" si="4"/>
        <v>6.9511285821203542E-2</v>
      </c>
      <c r="M5" s="12" t="s">
        <v>178</v>
      </c>
      <c r="N5" s="23">
        <f>100%-N4</f>
        <v>0.947704420665755</v>
      </c>
    </row>
    <row r="6" spans="1:14" x14ac:dyDescent="0.25">
      <c r="A6" s="1" t="s">
        <v>6</v>
      </c>
      <c r="B6" s="2">
        <v>281147</v>
      </c>
      <c r="C6">
        <f t="shared" si="0"/>
        <v>301834.51200000005</v>
      </c>
      <c r="D6">
        <f t="shared" si="1"/>
        <v>-20687.512000000046</v>
      </c>
      <c r="E6">
        <f t="shared" si="2"/>
        <v>20687.512000000046</v>
      </c>
      <c r="F6">
        <f t="shared" si="3"/>
        <v>427973152.75014591</v>
      </c>
      <c r="G6" s="4">
        <f t="shared" si="4"/>
        <v>7.3582545785656775E-2</v>
      </c>
    </row>
    <row r="7" spans="1:14" x14ac:dyDescent="0.25">
      <c r="A7" s="1" t="s">
        <v>7</v>
      </c>
      <c r="B7" s="2">
        <v>284093</v>
      </c>
      <c r="C7">
        <f t="shared" si="0"/>
        <v>297697.00960000005</v>
      </c>
      <c r="D7">
        <f t="shared" si="1"/>
        <v>-13604.009600000049</v>
      </c>
      <c r="E7">
        <f t="shared" si="2"/>
        <v>13604.009600000049</v>
      </c>
      <c r="F7">
        <f t="shared" si="3"/>
        <v>185069077.19689348</v>
      </c>
      <c r="G7" s="4">
        <f t="shared" si="4"/>
        <v>4.7885761352796617E-2</v>
      </c>
    </row>
    <row r="8" spans="1:14" x14ac:dyDescent="0.25">
      <c r="A8" s="1" t="s">
        <v>8</v>
      </c>
      <c r="B8" s="2">
        <v>287569</v>
      </c>
      <c r="C8">
        <f t="shared" si="0"/>
        <v>294976.20768000005</v>
      </c>
      <c r="D8">
        <f t="shared" si="1"/>
        <v>-7407.2076800000505</v>
      </c>
      <c r="E8">
        <f t="shared" si="2"/>
        <v>7407.2076800000505</v>
      </c>
      <c r="F8">
        <f t="shared" si="3"/>
        <v>54866725.614651732</v>
      </c>
      <c r="G8" s="4">
        <f t="shared" si="4"/>
        <v>2.5758018701598748E-2</v>
      </c>
    </row>
    <row r="9" spans="1:14" x14ac:dyDescent="0.25">
      <c r="A9" s="1" t="s">
        <v>9</v>
      </c>
      <c r="B9" s="2">
        <v>279111</v>
      </c>
      <c r="C9">
        <f t="shared" si="0"/>
        <v>293494.76614400005</v>
      </c>
      <c r="D9">
        <f t="shared" si="1"/>
        <v>-14383.766144000052</v>
      </c>
      <c r="E9">
        <f t="shared" si="2"/>
        <v>14383.766144000052</v>
      </c>
      <c r="F9">
        <f t="shared" si="3"/>
        <v>206892728.48528212</v>
      </c>
      <c r="G9" s="4">
        <f t="shared" si="4"/>
        <v>5.1534214502474113E-2</v>
      </c>
    </row>
    <row r="10" spans="1:14" x14ac:dyDescent="0.25">
      <c r="A10" s="1" t="s">
        <v>10</v>
      </c>
      <c r="B10" s="2">
        <v>289561</v>
      </c>
      <c r="C10">
        <f t="shared" si="0"/>
        <v>290618.01291520003</v>
      </c>
      <c r="D10">
        <f t="shared" si="1"/>
        <v>-1057.01291520003</v>
      </c>
      <c r="E10">
        <f t="shared" si="2"/>
        <v>1057.01291520003</v>
      </c>
      <c r="F10">
        <f t="shared" si="3"/>
        <v>1117276.3028996657</v>
      </c>
      <c r="G10" s="4">
        <f t="shared" si="4"/>
        <v>3.6503980688008053E-3</v>
      </c>
    </row>
    <row r="11" spans="1:14" x14ac:dyDescent="0.25">
      <c r="A11" s="1" t="s">
        <v>11</v>
      </c>
      <c r="B11" s="2">
        <v>272678</v>
      </c>
      <c r="C11">
        <f t="shared" si="0"/>
        <v>290406.61033216002</v>
      </c>
      <c r="D11">
        <f t="shared" si="1"/>
        <v>-17728.610332160024</v>
      </c>
      <c r="E11">
        <f t="shared" si="2"/>
        <v>17728.610332160024</v>
      </c>
      <c r="F11">
        <f t="shared" si="3"/>
        <v>314303624.30957115</v>
      </c>
      <c r="G11" s="4">
        <f t="shared" si="4"/>
        <v>6.5016650892848069E-2</v>
      </c>
    </row>
    <row r="12" spans="1:14" x14ac:dyDescent="0.25">
      <c r="A12" s="1" t="s">
        <v>12</v>
      </c>
      <c r="B12" s="2">
        <v>273248</v>
      </c>
      <c r="C12">
        <f t="shared" si="0"/>
        <v>286860.88826572802</v>
      </c>
      <c r="D12">
        <f t="shared" si="1"/>
        <v>-13612.888265728019</v>
      </c>
      <c r="E12">
        <f t="shared" si="2"/>
        <v>13612.888265728019</v>
      </c>
      <c r="F12">
        <f t="shared" si="3"/>
        <v>185310726.9351956</v>
      </c>
      <c r="G12" s="4">
        <f t="shared" si="4"/>
        <v>4.9818802939922781E-2</v>
      </c>
    </row>
    <row r="13" spans="1:14" x14ac:dyDescent="0.25">
      <c r="A13" s="1" t="s">
        <v>13</v>
      </c>
      <c r="B13" s="2">
        <v>265615</v>
      </c>
      <c r="C13">
        <f t="shared" si="0"/>
        <v>284138.31061258243</v>
      </c>
      <c r="D13">
        <f t="shared" si="1"/>
        <v>-18523.310612582427</v>
      </c>
      <c r="E13">
        <f t="shared" si="2"/>
        <v>18523.310612582427</v>
      </c>
      <c r="F13">
        <f t="shared" si="3"/>
        <v>343113036.05020875</v>
      </c>
      <c r="G13" s="4">
        <f t="shared" si="4"/>
        <v>6.9737441833414626E-2</v>
      </c>
    </row>
    <row r="14" spans="1:14" x14ac:dyDescent="0.25">
      <c r="A14" s="1" t="s">
        <v>14</v>
      </c>
      <c r="B14" s="2">
        <v>274568</v>
      </c>
      <c r="C14">
        <f t="shared" si="0"/>
        <v>280433.64849006594</v>
      </c>
      <c r="D14">
        <f t="shared" si="1"/>
        <v>-5865.6484900659416</v>
      </c>
      <c r="E14">
        <f t="shared" si="2"/>
        <v>5865.6484900659416</v>
      </c>
      <c r="F14">
        <f t="shared" si="3"/>
        <v>34405832.209012859</v>
      </c>
      <c r="G14" s="4">
        <f t="shared" si="4"/>
        <v>2.1363190503139264E-2</v>
      </c>
    </row>
    <row r="15" spans="1:14" x14ac:dyDescent="0.25">
      <c r="A15" s="1" t="s">
        <v>15</v>
      </c>
      <c r="B15" s="2">
        <v>253150</v>
      </c>
      <c r="C15">
        <f t="shared" si="0"/>
        <v>279260.51879205275</v>
      </c>
      <c r="D15">
        <f t="shared" si="1"/>
        <v>-26110.518792052753</v>
      </c>
      <c r="E15">
        <f t="shared" si="2"/>
        <v>26110.518792052753</v>
      </c>
      <c r="F15">
        <f t="shared" si="3"/>
        <v>681759191.59013999</v>
      </c>
      <c r="G15" s="4">
        <f t="shared" si="4"/>
        <v>0.10314247992120384</v>
      </c>
    </row>
    <row r="16" spans="1:14" x14ac:dyDescent="0.25">
      <c r="A16" s="1" t="s">
        <v>16</v>
      </c>
      <c r="B16" s="2">
        <v>299033</v>
      </c>
      <c r="C16">
        <f t="shared" si="0"/>
        <v>274038.4150336422</v>
      </c>
      <c r="D16">
        <f t="shared" si="1"/>
        <v>24994.584966357797</v>
      </c>
      <c r="E16">
        <f t="shared" si="2"/>
        <v>24994.584966357797</v>
      </c>
      <c r="F16">
        <f t="shared" si="3"/>
        <v>624729277.64047921</v>
      </c>
      <c r="G16" s="4">
        <f t="shared" si="4"/>
        <v>8.3584704585640365E-2</v>
      </c>
    </row>
    <row r="17" spans="1:7" x14ac:dyDescent="0.25">
      <c r="A17" s="1" t="s">
        <v>17</v>
      </c>
      <c r="B17" s="2">
        <v>302836</v>
      </c>
      <c r="C17">
        <f t="shared" si="0"/>
        <v>279037.33202691376</v>
      </c>
      <c r="D17">
        <f t="shared" si="1"/>
        <v>23798.667973086238</v>
      </c>
      <c r="E17">
        <f t="shared" si="2"/>
        <v>23798.667973086238</v>
      </c>
      <c r="F17">
        <f t="shared" si="3"/>
        <v>566376597.29320061</v>
      </c>
      <c r="G17" s="4">
        <f t="shared" si="4"/>
        <v>7.8585993650313171E-2</v>
      </c>
    </row>
    <row r="18" spans="1:7" x14ac:dyDescent="0.25">
      <c r="A18" s="1" t="s">
        <v>18</v>
      </c>
      <c r="B18" s="2">
        <v>310396</v>
      </c>
      <c r="C18">
        <f t="shared" si="0"/>
        <v>283797.06562153104</v>
      </c>
      <c r="D18">
        <f t="shared" si="1"/>
        <v>26598.934378468955</v>
      </c>
      <c r="E18">
        <f t="shared" si="2"/>
        <v>26598.934378468955</v>
      </c>
      <c r="F18">
        <f t="shared" si="3"/>
        <v>707503310.07009768</v>
      </c>
      <c r="G18" s="4">
        <f t="shared" si="4"/>
        <v>8.5693547527896485E-2</v>
      </c>
    </row>
    <row r="19" spans="1:7" x14ac:dyDescent="0.25">
      <c r="A19" s="1" t="s">
        <v>19</v>
      </c>
      <c r="B19" s="2">
        <v>310153</v>
      </c>
      <c r="C19">
        <f t="shared" si="0"/>
        <v>289116.85249722487</v>
      </c>
      <c r="D19">
        <f t="shared" si="1"/>
        <v>21036.147502775129</v>
      </c>
      <c r="E19">
        <f t="shared" si="2"/>
        <v>21036.147502775129</v>
      </c>
      <c r="F19">
        <f t="shared" si="3"/>
        <v>442519501.75851232</v>
      </c>
      <c r="G19" s="4">
        <f t="shared" si="4"/>
        <v>6.7825065379909691E-2</v>
      </c>
    </row>
    <row r="20" spans="1:7" x14ac:dyDescent="0.25">
      <c r="A20" s="1" t="s">
        <v>20</v>
      </c>
      <c r="B20" s="2">
        <v>318991</v>
      </c>
      <c r="C20">
        <f t="shared" si="0"/>
        <v>293324.0819977799</v>
      </c>
      <c r="D20">
        <f t="shared" si="1"/>
        <v>25666.918002220104</v>
      </c>
      <c r="E20">
        <f t="shared" si="2"/>
        <v>25666.918002220104</v>
      </c>
      <c r="F20">
        <f t="shared" si="3"/>
        <v>658790679.73269045</v>
      </c>
      <c r="G20" s="4">
        <f t="shared" si="4"/>
        <v>8.0462828111827936E-2</v>
      </c>
    </row>
    <row r="21" spans="1:7" x14ac:dyDescent="0.25">
      <c r="A21" s="1" t="s">
        <v>21</v>
      </c>
      <c r="B21" s="2">
        <v>309053</v>
      </c>
      <c r="C21">
        <f t="shared" si="0"/>
        <v>298457.46559822391</v>
      </c>
      <c r="D21">
        <f t="shared" si="1"/>
        <v>10595.534401776094</v>
      </c>
      <c r="E21">
        <f t="shared" si="2"/>
        <v>10595.534401776094</v>
      </c>
      <c r="F21">
        <f t="shared" si="3"/>
        <v>112265349.2592207</v>
      </c>
      <c r="G21" s="4">
        <f t="shared" si="4"/>
        <v>3.4283874939819686E-2</v>
      </c>
    </row>
    <row r="22" spans="1:7" x14ac:dyDescent="0.25">
      <c r="A22" s="1" t="s">
        <v>22</v>
      </c>
      <c r="B22" s="2">
        <v>284192</v>
      </c>
      <c r="C22">
        <f t="shared" si="0"/>
        <v>300576.57247857912</v>
      </c>
      <c r="D22">
        <f t="shared" si="1"/>
        <v>-16384.572478579124</v>
      </c>
      <c r="E22">
        <f t="shared" si="2"/>
        <v>16384.572478579124</v>
      </c>
      <c r="F22">
        <f t="shared" si="3"/>
        <v>268454215.30581248</v>
      </c>
      <c r="G22" s="4">
        <f t="shared" si="4"/>
        <v>5.7653179817092406E-2</v>
      </c>
    </row>
    <row r="23" spans="1:7" x14ac:dyDescent="0.25">
      <c r="A23" s="1" t="s">
        <v>23</v>
      </c>
      <c r="B23" s="2">
        <v>272415</v>
      </c>
      <c r="C23">
        <f t="shared" si="0"/>
        <v>297299.65798286331</v>
      </c>
      <c r="D23">
        <f t="shared" si="1"/>
        <v>-24884.657982863311</v>
      </c>
      <c r="E23">
        <f t="shared" si="2"/>
        <v>24884.657982863311</v>
      </c>
      <c r="F23">
        <f t="shared" si="3"/>
        <v>619246202.92408276</v>
      </c>
      <c r="G23" s="4">
        <f t="shared" si="4"/>
        <v>9.13483397862207E-2</v>
      </c>
    </row>
    <row r="24" spans="1:7" x14ac:dyDescent="0.25">
      <c r="A24" s="1" t="s">
        <v>24</v>
      </c>
      <c r="B24" s="2">
        <v>271185</v>
      </c>
      <c r="C24">
        <f t="shared" si="0"/>
        <v>292322.72638629063</v>
      </c>
      <c r="D24">
        <f t="shared" si="1"/>
        <v>-21137.726386290626</v>
      </c>
      <c r="E24">
        <f t="shared" si="2"/>
        <v>21137.726386290626</v>
      </c>
      <c r="F24">
        <f t="shared" si="3"/>
        <v>446803476.78168696</v>
      </c>
      <c r="G24" s="4">
        <f t="shared" si="4"/>
        <v>7.7945780136403658E-2</v>
      </c>
    </row>
    <row r="25" spans="1:7" x14ac:dyDescent="0.25">
      <c r="A25" s="1" t="s">
        <v>25</v>
      </c>
      <c r="B25" s="2">
        <v>279096</v>
      </c>
      <c r="C25">
        <f t="shared" si="0"/>
        <v>288095.18110903248</v>
      </c>
      <c r="D25">
        <f t="shared" si="1"/>
        <v>-8999.1811090324773</v>
      </c>
      <c r="E25">
        <f t="shared" si="2"/>
        <v>8999.1811090324773</v>
      </c>
      <c r="F25">
        <f t="shared" si="3"/>
        <v>80985260.633167014</v>
      </c>
      <c r="G25" s="4">
        <f t="shared" si="4"/>
        <v>3.2244034701437774E-2</v>
      </c>
    </row>
    <row r="26" spans="1:7" x14ac:dyDescent="0.25">
      <c r="A26" s="1" t="s">
        <v>26</v>
      </c>
      <c r="B26" s="2">
        <v>296158</v>
      </c>
      <c r="C26">
        <f t="shared" si="0"/>
        <v>286295.34488722601</v>
      </c>
      <c r="D26">
        <f t="shared" si="1"/>
        <v>9862.6551127739949</v>
      </c>
      <c r="E26">
        <f t="shared" si="2"/>
        <v>9862.6551127739949</v>
      </c>
      <c r="F26">
        <f t="shared" si="3"/>
        <v>97271965.87352702</v>
      </c>
      <c r="G26" s="4">
        <f t="shared" si="4"/>
        <v>3.3302004716313574E-2</v>
      </c>
    </row>
    <row r="27" spans="1:7" x14ac:dyDescent="0.25">
      <c r="A27" s="1" t="s">
        <v>27</v>
      </c>
      <c r="B27" s="2">
        <v>235122</v>
      </c>
      <c r="C27">
        <f t="shared" si="0"/>
        <v>288267.87590978085</v>
      </c>
      <c r="D27">
        <f t="shared" si="1"/>
        <v>-53145.875909780851</v>
      </c>
      <c r="E27">
        <f t="shared" si="2"/>
        <v>53145.875909780851</v>
      </c>
      <c r="F27">
        <f t="shared" si="3"/>
        <v>2824484126.2178245</v>
      </c>
      <c r="G27" s="4">
        <f t="shared" si="4"/>
        <v>0.22603531745128422</v>
      </c>
    </row>
    <row r="28" spans="1:7" x14ac:dyDescent="0.25">
      <c r="A28" s="1" t="s">
        <v>28</v>
      </c>
      <c r="B28" s="2">
        <v>292010</v>
      </c>
      <c r="C28">
        <f t="shared" si="0"/>
        <v>277638.7007278247</v>
      </c>
      <c r="D28">
        <f t="shared" si="1"/>
        <v>14371.299272175296</v>
      </c>
      <c r="E28">
        <f t="shared" si="2"/>
        <v>14371.299272175296</v>
      </c>
      <c r="F28">
        <f t="shared" si="3"/>
        <v>206534242.77042618</v>
      </c>
      <c r="G28" s="4">
        <f t="shared" si="4"/>
        <v>4.9215092880981116E-2</v>
      </c>
    </row>
    <row r="29" spans="1:7" x14ac:dyDescent="0.25">
      <c r="A29" s="1" t="s">
        <v>29</v>
      </c>
      <c r="B29" s="2">
        <v>265822</v>
      </c>
      <c r="C29">
        <f t="shared" si="0"/>
        <v>280512.96058225981</v>
      </c>
      <c r="D29">
        <f t="shared" si="1"/>
        <v>-14690.96058225981</v>
      </c>
      <c r="E29">
        <f t="shared" si="2"/>
        <v>14690.96058225981</v>
      </c>
      <c r="F29">
        <f t="shared" si="3"/>
        <v>215824322.82951149</v>
      </c>
      <c r="G29" s="4">
        <f t="shared" si="4"/>
        <v>5.526615773810975E-2</v>
      </c>
    </row>
    <row r="30" spans="1:7" x14ac:dyDescent="0.25">
      <c r="A30" s="1" t="s">
        <v>30</v>
      </c>
      <c r="B30" s="2">
        <v>289106</v>
      </c>
      <c r="C30">
        <f t="shared" si="0"/>
        <v>277574.76846580789</v>
      </c>
      <c r="D30">
        <f t="shared" si="1"/>
        <v>11531.231534192106</v>
      </c>
      <c r="E30">
        <f t="shared" si="2"/>
        <v>11531.231534192106</v>
      </c>
      <c r="F30">
        <f t="shared" si="3"/>
        <v>132969300.69514643</v>
      </c>
      <c r="G30" s="4">
        <f t="shared" si="4"/>
        <v>3.9885825732403013E-2</v>
      </c>
    </row>
    <row r="31" spans="1:7" x14ac:dyDescent="0.25">
      <c r="A31" s="1" t="s">
        <v>31</v>
      </c>
      <c r="B31" s="2">
        <v>285572</v>
      </c>
      <c r="C31">
        <f t="shared" si="0"/>
        <v>279881.0147726463</v>
      </c>
      <c r="D31">
        <f t="shared" si="1"/>
        <v>5690.9852273536962</v>
      </c>
      <c r="E31">
        <f t="shared" si="2"/>
        <v>5690.9852273536962</v>
      </c>
      <c r="F31">
        <f t="shared" si="3"/>
        <v>32387312.857958</v>
      </c>
      <c r="G31" s="4">
        <f t="shared" si="4"/>
        <v>1.9928372625305339E-2</v>
      </c>
    </row>
    <row r="32" spans="1:7" x14ac:dyDescent="0.25">
      <c r="A32" s="1" t="s">
        <v>32</v>
      </c>
      <c r="B32" s="2">
        <v>295338</v>
      </c>
      <c r="C32">
        <f t="shared" si="0"/>
        <v>281019.21181811707</v>
      </c>
      <c r="D32">
        <f t="shared" si="1"/>
        <v>14318.788181882934</v>
      </c>
      <c r="E32">
        <f t="shared" si="2"/>
        <v>14318.788181882934</v>
      </c>
      <c r="F32">
        <f t="shared" si="3"/>
        <v>205027694.99763036</v>
      </c>
      <c r="G32" s="4">
        <f t="shared" si="4"/>
        <v>4.8482715335930134E-2</v>
      </c>
    </row>
    <row r="33" spans="1:7" x14ac:dyDescent="0.25">
      <c r="A33" s="1" t="s">
        <v>33</v>
      </c>
      <c r="B33" s="2">
        <v>287633</v>
      </c>
      <c r="C33">
        <f t="shared" si="0"/>
        <v>283882.96945449366</v>
      </c>
      <c r="D33">
        <f t="shared" si="1"/>
        <v>3750.0305455063353</v>
      </c>
      <c r="E33">
        <f t="shared" si="2"/>
        <v>3750.0305455063353</v>
      </c>
      <c r="F33">
        <f t="shared" si="3"/>
        <v>14062729.092230543</v>
      </c>
      <c r="G33" s="4">
        <f t="shared" si="4"/>
        <v>1.3037553220619107E-2</v>
      </c>
    </row>
    <row r="34" spans="1:7" x14ac:dyDescent="0.25">
      <c r="A34" s="1" t="s">
        <v>34</v>
      </c>
      <c r="B34" s="2">
        <v>273698</v>
      </c>
      <c r="C34">
        <f t="shared" si="0"/>
        <v>284632.97556359496</v>
      </c>
      <c r="D34">
        <f t="shared" si="1"/>
        <v>-10934.975563594955</v>
      </c>
      <c r="E34">
        <f t="shared" si="2"/>
        <v>10934.975563594955</v>
      </c>
      <c r="F34">
        <f t="shared" si="3"/>
        <v>119573690.5764188</v>
      </c>
      <c r="G34" s="4">
        <f t="shared" si="4"/>
        <v>3.9952705403747762E-2</v>
      </c>
    </row>
    <row r="35" spans="1:7" x14ac:dyDescent="0.25">
      <c r="A35" s="1" t="s">
        <v>35</v>
      </c>
      <c r="B35" s="2">
        <v>284594</v>
      </c>
      <c r="C35">
        <f t="shared" si="0"/>
        <v>282445.98045087594</v>
      </c>
      <c r="D35">
        <f t="shared" si="1"/>
        <v>2148.0195491240593</v>
      </c>
      <c r="E35">
        <f t="shared" si="2"/>
        <v>2148.0195491240593</v>
      </c>
      <c r="F35">
        <f t="shared" si="3"/>
        <v>4613987.9834191268</v>
      </c>
      <c r="G35" s="4">
        <f t="shared" si="4"/>
        <v>7.5476628078036054E-3</v>
      </c>
    </row>
    <row r="36" spans="1:7" x14ac:dyDescent="0.25">
      <c r="A36" s="1" t="s">
        <v>36</v>
      </c>
      <c r="B36" s="2">
        <v>268189</v>
      </c>
      <c r="C36">
        <f t="shared" ref="C36:C67" si="5">0.2*B35+0.8*C35</f>
        <v>282875.58436070074</v>
      </c>
      <c r="D36">
        <f t="shared" si="1"/>
        <v>-14686.584360700741</v>
      </c>
      <c r="E36">
        <f t="shared" si="2"/>
        <v>14686.584360700741</v>
      </c>
      <c r="F36">
        <f t="shared" si="3"/>
        <v>215695760.1839796</v>
      </c>
      <c r="G36" s="4">
        <f t="shared" si="4"/>
        <v>5.4762068394679654E-2</v>
      </c>
    </row>
    <row r="37" spans="1:7" x14ac:dyDescent="0.25">
      <c r="A37" s="1" t="s">
        <v>37</v>
      </c>
      <c r="B37" s="2">
        <v>279359</v>
      </c>
      <c r="C37">
        <f t="shared" si="5"/>
        <v>279938.26748856058</v>
      </c>
      <c r="D37">
        <f t="shared" si="1"/>
        <v>-579.26748856058111</v>
      </c>
      <c r="E37">
        <f t="shared" si="2"/>
        <v>579.26748856058111</v>
      </c>
      <c r="F37">
        <f t="shared" si="3"/>
        <v>335550.82330328296</v>
      </c>
      <c r="G37" s="4">
        <f t="shared" si="4"/>
        <v>2.0735594291237478E-3</v>
      </c>
    </row>
    <row r="38" spans="1:7" x14ac:dyDescent="0.25">
      <c r="A38" s="1" t="s">
        <v>38</v>
      </c>
      <c r="B38" s="2">
        <v>257536</v>
      </c>
      <c r="C38">
        <f t="shared" si="5"/>
        <v>279822.41399084846</v>
      </c>
      <c r="D38">
        <f t="shared" si="1"/>
        <v>-22286.413990848465</v>
      </c>
      <c r="E38">
        <f t="shared" si="2"/>
        <v>22286.413990848465</v>
      </c>
      <c r="F38">
        <f t="shared" si="3"/>
        <v>496684248.57148618</v>
      </c>
      <c r="G38" s="4">
        <f t="shared" si="4"/>
        <v>8.6537082158799017E-2</v>
      </c>
    </row>
    <row r="39" spans="1:7" x14ac:dyDescent="0.25">
      <c r="A39" s="1" t="s">
        <v>39</v>
      </c>
      <c r="B39" s="2">
        <v>242560</v>
      </c>
      <c r="C39">
        <f t="shared" si="5"/>
        <v>275365.13119267876</v>
      </c>
      <c r="D39">
        <f t="shared" si="1"/>
        <v>-32805.13119267876</v>
      </c>
      <c r="E39">
        <f t="shared" si="2"/>
        <v>32805.13119267876</v>
      </c>
      <c r="F39">
        <f t="shared" si="3"/>
        <v>1076176632.5688651</v>
      </c>
      <c r="G39" s="4">
        <f t="shared" si="4"/>
        <v>0.13524542872971124</v>
      </c>
    </row>
    <row r="40" spans="1:7" x14ac:dyDescent="0.25">
      <c r="A40" s="1" t="s">
        <v>40</v>
      </c>
      <c r="B40" s="2">
        <v>271697</v>
      </c>
      <c r="C40">
        <f t="shared" si="5"/>
        <v>268804.10495414305</v>
      </c>
      <c r="D40">
        <f t="shared" si="1"/>
        <v>2892.8950458569452</v>
      </c>
      <c r="E40">
        <f t="shared" si="2"/>
        <v>2892.8950458569452</v>
      </c>
      <c r="F40">
        <f t="shared" si="3"/>
        <v>8368841.7463436574</v>
      </c>
      <c r="G40" s="4">
        <f t="shared" si="4"/>
        <v>1.064750455786021E-2</v>
      </c>
    </row>
    <row r="41" spans="1:7" x14ac:dyDescent="0.25">
      <c r="A41" s="1" t="s">
        <v>41</v>
      </c>
      <c r="B41" s="2">
        <v>258417</v>
      </c>
      <c r="C41">
        <f t="shared" si="5"/>
        <v>269382.68396331446</v>
      </c>
      <c r="D41">
        <f t="shared" si="1"/>
        <v>-10965.683963314455</v>
      </c>
      <c r="E41">
        <f t="shared" si="2"/>
        <v>10965.683963314455</v>
      </c>
      <c r="F41">
        <f t="shared" si="3"/>
        <v>120246224.78329182</v>
      </c>
      <c r="G41" s="4">
        <f t="shared" si="4"/>
        <v>4.2434065728316851E-2</v>
      </c>
    </row>
    <row r="42" spans="1:7" x14ac:dyDescent="0.25">
      <c r="A42" s="1" t="s">
        <v>42</v>
      </c>
      <c r="B42" s="2">
        <v>272766</v>
      </c>
      <c r="C42">
        <f t="shared" si="5"/>
        <v>267189.54717065161</v>
      </c>
      <c r="D42">
        <f t="shared" si="1"/>
        <v>5576.4528293483891</v>
      </c>
      <c r="E42">
        <f t="shared" si="2"/>
        <v>5576.4528293483891</v>
      </c>
      <c r="F42">
        <f t="shared" si="3"/>
        <v>31096826.157947652</v>
      </c>
      <c r="G42" s="4">
        <f t="shared" si="4"/>
        <v>2.0444090646738924E-2</v>
      </c>
    </row>
    <row r="43" spans="1:7" x14ac:dyDescent="0.25">
      <c r="A43" s="1" t="s">
        <v>43</v>
      </c>
      <c r="B43" s="2">
        <v>270684</v>
      </c>
      <c r="C43">
        <f t="shared" si="5"/>
        <v>268304.83773652132</v>
      </c>
      <c r="D43">
        <f t="shared" si="1"/>
        <v>2379.1622634786763</v>
      </c>
      <c r="E43">
        <f t="shared" si="2"/>
        <v>2379.1622634786763</v>
      </c>
      <c r="F43">
        <f t="shared" si="3"/>
        <v>5660413.0759609789</v>
      </c>
      <c r="G43" s="4">
        <f t="shared" si="4"/>
        <v>8.7894454917123895E-3</v>
      </c>
    </row>
    <row r="44" spans="1:7" x14ac:dyDescent="0.25">
      <c r="A44" s="1" t="s">
        <v>44</v>
      </c>
      <c r="B44" s="2">
        <v>266782</v>
      </c>
      <c r="C44">
        <f t="shared" si="5"/>
        <v>268780.67018921708</v>
      </c>
      <c r="D44">
        <f t="shared" si="1"/>
        <v>-1998.6701892170822</v>
      </c>
      <c r="E44">
        <f t="shared" si="2"/>
        <v>1998.6701892170822</v>
      </c>
      <c r="F44">
        <f t="shared" si="3"/>
        <v>3994682.5252650473</v>
      </c>
      <c r="G44" s="4">
        <f t="shared" si="4"/>
        <v>7.4917730177338883E-3</v>
      </c>
    </row>
    <row r="45" spans="1:7" x14ac:dyDescent="0.25">
      <c r="A45" s="1" t="s">
        <v>45</v>
      </c>
      <c r="B45" s="2">
        <v>263945</v>
      </c>
      <c r="C45">
        <f t="shared" si="5"/>
        <v>268380.93615137367</v>
      </c>
      <c r="D45">
        <f t="shared" si="1"/>
        <v>-4435.9361513736658</v>
      </c>
      <c r="E45">
        <f t="shared" si="2"/>
        <v>4435.9361513736658</v>
      </c>
      <c r="F45">
        <f t="shared" si="3"/>
        <v>19677529.539063811</v>
      </c>
      <c r="G45" s="4">
        <f t="shared" si="4"/>
        <v>1.6806289762540172E-2</v>
      </c>
    </row>
    <row r="46" spans="1:7" x14ac:dyDescent="0.25">
      <c r="A46" s="1" t="s">
        <v>46</v>
      </c>
      <c r="B46" s="2">
        <v>250160</v>
      </c>
      <c r="C46">
        <f t="shared" si="5"/>
        <v>267493.74892109894</v>
      </c>
      <c r="D46">
        <f t="shared" si="1"/>
        <v>-17333.748921098944</v>
      </c>
      <c r="E46">
        <f t="shared" si="2"/>
        <v>17333.748921098944</v>
      </c>
      <c r="F46">
        <f t="shared" si="3"/>
        <v>300458851.65969884</v>
      </c>
      <c r="G46" s="4">
        <f t="shared" si="4"/>
        <v>6.9290649668607873E-2</v>
      </c>
    </row>
    <row r="47" spans="1:7" x14ac:dyDescent="0.25">
      <c r="A47" s="1" t="s">
        <v>47</v>
      </c>
      <c r="B47" s="2">
        <v>250303</v>
      </c>
      <c r="C47">
        <f t="shared" si="5"/>
        <v>264026.99913687917</v>
      </c>
      <c r="D47">
        <f t="shared" si="1"/>
        <v>-13723.999136879167</v>
      </c>
      <c r="E47">
        <f t="shared" si="2"/>
        <v>13723.999136879167</v>
      </c>
      <c r="F47">
        <f t="shared" si="3"/>
        <v>188348152.30906013</v>
      </c>
      <c r="G47" s="4">
        <f t="shared" si="4"/>
        <v>5.4829543141229495E-2</v>
      </c>
    </row>
    <row r="48" spans="1:7" x14ac:dyDescent="0.25">
      <c r="A48" s="1" t="s">
        <v>48</v>
      </c>
      <c r="B48" s="2">
        <v>244987</v>
      </c>
      <c r="C48">
        <f t="shared" si="5"/>
        <v>261282.19930950334</v>
      </c>
      <c r="D48">
        <f t="shared" si="1"/>
        <v>-16295.199309503339</v>
      </c>
      <c r="E48">
        <f t="shared" si="2"/>
        <v>16295.199309503339</v>
      </c>
      <c r="F48">
        <f t="shared" si="3"/>
        <v>265533520.53643811</v>
      </c>
      <c r="G48" s="4">
        <f t="shared" si="4"/>
        <v>6.6514546933116203E-2</v>
      </c>
    </row>
    <row r="49" spans="1:7" x14ac:dyDescent="0.25">
      <c r="A49" s="1" t="s">
        <v>49</v>
      </c>
      <c r="B49" s="2">
        <v>235120</v>
      </c>
      <c r="C49">
        <f t="shared" si="5"/>
        <v>258023.15944760267</v>
      </c>
      <c r="D49">
        <f t="shared" si="1"/>
        <v>-22903.159447602666</v>
      </c>
      <c r="E49">
        <f t="shared" si="2"/>
        <v>22903.159447602666</v>
      </c>
      <c r="F49">
        <f t="shared" si="3"/>
        <v>524554712.68231124</v>
      </c>
      <c r="G49" s="4">
        <f t="shared" si="4"/>
        <v>9.7410511430770105E-2</v>
      </c>
    </row>
    <row r="50" spans="1:7" x14ac:dyDescent="0.25">
      <c r="A50" s="1" t="s">
        <v>50</v>
      </c>
      <c r="B50" s="2">
        <v>245715</v>
      </c>
      <c r="C50">
        <f t="shared" si="5"/>
        <v>253442.52755808213</v>
      </c>
      <c r="D50">
        <f t="shared" si="1"/>
        <v>-7727.5275580821326</v>
      </c>
      <c r="E50">
        <f t="shared" si="2"/>
        <v>7727.5275580821326</v>
      </c>
      <c r="F50">
        <f t="shared" si="3"/>
        <v>59714682.160918809</v>
      </c>
      <c r="G50" s="4">
        <f t="shared" si="4"/>
        <v>3.1449148640018444E-2</v>
      </c>
    </row>
    <row r="51" spans="1:7" x14ac:dyDescent="0.25">
      <c r="A51" s="1" t="s">
        <v>51</v>
      </c>
      <c r="B51" s="2">
        <v>203162</v>
      </c>
      <c r="C51">
        <f t="shared" si="5"/>
        <v>251897.02204646572</v>
      </c>
      <c r="D51">
        <f t="shared" si="1"/>
        <v>-48735.022046465718</v>
      </c>
      <c r="E51">
        <f t="shared" si="2"/>
        <v>48735.022046465718</v>
      </c>
      <c r="F51">
        <f t="shared" si="3"/>
        <v>2375102373.8694997</v>
      </c>
      <c r="G51" s="4">
        <f t="shared" si="4"/>
        <v>0.23988256685042339</v>
      </c>
    </row>
    <row r="52" spans="1:7" x14ac:dyDescent="0.25">
      <c r="A52" s="1" t="s">
        <v>52</v>
      </c>
      <c r="B52" s="2">
        <v>231414</v>
      </c>
      <c r="C52">
        <f t="shared" si="5"/>
        <v>242150.01763717257</v>
      </c>
      <c r="D52">
        <f t="shared" si="1"/>
        <v>-10736.017637172568</v>
      </c>
      <c r="E52">
        <f t="shared" si="2"/>
        <v>10736.017637172568</v>
      </c>
      <c r="F52">
        <f t="shared" si="3"/>
        <v>115262074.70568046</v>
      </c>
      <c r="G52" s="4">
        <f t="shared" si="4"/>
        <v>4.639312071513637E-2</v>
      </c>
    </row>
    <row r="53" spans="1:7" x14ac:dyDescent="0.25">
      <c r="A53" s="1" t="s">
        <v>53</v>
      </c>
      <c r="B53" s="2">
        <v>231621</v>
      </c>
      <c r="C53">
        <f t="shared" si="5"/>
        <v>240002.81410973804</v>
      </c>
      <c r="D53">
        <f t="shared" si="1"/>
        <v>-8381.814109738043</v>
      </c>
      <c r="E53">
        <f t="shared" si="2"/>
        <v>8381.814109738043</v>
      </c>
      <c r="F53">
        <f t="shared" si="3"/>
        <v>70254807.770203739</v>
      </c>
      <c r="G53" s="4">
        <f t="shared" si="4"/>
        <v>3.6187625948156874E-2</v>
      </c>
    </row>
    <row r="54" spans="1:7" x14ac:dyDescent="0.25">
      <c r="A54" s="1" t="s">
        <v>54</v>
      </c>
      <c r="B54" s="2">
        <v>238809</v>
      </c>
      <c r="C54">
        <f t="shared" si="5"/>
        <v>238326.45128779046</v>
      </c>
      <c r="D54">
        <f t="shared" si="1"/>
        <v>482.54871220953646</v>
      </c>
      <c r="E54">
        <f t="shared" si="2"/>
        <v>482.54871220953646</v>
      </c>
      <c r="F54">
        <f t="shared" si="3"/>
        <v>232853.25965508205</v>
      </c>
      <c r="G54" s="4">
        <f t="shared" si="4"/>
        <v>2.0206470954174109E-3</v>
      </c>
    </row>
    <row r="55" spans="1:7" x14ac:dyDescent="0.25">
      <c r="A55" s="1" t="s">
        <v>55</v>
      </c>
      <c r="B55" s="2">
        <v>231912</v>
      </c>
      <c r="C55">
        <f t="shared" si="5"/>
        <v>238422.96103023237</v>
      </c>
      <c r="D55">
        <f t="shared" si="1"/>
        <v>-6510.9610302323708</v>
      </c>
      <c r="E55">
        <f t="shared" si="2"/>
        <v>6510.9610302323708</v>
      </c>
      <c r="F55">
        <f t="shared" si="3"/>
        <v>42392613.537204579</v>
      </c>
      <c r="G55" s="4">
        <f t="shared" si="4"/>
        <v>2.8075136388942233E-2</v>
      </c>
    </row>
    <row r="56" spans="1:7" x14ac:dyDescent="0.25">
      <c r="A56" s="1" t="s">
        <v>56</v>
      </c>
      <c r="B56" s="2">
        <v>245724</v>
      </c>
      <c r="C56">
        <f t="shared" si="5"/>
        <v>237120.76882418591</v>
      </c>
      <c r="D56">
        <f t="shared" si="1"/>
        <v>8603.2311758140859</v>
      </c>
      <c r="E56">
        <f t="shared" si="2"/>
        <v>8603.2311758140859</v>
      </c>
      <c r="F56">
        <f t="shared" si="3"/>
        <v>74015586.664499417</v>
      </c>
      <c r="G56" s="4">
        <f t="shared" si="4"/>
        <v>3.5011765948031473E-2</v>
      </c>
    </row>
    <row r="57" spans="1:7" x14ac:dyDescent="0.25">
      <c r="A57" s="1" t="s">
        <v>57</v>
      </c>
      <c r="B57" s="2">
        <v>251079</v>
      </c>
      <c r="C57">
        <f t="shared" si="5"/>
        <v>238841.41505934874</v>
      </c>
      <c r="D57">
        <f t="shared" si="1"/>
        <v>12237.584940651257</v>
      </c>
      <c r="E57">
        <f t="shared" si="2"/>
        <v>12237.584940651257</v>
      </c>
      <c r="F57">
        <f t="shared" si="3"/>
        <v>149758485.17965442</v>
      </c>
      <c r="G57" s="4">
        <f t="shared" si="4"/>
        <v>4.8739978017481575E-2</v>
      </c>
    </row>
    <row r="58" spans="1:7" x14ac:dyDescent="0.25">
      <c r="A58" s="1" t="s">
        <v>58</v>
      </c>
      <c r="B58" s="2">
        <v>237699</v>
      </c>
      <c r="C58">
        <f t="shared" si="5"/>
        <v>241288.93204747903</v>
      </c>
      <c r="D58">
        <f t="shared" si="1"/>
        <v>-3589.9320474790293</v>
      </c>
      <c r="E58">
        <f t="shared" si="2"/>
        <v>3589.9320474790293</v>
      </c>
      <c r="F58">
        <f t="shared" si="3"/>
        <v>12887612.105516976</v>
      </c>
      <c r="G58" s="4">
        <f t="shared" si="4"/>
        <v>1.5102848760318846E-2</v>
      </c>
    </row>
    <row r="59" spans="1:7" x14ac:dyDescent="0.25">
      <c r="A59" s="1" t="s">
        <v>59</v>
      </c>
      <c r="B59" s="2">
        <v>230822</v>
      </c>
      <c r="C59">
        <f t="shared" si="5"/>
        <v>240570.94563798321</v>
      </c>
      <c r="D59">
        <f t="shared" si="1"/>
        <v>-9748.9456379832118</v>
      </c>
      <c r="E59">
        <f t="shared" si="2"/>
        <v>9748.9456379832118</v>
      </c>
      <c r="F59">
        <f t="shared" si="3"/>
        <v>95041941.052351892</v>
      </c>
      <c r="G59" s="4">
        <f t="shared" si="4"/>
        <v>4.223577318445907E-2</v>
      </c>
    </row>
    <row r="60" spans="1:7" x14ac:dyDescent="0.25">
      <c r="A60" s="1" t="s">
        <v>60</v>
      </c>
      <c r="B60" s="2">
        <v>222248</v>
      </c>
      <c r="C60">
        <f t="shared" si="5"/>
        <v>238621.15651038659</v>
      </c>
      <c r="D60">
        <f t="shared" si="1"/>
        <v>-16373.156510386587</v>
      </c>
      <c r="E60">
        <f t="shared" si="2"/>
        <v>16373.156510386587</v>
      </c>
      <c r="F60">
        <f t="shared" si="3"/>
        <v>268080254.11361468</v>
      </c>
      <c r="G60" s="4">
        <f t="shared" si="4"/>
        <v>7.3670658500353606E-2</v>
      </c>
    </row>
    <row r="61" spans="1:7" x14ac:dyDescent="0.25">
      <c r="A61" s="1" t="s">
        <v>61</v>
      </c>
      <c r="B61" s="2">
        <v>240519</v>
      </c>
      <c r="C61">
        <f t="shared" si="5"/>
        <v>235346.52520830929</v>
      </c>
      <c r="D61">
        <f t="shared" si="1"/>
        <v>5172.4747916907072</v>
      </c>
      <c r="E61">
        <f t="shared" si="2"/>
        <v>5172.4747916907072</v>
      </c>
      <c r="F61">
        <f t="shared" si="3"/>
        <v>26754495.470675826</v>
      </c>
      <c r="G61" s="4">
        <f t="shared" si="4"/>
        <v>2.1505472713967327E-2</v>
      </c>
    </row>
    <row r="62" spans="1:7" x14ac:dyDescent="0.25">
      <c r="A62" s="1" t="s">
        <v>62</v>
      </c>
      <c r="B62" s="2">
        <v>234969</v>
      </c>
      <c r="C62">
        <f t="shared" si="5"/>
        <v>236381.02016664745</v>
      </c>
      <c r="D62">
        <f t="shared" si="1"/>
        <v>-1412.0201666474459</v>
      </c>
      <c r="E62">
        <f t="shared" si="2"/>
        <v>1412.0201666474459</v>
      </c>
      <c r="F62">
        <f t="shared" si="3"/>
        <v>1993800.9510190808</v>
      </c>
      <c r="G62" s="4">
        <f t="shared" si="4"/>
        <v>6.0093891817535328E-3</v>
      </c>
    </row>
    <row r="63" spans="1:7" x14ac:dyDescent="0.25">
      <c r="A63" s="1" t="s">
        <v>63</v>
      </c>
      <c r="B63" s="2">
        <v>201572</v>
      </c>
      <c r="C63">
        <f t="shared" si="5"/>
        <v>236098.61613331799</v>
      </c>
      <c r="D63">
        <f t="shared" si="1"/>
        <v>-34526.616133317992</v>
      </c>
      <c r="E63">
        <f t="shared" si="2"/>
        <v>34526.616133317992</v>
      </c>
      <c r="F63">
        <f t="shared" si="3"/>
        <v>1192087221.6174941</v>
      </c>
      <c r="G63" s="4">
        <f t="shared" si="4"/>
        <v>0.17128676668048137</v>
      </c>
    </row>
    <row r="64" spans="1:7" x14ac:dyDescent="0.25">
      <c r="A64" s="1" t="s">
        <v>64</v>
      </c>
      <c r="B64" s="2">
        <v>225487</v>
      </c>
      <c r="C64">
        <f t="shared" si="5"/>
        <v>229193.29290665439</v>
      </c>
      <c r="D64">
        <f t="shared" si="1"/>
        <v>-3706.2929066543875</v>
      </c>
      <c r="E64">
        <f t="shared" si="2"/>
        <v>3706.2929066543875</v>
      </c>
      <c r="F64">
        <f t="shared" si="3"/>
        <v>13736607.109916627</v>
      </c>
      <c r="G64" s="4">
        <f t="shared" si="4"/>
        <v>1.6436836299451352E-2</v>
      </c>
    </row>
    <row r="65" spans="1:7" x14ac:dyDescent="0.25">
      <c r="A65" s="1" t="s">
        <v>65</v>
      </c>
      <c r="B65" s="2">
        <v>226639</v>
      </c>
      <c r="C65">
        <f t="shared" si="5"/>
        <v>228452.0343253235</v>
      </c>
      <c r="D65">
        <f t="shared" si="1"/>
        <v>-1813.0343253235042</v>
      </c>
      <c r="E65">
        <f t="shared" si="2"/>
        <v>1813.0343253235042</v>
      </c>
      <c r="F65">
        <f t="shared" si="3"/>
        <v>3287093.4648012538</v>
      </c>
      <c r="G65" s="4">
        <f t="shared" si="4"/>
        <v>7.9996572757711788E-3</v>
      </c>
    </row>
    <row r="66" spans="1:7" x14ac:dyDescent="0.25">
      <c r="A66" s="1" t="s">
        <v>66</v>
      </c>
      <c r="B66" s="2">
        <v>222177</v>
      </c>
      <c r="C66">
        <f t="shared" si="5"/>
        <v>228089.42746025883</v>
      </c>
      <c r="D66">
        <f t="shared" si="1"/>
        <v>-5912.4274602588266</v>
      </c>
      <c r="E66">
        <f t="shared" si="2"/>
        <v>5912.4274602588266</v>
      </c>
      <c r="F66">
        <f t="shared" si="3"/>
        <v>34956798.472822636</v>
      </c>
      <c r="G66" s="4">
        <f t="shared" si="4"/>
        <v>2.6611338978646874E-2</v>
      </c>
    </row>
    <row r="67" spans="1:7" x14ac:dyDescent="0.25">
      <c r="A67" s="1" t="s">
        <v>67</v>
      </c>
      <c r="B67" s="2">
        <v>212025</v>
      </c>
      <c r="C67">
        <f t="shared" si="5"/>
        <v>226906.94196820707</v>
      </c>
      <c r="D67">
        <f t="shared" si="1"/>
        <v>-14881.941968207073</v>
      </c>
      <c r="E67">
        <f t="shared" si="2"/>
        <v>14881.941968207073</v>
      </c>
      <c r="F67">
        <f t="shared" si="3"/>
        <v>221472196.745083</v>
      </c>
      <c r="G67" s="4">
        <f t="shared" si="4"/>
        <v>7.0189562401636943E-2</v>
      </c>
    </row>
    <row r="68" spans="1:7" x14ac:dyDescent="0.25">
      <c r="A68" s="1" t="s">
        <v>68</v>
      </c>
      <c r="B68" s="2">
        <v>236534</v>
      </c>
      <c r="C68">
        <f t="shared" ref="C68:C99" si="6">0.2*B67+0.8*C67</f>
        <v>223930.55357456568</v>
      </c>
      <c r="D68">
        <f t="shared" ref="D68:D131" si="7">B68-C68</f>
        <v>12603.446425434318</v>
      </c>
      <c r="E68">
        <f t="shared" ref="E68:E131" si="8">ABS(D68)</f>
        <v>12603.446425434318</v>
      </c>
      <c r="F68">
        <f t="shared" ref="F68:F131" si="9">E68^2</f>
        <v>158846861.79879311</v>
      </c>
      <c r="G68" s="4">
        <f t="shared" ref="G68:G131" si="10">E68/B68</f>
        <v>5.3283867965849809E-2</v>
      </c>
    </row>
    <row r="69" spans="1:7" x14ac:dyDescent="0.25">
      <c r="A69" s="1" t="s">
        <v>69</v>
      </c>
      <c r="B69" s="2">
        <v>231649</v>
      </c>
      <c r="C69">
        <f t="shared" si="6"/>
        <v>226451.24285965256</v>
      </c>
      <c r="D69">
        <f t="shared" si="7"/>
        <v>5197.7571403474431</v>
      </c>
      <c r="E69">
        <f t="shared" si="8"/>
        <v>5197.7571403474431</v>
      </c>
      <c r="F69">
        <f t="shared" si="9"/>
        <v>27016679.29003283</v>
      </c>
      <c r="G69" s="4">
        <f t="shared" si="10"/>
        <v>2.2438072861732376E-2</v>
      </c>
    </row>
    <row r="70" spans="1:7" x14ac:dyDescent="0.25">
      <c r="A70" s="1" t="s">
        <v>70</v>
      </c>
      <c r="B70" s="2">
        <v>224851</v>
      </c>
      <c r="C70">
        <f t="shared" si="6"/>
        <v>227490.79428772203</v>
      </c>
      <c r="D70">
        <f t="shared" si="7"/>
        <v>-2639.7942877220339</v>
      </c>
      <c r="E70">
        <f t="shared" si="8"/>
        <v>2639.7942877220339</v>
      </c>
      <c r="F70">
        <f t="shared" si="9"/>
        <v>6968513.8814898804</v>
      </c>
      <c r="G70" s="4">
        <f t="shared" si="10"/>
        <v>1.1740193673686282E-2</v>
      </c>
    </row>
    <row r="71" spans="1:7" x14ac:dyDescent="0.25">
      <c r="A71" s="1" t="s">
        <v>71</v>
      </c>
      <c r="B71" s="2">
        <v>221600</v>
      </c>
      <c r="C71">
        <f t="shared" si="6"/>
        <v>226962.83543017766</v>
      </c>
      <c r="D71">
        <f t="shared" si="7"/>
        <v>-5362.8354301776562</v>
      </c>
      <c r="E71">
        <f t="shared" si="8"/>
        <v>5362.8354301776562</v>
      </c>
      <c r="F71">
        <f t="shared" si="9"/>
        <v>28760003.851168767</v>
      </c>
      <c r="G71" s="4">
        <f t="shared" si="10"/>
        <v>2.4200520894303502E-2</v>
      </c>
    </row>
    <row r="72" spans="1:7" x14ac:dyDescent="0.25">
      <c r="A72" s="1" t="s">
        <v>72</v>
      </c>
      <c r="B72" s="2">
        <v>218845</v>
      </c>
      <c r="C72">
        <f t="shared" si="6"/>
        <v>225890.26834414212</v>
      </c>
      <c r="D72">
        <f t="shared" si="7"/>
        <v>-7045.268344142125</v>
      </c>
      <c r="E72">
        <f t="shared" si="8"/>
        <v>7045.268344142125</v>
      </c>
      <c r="F72">
        <f t="shared" si="9"/>
        <v>49635806.040971123</v>
      </c>
      <c r="G72" s="4">
        <f t="shared" si="10"/>
        <v>3.2192960059138319E-2</v>
      </c>
    </row>
    <row r="73" spans="1:7" x14ac:dyDescent="0.25">
      <c r="A73" s="1" t="s">
        <v>73</v>
      </c>
      <c r="B73" s="2">
        <v>223978</v>
      </c>
      <c r="C73">
        <f t="shared" si="6"/>
        <v>224481.21467531371</v>
      </c>
      <c r="D73">
        <f t="shared" si="7"/>
        <v>-503.21467531370581</v>
      </c>
      <c r="E73">
        <f t="shared" si="8"/>
        <v>503.21467531370581</v>
      </c>
      <c r="F73">
        <f t="shared" si="9"/>
        <v>253225.00945107837</v>
      </c>
      <c r="G73" s="4">
        <f t="shared" si="10"/>
        <v>2.2467147457058542E-3</v>
      </c>
    </row>
    <row r="74" spans="1:7" x14ac:dyDescent="0.25">
      <c r="A74" s="1" t="s">
        <v>74</v>
      </c>
      <c r="B74" s="2">
        <v>222315</v>
      </c>
      <c r="C74">
        <f t="shared" si="6"/>
        <v>224380.57174025098</v>
      </c>
      <c r="D74">
        <f t="shared" si="7"/>
        <v>-2065.5717402509763</v>
      </c>
      <c r="E74">
        <f t="shared" si="8"/>
        <v>2065.5717402509763</v>
      </c>
      <c r="F74">
        <f t="shared" si="9"/>
        <v>4266586.6141234469</v>
      </c>
      <c r="G74" s="4">
        <f t="shared" si="10"/>
        <v>9.2911937577355389E-3</v>
      </c>
    </row>
    <row r="75" spans="1:7" x14ac:dyDescent="0.25">
      <c r="A75" s="1" t="s">
        <v>75</v>
      </c>
      <c r="B75" s="2">
        <v>198807</v>
      </c>
      <c r="C75">
        <f t="shared" si="6"/>
        <v>223967.4573922008</v>
      </c>
      <c r="D75">
        <f t="shared" si="7"/>
        <v>-25160.457392200798</v>
      </c>
      <c r="E75">
        <f t="shared" si="8"/>
        <v>25160.457392200798</v>
      </c>
      <c r="F75">
        <f t="shared" si="9"/>
        <v>633048616.18475175</v>
      </c>
      <c r="G75" s="4">
        <f t="shared" si="10"/>
        <v>0.12655720066295853</v>
      </c>
    </row>
    <row r="76" spans="1:7" x14ac:dyDescent="0.25">
      <c r="A76" s="1" t="s">
        <v>76</v>
      </c>
      <c r="B76" s="2">
        <v>235360</v>
      </c>
      <c r="C76">
        <f t="shared" si="6"/>
        <v>218935.36591376064</v>
      </c>
      <c r="D76">
        <f t="shared" si="7"/>
        <v>16424.634086239355</v>
      </c>
      <c r="E76">
        <f t="shared" si="8"/>
        <v>16424.634086239355</v>
      </c>
      <c r="F76">
        <f t="shared" si="9"/>
        <v>269768604.86685568</v>
      </c>
      <c r="G76" s="4">
        <f t="shared" si="10"/>
        <v>6.9785155023110793E-2</v>
      </c>
    </row>
    <row r="77" spans="1:7" x14ac:dyDescent="0.25">
      <c r="A77" s="1" t="s">
        <v>77</v>
      </c>
      <c r="B77" s="2">
        <v>216229</v>
      </c>
      <c r="C77">
        <f t="shared" si="6"/>
        <v>222220.29273100852</v>
      </c>
      <c r="D77">
        <f t="shared" si="7"/>
        <v>-5991.2927310085215</v>
      </c>
      <c r="E77">
        <f t="shared" si="8"/>
        <v>5991.2927310085215</v>
      </c>
      <c r="F77">
        <f t="shared" si="9"/>
        <v>35895588.588635549</v>
      </c>
      <c r="G77" s="4">
        <f t="shared" si="10"/>
        <v>2.7708090640055319E-2</v>
      </c>
    </row>
    <row r="78" spans="1:7" x14ac:dyDescent="0.25">
      <c r="A78" s="1" t="s">
        <v>78</v>
      </c>
      <c r="B78" s="2">
        <v>224604</v>
      </c>
      <c r="C78">
        <f t="shared" si="6"/>
        <v>221022.03418480681</v>
      </c>
      <c r="D78">
        <f t="shared" si="7"/>
        <v>3581.9658151931944</v>
      </c>
      <c r="E78">
        <f t="shared" si="8"/>
        <v>3581.9658151931944</v>
      </c>
      <c r="F78">
        <f t="shared" si="9"/>
        <v>12830479.101212647</v>
      </c>
      <c r="G78" s="4">
        <f t="shared" si="10"/>
        <v>1.5947916400389995E-2</v>
      </c>
    </row>
    <row r="79" spans="1:7" x14ac:dyDescent="0.25">
      <c r="A79" s="1" t="s">
        <v>79</v>
      </c>
      <c r="B79" s="2">
        <v>219618</v>
      </c>
      <c r="C79">
        <f t="shared" si="6"/>
        <v>221738.42734784546</v>
      </c>
      <c r="D79">
        <f t="shared" si="7"/>
        <v>-2120.4273478454561</v>
      </c>
      <c r="E79">
        <f t="shared" si="8"/>
        <v>2120.4273478454561</v>
      </c>
      <c r="F79">
        <f t="shared" si="9"/>
        <v>4496212.1374909151</v>
      </c>
      <c r="G79" s="4">
        <f t="shared" si="10"/>
        <v>9.6550708404841874E-3</v>
      </c>
    </row>
    <row r="80" spans="1:7" x14ac:dyDescent="0.25">
      <c r="A80" s="1" t="s">
        <v>80</v>
      </c>
      <c r="B80" s="2">
        <v>228160</v>
      </c>
      <c r="C80">
        <f t="shared" si="6"/>
        <v>221314.34187827638</v>
      </c>
      <c r="D80">
        <f t="shared" si="7"/>
        <v>6845.6581217236235</v>
      </c>
      <c r="E80">
        <f t="shared" si="8"/>
        <v>6845.6581217236235</v>
      </c>
      <c r="F80">
        <f t="shared" si="9"/>
        <v>46863035.119520612</v>
      </c>
      <c r="G80" s="4">
        <f t="shared" si="10"/>
        <v>3.0003761052435237E-2</v>
      </c>
    </row>
    <row r="81" spans="1:7" x14ac:dyDescent="0.25">
      <c r="A81" s="1" t="s">
        <v>81</v>
      </c>
      <c r="B81" s="2">
        <v>239212</v>
      </c>
      <c r="C81">
        <f t="shared" si="6"/>
        <v>222683.47350262111</v>
      </c>
      <c r="D81">
        <f t="shared" si="7"/>
        <v>16528.526497378887</v>
      </c>
      <c r="E81">
        <f t="shared" si="8"/>
        <v>16528.526497378887</v>
      </c>
      <c r="F81">
        <f t="shared" si="9"/>
        <v>273192188.17455596</v>
      </c>
      <c r="G81" s="4">
        <f t="shared" si="10"/>
        <v>6.909572470184977E-2</v>
      </c>
    </row>
    <row r="82" spans="1:7" x14ac:dyDescent="0.25">
      <c r="A82" s="1" t="s">
        <v>82</v>
      </c>
      <c r="B82" s="2">
        <v>216838</v>
      </c>
      <c r="C82">
        <f t="shared" si="6"/>
        <v>225989.1788020969</v>
      </c>
      <c r="D82">
        <f t="shared" si="7"/>
        <v>-9151.1788020968961</v>
      </c>
      <c r="E82">
        <f t="shared" si="8"/>
        <v>9151.1788020968961</v>
      </c>
      <c r="F82">
        <f t="shared" si="9"/>
        <v>83744073.467947587</v>
      </c>
      <c r="G82" s="4">
        <f t="shared" si="10"/>
        <v>4.2202837150761841E-2</v>
      </c>
    </row>
    <row r="83" spans="1:7" x14ac:dyDescent="0.25">
      <c r="A83" s="1" t="s">
        <v>83</v>
      </c>
      <c r="B83" s="2">
        <v>220171</v>
      </c>
      <c r="C83">
        <f t="shared" si="6"/>
        <v>224158.94304167753</v>
      </c>
      <c r="D83">
        <f t="shared" si="7"/>
        <v>-3987.9430416775285</v>
      </c>
      <c r="E83">
        <f t="shared" si="8"/>
        <v>3987.9430416775285</v>
      </c>
      <c r="F83">
        <f t="shared" si="9"/>
        <v>15903689.703664217</v>
      </c>
      <c r="G83" s="4">
        <f t="shared" si="10"/>
        <v>1.8112935135315408E-2</v>
      </c>
    </row>
    <row r="84" spans="1:7" x14ac:dyDescent="0.25">
      <c r="A84" s="1" t="s">
        <v>84</v>
      </c>
      <c r="B84" s="2">
        <v>221130</v>
      </c>
      <c r="C84">
        <f t="shared" si="6"/>
        <v>223361.35443334206</v>
      </c>
      <c r="D84">
        <f t="shared" si="7"/>
        <v>-2231.3544333420577</v>
      </c>
      <c r="E84">
        <f t="shared" si="8"/>
        <v>2231.3544333420577</v>
      </c>
      <c r="F84">
        <f t="shared" si="9"/>
        <v>4978942.6071952553</v>
      </c>
      <c r="G84" s="4">
        <f t="shared" si="10"/>
        <v>1.0090690694804222E-2</v>
      </c>
    </row>
    <row r="85" spans="1:7" x14ac:dyDescent="0.25">
      <c r="A85" s="1" t="s">
        <v>85</v>
      </c>
      <c r="B85" s="2">
        <v>244965</v>
      </c>
      <c r="C85">
        <f t="shared" si="6"/>
        <v>222915.08354667365</v>
      </c>
      <c r="D85">
        <f t="shared" si="7"/>
        <v>22049.916453326354</v>
      </c>
      <c r="E85">
        <f t="shared" si="8"/>
        <v>22049.916453326354</v>
      </c>
      <c r="F85">
        <f t="shared" si="9"/>
        <v>486198815.59867227</v>
      </c>
      <c r="G85" s="4">
        <f t="shared" si="10"/>
        <v>9.0012517924300831E-2</v>
      </c>
    </row>
    <row r="86" spans="1:7" x14ac:dyDescent="0.25">
      <c r="A86" s="1" t="s">
        <v>86</v>
      </c>
      <c r="B86" s="2">
        <v>236065</v>
      </c>
      <c r="C86">
        <f t="shared" si="6"/>
        <v>227325.06683733893</v>
      </c>
      <c r="D86">
        <f t="shared" si="7"/>
        <v>8739.9331626610656</v>
      </c>
      <c r="E86">
        <f t="shared" si="8"/>
        <v>8739.9331626610656</v>
      </c>
      <c r="F86">
        <f t="shared" si="9"/>
        <v>76386431.68778266</v>
      </c>
      <c r="G86" s="4">
        <f t="shared" si="10"/>
        <v>3.7023417968191245E-2</v>
      </c>
    </row>
    <row r="87" spans="1:7" x14ac:dyDescent="0.25">
      <c r="A87" s="1" t="s">
        <v>87</v>
      </c>
      <c r="B87" s="2">
        <v>229492</v>
      </c>
      <c r="C87">
        <f t="shared" si="6"/>
        <v>229073.05346987117</v>
      </c>
      <c r="D87">
        <f t="shared" si="7"/>
        <v>418.94653012882918</v>
      </c>
      <c r="E87">
        <f t="shared" si="8"/>
        <v>418.94653012882918</v>
      </c>
      <c r="F87">
        <f t="shared" si="9"/>
        <v>175516.19510698598</v>
      </c>
      <c r="G87" s="4">
        <f t="shared" si="10"/>
        <v>1.8255387121504417E-3</v>
      </c>
    </row>
    <row r="88" spans="1:7" x14ac:dyDescent="0.25">
      <c r="A88" s="1" t="s">
        <v>88</v>
      </c>
      <c r="B88" s="2">
        <v>248383</v>
      </c>
      <c r="C88">
        <f t="shared" si="6"/>
        <v>229156.84277589695</v>
      </c>
      <c r="D88">
        <f t="shared" si="7"/>
        <v>19226.157224103052</v>
      </c>
      <c r="E88">
        <f t="shared" si="8"/>
        <v>19226.157224103052</v>
      </c>
      <c r="F88">
        <f t="shared" si="9"/>
        <v>369645121.60592997</v>
      </c>
      <c r="G88" s="4">
        <f t="shared" si="10"/>
        <v>7.7405286288123792E-2</v>
      </c>
    </row>
    <row r="89" spans="1:7" x14ac:dyDescent="0.25">
      <c r="A89" s="1" t="s">
        <v>89</v>
      </c>
      <c r="B89" s="2">
        <v>228344</v>
      </c>
      <c r="C89">
        <f t="shared" si="6"/>
        <v>233002.07422071756</v>
      </c>
      <c r="D89">
        <f t="shared" si="7"/>
        <v>-4658.0742207175645</v>
      </c>
      <c r="E89">
        <f t="shared" si="8"/>
        <v>4658.0742207175645</v>
      </c>
      <c r="F89">
        <f t="shared" si="9"/>
        <v>21697655.445713546</v>
      </c>
      <c r="G89" s="4">
        <f t="shared" si="10"/>
        <v>2.0399372090869759E-2</v>
      </c>
    </row>
    <row r="90" spans="1:7" x14ac:dyDescent="0.25">
      <c r="A90" s="1" t="s">
        <v>90</v>
      </c>
      <c r="B90" s="2">
        <v>245749</v>
      </c>
      <c r="C90">
        <f t="shared" si="6"/>
        <v>232070.45937657409</v>
      </c>
      <c r="D90">
        <f t="shared" si="7"/>
        <v>13678.540623425914</v>
      </c>
      <c r="E90">
        <f t="shared" si="8"/>
        <v>13678.540623425914</v>
      </c>
      <c r="F90">
        <f t="shared" si="9"/>
        <v>187102473.58671299</v>
      </c>
      <c r="G90" s="4">
        <f t="shared" si="10"/>
        <v>5.5660615601389685E-2</v>
      </c>
    </row>
    <row r="91" spans="1:7" x14ac:dyDescent="0.25">
      <c r="A91" s="1" t="s">
        <v>91</v>
      </c>
      <c r="B91" s="2">
        <v>226802</v>
      </c>
      <c r="C91">
        <f t="shared" si="6"/>
        <v>234806.1675012593</v>
      </c>
      <c r="D91">
        <f t="shared" si="7"/>
        <v>-8004.1675012593041</v>
      </c>
      <c r="E91">
        <f t="shared" si="8"/>
        <v>8004.1675012593041</v>
      </c>
      <c r="F91">
        <f t="shared" si="9"/>
        <v>64066697.388215609</v>
      </c>
      <c r="G91" s="4">
        <f t="shared" si="10"/>
        <v>3.5291432620785108E-2</v>
      </c>
    </row>
    <row r="92" spans="1:7" x14ac:dyDescent="0.25">
      <c r="A92" s="1" t="s">
        <v>92</v>
      </c>
      <c r="B92" s="2">
        <v>250986</v>
      </c>
      <c r="C92">
        <f t="shared" si="6"/>
        <v>233205.33400100746</v>
      </c>
      <c r="D92">
        <f t="shared" si="7"/>
        <v>17780.665998992539</v>
      </c>
      <c r="E92">
        <f t="shared" si="8"/>
        <v>17780.665998992539</v>
      </c>
      <c r="F92">
        <f t="shared" si="9"/>
        <v>316152083.36772937</v>
      </c>
      <c r="G92" s="4">
        <f t="shared" si="10"/>
        <v>7.0843258185685806E-2</v>
      </c>
    </row>
    <row r="93" spans="1:7" x14ac:dyDescent="0.25">
      <c r="A93" s="1" t="s">
        <v>93</v>
      </c>
      <c r="B93" s="2">
        <v>248482</v>
      </c>
      <c r="C93">
        <f t="shared" si="6"/>
        <v>236761.46720080599</v>
      </c>
      <c r="D93">
        <f t="shared" si="7"/>
        <v>11720.532799194014</v>
      </c>
      <c r="E93">
        <f t="shared" si="8"/>
        <v>11720.532799194014</v>
      </c>
      <c r="F93">
        <f t="shared" si="9"/>
        <v>137370889.09698266</v>
      </c>
      <c r="G93" s="4">
        <f t="shared" si="10"/>
        <v>4.7168538562930171E-2</v>
      </c>
    </row>
    <row r="94" spans="1:7" x14ac:dyDescent="0.25">
      <c r="A94" s="1" t="s">
        <v>94</v>
      </c>
      <c r="B94" s="2">
        <v>241213</v>
      </c>
      <c r="C94">
        <f t="shared" si="6"/>
        <v>239105.57376064479</v>
      </c>
      <c r="D94">
        <f t="shared" si="7"/>
        <v>2107.4262393552053</v>
      </c>
      <c r="E94">
        <f t="shared" si="8"/>
        <v>2107.4262393552053</v>
      </c>
      <c r="F94">
        <f t="shared" si="9"/>
        <v>4441245.3543228228</v>
      </c>
      <c r="G94" s="4">
        <f t="shared" si="10"/>
        <v>8.7367854939626195E-3</v>
      </c>
    </row>
    <row r="95" spans="1:7" x14ac:dyDescent="0.25">
      <c r="A95" s="1" t="s">
        <v>95</v>
      </c>
      <c r="B95" s="2">
        <v>234666</v>
      </c>
      <c r="C95">
        <f t="shared" si="6"/>
        <v>239527.05900851585</v>
      </c>
      <c r="D95">
        <f t="shared" si="7"/>
        <v>-4861.0590085158474</v>
      </c>
      <c r="E95">
        <f t="shared" si="8"/>
        <v>4861.0590085158474</v>
      </c>
      <c r="F95">
        <f t="shared" si="9"/>
        <v>23629894.684273072</v>
      </c>
      <c r="G95" s="4">
        <f t="shared" si="10"/>
        <v>2.0714798941967934E-2</v>
      </c>
    </row>
    <row r="96" spans="1:7" x14ac:dyDescent="0.25">
      <c r="A96" s="1" t="s">
        <v>96</v>
      </c>
      <c r="B96" s="2">
        <v>240691</v>
      </c>
      <c r="C96">
        <f t="shared" si="6"/>
        <v>238554.8472068127</v>
      </c>
      <c r="D96">
        <f t="shared" si="7"/>
        <v>2136.1527931872988</v>
      </c>
      <c r="E96">
        <f t="shared" si="8"/>
        <v>2136.1527931872988</v>
      </c>
      <c r="F96">
        <f t="shared" si="9"/>
        <v>4563148.7558418987</v>
      </c>
      <c r="G96" s="4">
        <f t="shared" si="10"/>
        <v>8.8750837928601358E-3</v>
      </c>
    </row>
    <row r="97" spans="1:7" x14ac:dyDescent="0.25">
      <c r="A97" s="1" t="s">
        <v>97</v>
      </c>
      <c r="B97" s="2">
        <v>242213</v>
      </c>
      <c r="C97">
        <f t="shared" si="6"/>
        <v>238982.07776545017</v>
      </c>
      <c r="D97">
        <f t="shared" si="7"/>
        <v>3230.9222345498274</v>
      </c>
      <c r="E97">
        <f t="shared" si="8"/>
        <v>3230.9222345498274</v>
      </c>
      <c r="F97">
        <f t="shared" si="9"/>
        <v>10438858.485708449</v>
      </c>
      <c r="G97" s="4">
        <f t="shared" si="10"/>
        <v>1.3339177643437087E-2</v>
      </c>
    </row>
    <row r="98" spans="1:7" x14ac:dyDescent="0.25">
      <c r="A98" s="1" t="s">
        <v>98</v>
      </c>
      <c r="B98" s="2">
        <v>262811</v>
      </c>
      <c r="C98">
        <f t="shared" si="6"/>
        <v>239628.26221236016</v>
      </c>
      <c r="D98">
        <f t="shared" si="7"/>
        <v>23182.737787639839</v>
      </c>
      <c r="E98">
        <f t="shared" si="8"/>
        <v>23182.737787639839</v>
      </c>
      <c r="F98">
        <f t="shared" si="9"/>
        <v>537439331.33046412</v>
      </c>
      <c r="G98" s="4">
        <f t="shared" si="10"/>
        <v>8.8210682915250263E-2</v>
      </c>
    </row>
    <row r="99" spans="1:7" x14ac:dyDescent="0.25">
      <c r="A99" s="1" t="s">
        <v>99</v>
      </c>
      <c r="B99" s="2">
        <v>220558</v>
      </c>
      <c r="C99">
        <f t="shared" si="6"/>
        <v>244264.80976988815</v>
      </c>
      <c r="D99">
        <f t="shared" si="7"/>
        <v>-23706.809769888147</v>
      </c>
      <c r="E99">
        <f t="shared" si="8"/>
        <v>23706.809769888147</v>
      </c>
      <c r="F99">
        <f t="shared" si="9"/>
        <v>562012829.46566403</v>
      </c>
      <c r="G99" s="4">
        <f t="shared" si="10"/>
        <v>0.10748560365023326</v>
      </c>
    </row>
    <row r="100" spans="1:7" x14ac:dyDescent="0.25">
      <c r="A100" s="1" t="s">
        <v>100</v>
      </c>
      <c r="B100" s="2">
        <v>253114</v>
      </c>
      <c r="C100">
        <f t="shared" ref="C100:C131" si="11">0.2*B99+0.8*C99</f>
        <v>239523.44781591053</v>
      </c>
      <c r="D100">
        <f t="shared" si="7"/>
        <v>13590.552184089465</v>
      </c>
      <c r="E100">
        <f t="shared" si="8"/>
        <v>13590.552184089465</v>
      </c>
      <c r="F100">
        <f t="shared" si="9"/>
        <v>184703108.66845894</v>
      </c>
      <c r="G100" s="4">
        <f t="shared" si="10"/>
        <v>5.3693403699872251E-2</v>
      </c>
    </row>
    <row r="101" spans="1:7" x14ac:dyDescent="0.25">
      <c r="A101" s="1" t="s">
        <v>101</v>
      </c>
      <c r="B101" s="2">
        <v>246132</v>
      </c>
      <c r="C101">
        <f t="shared" si="11"/>
        <v>242241.55825272843</v>
      </c>
      <c r="D101">
        <f t="shared" si="7"/>
        <v>3890.4417472715722</v>
      </c>
      <c r="E101">
        <f t="shared" si="8"/>
        <v>3890.4417472715722</v>
      </c>
      <c r="F101">
        <f t="shared" si="9"/>
        <v>15135536.988913484</v>
      </c>
      <c r="G101" s="4">
        <f t="shared" si="10"/>
        <v>1.5806322409404598E-2</v>
      </c>
    </row>
    <row r="102" spans="1:7" x14ac:dyDescent="0.25">
      <c r="A102" s="1" t="s">
        <v>102</v>
      </c>
      <c r="B102" s="2">
        <v>264554</v>
      </c>
      <c r="C102">
        <f t="shared" si="11"/>
        <v>243019.64660218274</v>
      </c>
      <c r="D102">
        <f t="shared" si="7"/>
        <v>21534.353397817264</v>
      </c>
      <c r="E102">
        <f t="shared" si="8"/>
        <v>21534.353397817264</v>
      </c>
      <c r="F102">
        <f t="shared" si="9"/>
        <v>463728376.26208395</v>
      </c>
      <c r="G102" s="4">
        <f t="shared" si="10"/>
        <v>8.1398706494013567E-2</v>
      </c>
    </row>
    <row r="103" spans="1:7" x14ac:dyDescent="0.25">
      <c r="A103" s="1" t="s">
        <v>103</v>
      </c>
      <c r="B103" s="2">
        <v>242677</v>
      </c>
      <c r="C103">
        <f t="shared" si="11"/>
        <v>247326.5172817462</v>
      </c>
      <c r="D103">
        <f t="shared" si="7"/>
        <v>-4649.5172817462008</v>
      </c>
      <c r="E103">
        <f t="shared" si="8"/>
        <v>4649.5172817462008</v>
      </c>
      <c r="F103">
        <f t="shared" si="9"/>
        <v>21618010.953256581</v>
      </c>
      <c r="G103" s="4">
        <f t="shared" si="10"/>
        <v>1.9159282839932092E-2</v>
      </c>
    </row>
    <row r="104" spans="1:7" x14ac:dyDescent="0.25">
      <c r="A104" s="1" t="s">
        <v>104</v>
      </c>
      <c r="B104" s="2">
        <v>245369</v>
      </c>
      <c r="C104">
        <f t="shared" si="11"/>
        <v>246396.61382539695</v>
      </c>
      <c r="D104">
        <f t="shared" si="7"/>
        <v>-1027.6138253969548</v>
      </c>
      <c r="E104">
        <f t="shared" si="8"/>
        <v>1027.6138253969548</v>
      </c>
      <c r="F104">
        <f t="shared" si="9"/>
        <v>1055990.1741469631</v>
      </c>
      <c r="G104" s="4">
        <f t="shared" si="10"/>
        <v>4.1880344517724521E-3</v>
      </c>
    </row>
    <row r="105" spans="1:7" x14ac:dyDescent="0.25">
      <c r="A105" s="1" t="s">
        <v>105</v>
      </c>
      <c r="B105" s="2">
        <v>245611</v>
      </c>
      <c r="C105">
        <f t="shared" si="11"/>
        <v>246191.09106031759</v>
      </c>
      <c r="D105">
        <f t="shared" si="7"/>
        <v>-580.09106031758711</v>
      </c>
      <c r="E105">
        <f t="shared" si="8"/>
        <v>580.09106031758711</v>
      </c>
      <c r="F105">
        <f t="shared" si="9"/>
        <v>336505.63826038246</v>
      </c>
      <c r="G105" s="4">
        <f t="shared" si="10"/>
        <v>2.3618285024595278E-3</v>
      </c>
    </row>
    <row r="106" spans="1:7" x14ac:dyDescent="0.25">
      <c r="A106" s="1" t="s">
        <v>106</v>
      </c>
      <c r="B106" s="2">
        <v>219708</v>
      </c>
      <c r="C106">
        <f t="shared" si="11"/>
        <v>246075.07284825409</v>
      </c>
      <c r="D106">
        <f t="shared" si="7"/>
        <v>-26367.072848254087</v>
      </c>
      <c r="E106">
        <f t="shared" si="8"/>
        <v>26367.072848254087</v>
      </c>
      <c r="F106">
        <f t="shared" si="9"/>
        <v>695222530.58513784</v>
      </c>
      <c r="G106" s="4">
        <f t="shared" si="10"/>
        <v>0.12000961661957729</v>
      </c>
    </row>
    <row r="107" spans="1:7" x14ac:dyDescent="0.25">
      <c r="A107" s="1" t="s">
        <v>107</v>
      </c>
      <c r="B107" s="2">
        <v>238109</v>
      </c>
      <c r="C107">
        <f t="shared" si="11"/>
        <v>240801.65827860328</v>
      </c>
      <c r="D107">
        <f t="shared" si="7"/>
        <v>-2692.6582786032814</v>
      </c>
      <c r="E107">
        <f t="shared" si="8"/>
        <v>2692.6582786032814</v>
      </c>
      <c r="F107">
        <f t="shared" si="9"/>
        <v>7250408.6053307867</v>
      </c>
      <c r="G107" s="4">
        <f t="shared" si="10"/>
        <v>1.1308511138189994E-2</v>
      </c>
    </row>
    <row r="108" spans="1:7" x14ac:dyDescent="0.25">
      <c r="A108" s="1" t="s">
        <v>108</v>
      </c>
      <c r="B108" s="2">
        <v>230230</v>
      </c>
      <c r="C108">
        <f t="shared" si="11"/>
        <v>240263.12662288261</v>
      </c>
      <c r="D108">
        <f t="shared" si="7"/>
        <v>-10033.126622882613</v>
      </c>
      <c r="E108">
        <f t="shared" si="8"/>
        <v>10033.126622882613</v>
      </c>
      <c r="F108">
        <f t="shared" si="9"/>
        <v>100663629.83079587</v>
      </c>
      <c r="G108" s="4">
        <f t="shared" si="10"/>
        <v>4.3578710953753264E-2</v>
      </c>
    </row>
    <row r="109" spans="1:7" x14ac:dyDescent="0.25">
      <c r="A109" s="1" t="s">
        <v>109</v>
      </c>
      <c r="B109" s="2">
        <v>241245</v>
      </c>
      <c r="C109">
        <f t="shared" si="11"/>
        <v>238256.5012983061</v>
      </c>
      <c r="D109">
        <f t="shared" si="7"/>
        <v>2988.4987016938976</v>
      </c>
      <c r="E109">
        <f t="shared" si="8"/>
        <v>2988.4987016938976</v>
      </c>
      <c r="F109">
        <f t="shared" si="9"/>
        <v>8931124.4900261108</v>
      </c>
      <c r="G109" s="4">
        <f t="shared" si="10"/>
        <v>1.2387816127562842E-2</v>
      </c>
    </row>
    <row r="110" spans="1:7" x14ac:dyDescent="0.25">
      <c r="A110" s="1" t="s">
        <v>110</v>
      </c>
      <c r="B110" s="2">
        <v>248552</v>
      </c>
      <c r="C110">
        <f t="shared" si="11"/>
        <v>238854.20103864488</v>
      </c>
      <c r="D110">
        <f t="shared" si="7"/>
        <v>9697.7989613551181</v>
      </c>
      <c r="E110">
        <f t="shared" si="8"/>
        <v>9697.7989613551181</v>
      </c>
      <c r="F110">
        <f t="shared" si="9"/>
        <v>94047304.694860414</v>
      </c>
      <c r="G110" s="4">
        <f t="shared" si="10"/>
        <v>3.9017183371508245E-2</v>
      </c>
    </row>
    <row r="111" spans="1:7" x14ac:dyDescent="0.25">
      <c r="A111" s="1" t="s">
        <v>111</v>
      </c>
      <c r="B111" s="2">
        <v>209942</v>
      </c>
      <c r="C111">
        <f t="shared" si="11"/>
        <v>240793.76083091591</v>
      </c>
      <c r="D111">
        <f t="shared" si="7"/>
        <v>-30851.760830915911</v>
      </c>
      <c r="E111">
        <f t="shared" si="8"/>
        <v>30851.760830915911</v>
      </c>
      <c r="F111">
        <f t="shared" si="9"/>
        <v>951831146.36803722</v>
      </c>
      <c r="G111" s="4">
        <f t="shared" si="10"/>
        <v>0.14695373403566658</v>
      </c>
    </row>
    <row r="112" spans="1:7" x14ac:dyDescent="0.25">
      <c r="A112" s="1" t="s">
        <v>112</v>
      </c>
      <c r="B112" s="2">
        <v>236216</v>
      </c>
      <c r="C112">
        <f t="shared" si="11"/>
        <v>234623.40866473273</v>
      </c>
      <c r="D112">
        <f t="shared" si="7"/>
        <v>1592.5913352672651</v>
      </c>
      <c r="E112">
        <f t="shared" si="8"/>
        <v>1592.5913352672651</v>
      </c>
      <c r="F112">
        <f t="shared" si="9"/>
        <v>2536347.1611683704</v>
      </c>
      <c r="G112" s="4">
        <f t="shared" si="10"/>
        <v>6.7420976363466705E-3</v>
      </c>
    </row>
    <row r="113" spans="1:7" x14ac:dyDescent="0.25">
      <c r="A113" s="1" t="s">
        <v>113</v>
      </c>
      <c r="B113" s="2">
        <v>247608</v>
      </c>
      <c r="C113">
        <f t="shared" si="11"/>
        <v>234941.92693178621</v>
      </c>
      <c r="D113">
        <f t="shared" si="7"/>
        <v>12666.073068213795</v>
      </c>
      <c r="E113">
        <f t="shared" si="8"/>
        <v>12666.073068213795</v>
      </c>
      <c r="F113">
        <f t="shared" si="9"/>
        <v>160429406.96933082</v>
      </c>
      <c r="G113" s="4">
        <f t="shared" si="10"/>
        <v>5.1153731172715725E-2</v>
      </c>
    </row>
    <row r="114" spans="1:7" x14ac:dyDescent="0.25">
      <c r="A114" s="1" t="s">
        <v>114</v>
      </c>
      <c r="B114" s="2">
        <v>242857</v>
      </c>
      <c r="C114">
        <f t="shared" si="11"/>
        <v>237475.14154542898</v>
      </c>
      <c r="D114">
        <f t="shared" si="7"/>
        <v>5381.8584545710182</v>
      </c>
      <c r="E114">
        <f t="shared" si="8"/>
        <v>5381.8584545710182</v>
      </c>
      <c r="F114">
        <f t="shared" si="9"/>
        <v>28964400.425037548</v>
      </c>
      <c r="G114" s="4">
        <f t="shared" si="10"/>
        <v>2.2160606672119883E-2</v>
      </c>
    </row>
    <row r="115" spans="1:7" x14ac:dyDescent="0.25">
      <c r="A115" s="1" t="s">
        <v>115</v>
      </c>
      <c r="B115" s="2">
        <v>254283</v>
      </c>
      <c r="C115">
        <f t="shared" si="11"/>
        <v>238551.51323634319</v>
      </c>
      <c r="D115">
        <f t="shared" si="7"/>
        <v>15731.486763656809</v>
      </c>
      <c r="E115">
        <f t="shared" si="8"/>
        <v>15731.486763656809</v>
      </c>
      <c r="F115">
        <f t="shared" si="9"/>
        <v>247479675.79510936</v>
      </c>
      <c r="G115" s="4">
        <f t="shared" si="10"/>
        <v>6.1866057753199422E-2</v>
      </c>
    </row>
    <row r="116" spans="1:7" x14ac:dyDescent="0.25">
      <c r="A116" s="1" t="s">
        <v>116</v>
      </c>
      <c r="B116" s="2">
        <v>246671</v>
      </c>
      <c r="C116">
        <f t="shared" si="11"/>
        <v>241697.81058907456</v>
      </c>
      <c r="D116">
        <f t="shared" si="7"/>
        <v>4973.1894109254354</v>
      </c>
      <c r="E116">
        <f t="shared" si="8"/>
        <v>4973.1894109254354</v>
      </c>
      <c r="F116">
        <f t="shared" si="9"/>
        <v>24732612.916940879</v>
      </c>
      <c r="G116" s="4">
        <f t="shared" si="10"/>
        <v>2.0161224509267144E-2</v>
      </c>
    </row>
    <row r="117" spans="1:7" x14ac:dyDescent="0.25">
      <c r="A117" s="1" t="s">
        <v>117</v>
      </c>
      <c r="B117" s="2">
        <v>247656</v>
      </c>
      <c r="C117">
        <f t="shared" si="11"/>
        <v>242692.44847125967</v>
      </c>
      <c r="D117">
        <f t="shared" si="7"/>
        <v>4963.551528740325</v>
      </c>
      <c r="E117">
        <f t="shared" si="8"/>
        <v>4963.551528740325</v>
      </c>
      <c r="F117">
        <f t="shared" si="9"/>
        <v>24636843.778460417</v>
      </c>
      <c r="G117" s="4">
        <f t="shared" si="10"/>
        <v>2.0042121041849683E-2</v>
      </c>
    </row>
    <row r="118" spans="1:7" x14ac:dyDescent="0.25">
      <c r="A118" s="1" t="s">
        <v>118</v>
      </c>
      <c r="B118" s="2">
        <v>227795</v>
      </c>
      <c r="C118">
        <f t="shared" si="11"/>
        <v>243685.15877700777</v>
      </c>
      <c r="D118">
        <f t="shared" si="7"/>
        <v>-15890.158777007775</v>
      </c>
      <c r="E118">
        <f t="shared" si="8"/>
        <v>15890.158777007775</v>
      </c>
      <c r="F118">
        <f t="shared" si="9"/>
        <v>252497145.95851722</v>
      </c>
      <c r="G118" s="4">
        <f t="shared" si="10"/>
        <v>6.9756398415275908E-2</v>
      </c>
    </row>
    <row r="119" spans="1:7" x14ac:dyDescent="0.25">
      <c r="A119" s="1" t="s">
        <v>119</v>
      </c>
      <c r="B119" s="2">
        <v>227975</v>
      </c>
      <c r="C119">
        <f t="shared" si="11"/>
        <v>240507.12702160623</v>
      </c>
      <c r="D119">
        <f t="shared" si="7"/>
        <v>-12532.127021606226</v>
      </c>
      <c r="E119">
        <f t="shared" si="8"/>
        <v>12532.127021606226</v>
      </c>
      <c r="F119">
        <f t="shared" si="9"/>
        <v>157054207.68567294</v>
      </c>
      <c r="G119" s="4">
        <f t="shared" si="10"/>
        <v>5.4971496969431849E-2</v>
      </c>
    </row>
    <row r="120" spans="1:7" x14ac:dyDescent="0.25">
      <c r="A120" s="1" t="s">
        <v>120</v>
      </c>
      <c r="B120" s="2">
        <v>226251</v>
      </c>
      <c r="C120">
        <f t="shared" si="11"/>
        <v>238000.701617285</v>
      </c>
      <c r="D120">
        <f t="shared" si="7"/>
        <v>-11749.701617284998</v>
      </c>
      <c r="E120">
        <f t="shared" si="8"/>
        <v>11749.701617284998</v>
      </c>
      <c r="F120">
        <f t="shared" si="9"/>
        <v>138055488.09522969</v>
      </c>
      <c r="G120" s="4">
        <f t="shared" si="10"/>
        <v>5.1932153304449474E-2</v>
      </c>
    </row>
    <row r="121" spans="1:7" x14ac:dyDescent="0.25">
      <c r="A121" s="1" t="s">
        <v>121</v>
      </c>
      <c r="B121" s="2">
        <v>219240</v>
      </c>
      <c r="C121">
        <f t="shared" si="11"/>
        <v>235650.76129382802</v>
      </c>
      <c r="D121">
        <f t="shared" si="7"/>
        <v>-16410.761293828022</v>
      </c>
      <c r="E121">
        <f t="shared" si="8"/>
        <v>16410.761293828022</v>
      </c>
      <c r="F121">
        <f t="shared" si="9"/>
        <v>269313086.24300396</v>
      </c>
      <c r="G121" s="4">
        <f t="shared" si="10"/>
        <v>7.4852952444024914E-2</v>
      </c>
    </row>
    <row r="122" spans="1:7" x14ac:dyDescent="0.25">
      <c r="A122" s="1" t="s">
        <v>122</v>
      </c>
      <c r="B122" s="2">
        <v>234307</v>
      </c>
      <c r="C122">
        <f t="shared" si="11"/>
        <v>232368.60903506243</v>
      </c>
      <c r="D122">
        <f t="shared" si="7"/>
        <v>1938.390964937571</v>
      </c>
      <c r="E122">
        <f t="shared" si="8"/>
        <v>1938.390964937571</v>
      </c>
      <c r="F122">
        <f t="shared" si="9"/>
        <v>3757359.5329516074</v>
      </c>
      <c r="G122" s="4">
        <f t="shared" si="10"/>
        <v>8.2728683519381445E-3</v>
      </c>
    </row>
    <row r="123" spans="1:7" x14ac:dyDescent="0.25">
      <c r="A123" s="1" t="s">
        <v>123</v>
      </c>
      <c r="B123" s="2">
        <v>178257</v>
      </c>
      <c r="C123">
        <f t="shared" si="11"/>
        <v>232756.28722804994</v>
      </c>
      <c r="D123">
        <f t="shared" si="7"/>
        <v>-54499.287228049943</v>
      </c>
      <c r="E123">
        <f t="shared" si="8"/>
        <v>54499.287228049943</v>
      </c>
      <c r="F123">
        <f t="shared" si="9"/>
        <v>2970172308.3654876</v>
      </c>
      <c r="G123" s="4">
        <f t="shared" si="10"/>
        <v>0.30573434551265838</v>
      </c>
    </row>
    <row r="124" spans="1:7" x14ac:dyDescent="0.25">
      <c r="A124" s="1" t="s">
        <v>124</v>
      </c>
      <c r="B124" s="2">
        <v>210276</v>
      </c>
      <c r="C124">
        <f t="shared" si="11"/>
        <v>221856.42978243995</v>
      </c>
      <c r="D124">
        <f t="shared" si="7"/>
        <v>-11580.429782439955</v>
      </c>
      <c r="E124">
        <f t="shared" si="8"/>
        <v>11580.429782439955</v>
      </c>
      <c r="F124">
        <f t="shared" si="9"/>
        <v>134106353.94602229</v>
      </c>
      <c r="G124" s="4">
        <f t="shared" si="10"/>
        <v>5.5072522696075418E-2</v>
      </c>
    </row>
    <row r="125" spans="1:7" x14ac:dyDescent="0.25">
      <c r="A125" s="1" t="s">
        <v>125</v>
      </c>
      <c r="B125" s="2">
        <v>209958</v>
      </c>
      <c r="C125">
        <f t="shared" si="11"/>
        <v>219540.34382595198</v>
      </c>
      <c r="D125">
        <f t="shared" si="7"/>
        <v>-9582.3438259519753</v>
      </c>
      <c r="E125">
        <f t="shared" si="8"/>
        <v>9582.3438259519753</v>
      </c>
      <c r="F125">
        <f t="shared" si="9"/>
        <v>91821313.198759943</v>
      </c>
      <c r="G125" s="4">
        <f t="shared" si="10"/>
        <v>4.5639336562321872E-2</v>
      </c>
    </row>
    <row r="126" spans="1:7" x14ac:dyDescent="0.25">
      <c r="A126" s="1" t="s">
        <v>126</v>
      </c>
      <c r="B126" s="2">
        <v>221259</v>
      </c>
      <c r="C126">
        <f t="shared" si="11"/>
        <v>217623.87506076161</v>
      </c>
      <c r="D126">
        <f t="shared" si="7"/>
        <v>3635.1249392383907</v>
      </c>
      <c r="E126">
        <f t="shared" si="8"/>
        <v>3635.1249392383907</v>
      </c>
      <c r="F126">
        <f t="shared" si="9"/>
        <v>13214133.323872913</v>
      </c>
      <c r="G126" s="4">
        <f t="shared" si="10"/>
        <v>1.6429274918707899E-2</v>
      </c>
    </row>
    <row r="127" spans="1:7" x14ac:dyDescent="0.25">
      <c r="A127" s="1" t="s">
        <v>127</v>
      </c>
      <c r="B127" s="2">
        <v>214563</v>
      </c>
      <c r="C127">
        <f t="shared" si="11"/>
        <v>218350.9000486093</v>
      </c>
      <c r="D127">
        <f t="shared" si="7"/>
        <v>-3787.9000486092991</v>
      </c>
      <c r="E127">
        <f t="shared" si="8"/>
        <v>3787.9000486092991</v>
      </c>
      <c r="F127">
        <f t="shared" si="9"/>
        <v>14348186.77825433</v>
      </c>
      <c r="G127" s="4">
        <f t="shared" si="10"/>
        <v>1.7654022588280829E-2</v>
      </c>
    </row>
    <row r="128" spans="1:7" x14ac:dyDescent="0.25">
      <c r="A128" s="1" t="s">
        <v>128</v>
      </c>
      <c r="B128" s="2">
        <v>215083</v>
      </c>
      <c r="C128">
        <f t="shared" si="11"/>
        <v>217593.32003888747</v>
      </c>
      <c r="D128">
        <f t="shared" si="7"/>
        <v>-2510.3200388874684</v>
      </c>
      <c r="E128">
        <f t="shared" si="8"/>
        <v>2510.3200388874684</v>
      </c>
      <c r="F128">
        <f t="shared" si="9"/>
        <v>6301706.6976399813</v>
      </c>
      <c r="G128" s="4">
        <f t="shared" si="10"/>
        <v>1.1671401453799085E-2</v>
      </c>
    </row>
    <row r="129" spans="1:7" x14ac:dyDescent="0.25">
      <c r="A129" s="1" t="s">
        <v>129</v>
      </c>
      <c r="B129" s="2">
        <v>215273</v>
      </c>
      <c r="C129">
        <f t="shared" si="11"/>
        <v>217091.25603110998</v>
      </c>
      <c r="D129">
        <f t="shared" si="7"/>
        <v>-1818.2560311099805</v>
      </c>
      <c r="E129">
        <f t="shared" si="8"/>
        <v>1818.2560311099805</v>
      </c>
      <c r="F129">
        <f t="shared" si="9"/>
        <v>3306054.9946678183</v>
      </c>
      <c r="G129" s="4">
        <f t="shared" si="10"/>
        <v>8.4462799845311798E-3</v>
      </c>
    </row>
    <row r="130" spans="1:7" x14ac:dyDescent="0.25">
      <c r="A130" s="1" t="s">
        <v>130</v>
      </c>
      <c r="B130" s="2">
        <v>194485</v>
      </c>
      <c r="C130">
        <f t="shared" si="11"/>
        <v>216727.604824888</v>
      </c>
      <c r="D130">
        <f t="shared" si="7"/>
        <v>-22242.604824887996</v>
      </c>
      <c r="E130">
        <f t="shared" si="8"/>
        <v>22242.604824887996</v>
      </c>
      <c r="F130">
        <f t="shared" si="9"/>
        <v>494733469.39613074</v>
      </c>
      <c r="G130" s="4">
        <f t="shared" si="10"/>
        <v>0.11436668547645318</v>
      </c>
    </row>
    <row r="131" spans="1:7" x14ac:dyDescent="0.25">
      <c r="A131" s="1" t="s">
        <v>131</v>
      </c>
      <c r="B131" s="2">
        <v>193493</v>
      </c>
      <c r="C131">
        <f t="shared" si="11"/>
        <v>212279.0838599104</v>
      </c>
      <c r="D131">
        <f t="shared" si="7"/>
        <v>-18786.083859910403</v>
      </c>
      <c r="E131">
        <f t="shared" si="8"/>
        <v>18786.083859910403</v>
      </c>
      <c r="F131">
        <f t="shared" si="9"/>
        <v>352916946.79158616</v>
      </c>
      <c r="G131" s="4">
        <f t="shared" si="10"/>
        <v>9.7089216973794412E-2</v>
      </c>
    </row>
    <row r="132" spans="1:7" x14ac:dyDescent="0.25">
      <c r="A132" s="1" t="s">
        <v>132</v>
      </c>
      <c r="B132" s="2">
        <v>174531</v>
      </c>
      <c r="C132">
        <f t="shared" ref="C132:C168" si="12">0.2*B131+0.8*C131</f>
        <v>208521.86708792835</v>
      </c>
      <c r="D132">
        <f t="shared" ref="D132:D168" si="13">B132-C132</f>
        <v>-33990.867087928345</v>
      </c>
      <c r="E132">
        <f t="shared" ref="E132:E168" si="14">ABS(D132)</f>
        <v>33990.867087928345</v>
      </c>
      <c r="F132">
        <f t="shared" ref="F132:F168" si="15">E132^2</f>
        <v>1155379045.3892105</v>
      </c>
      <c r="G132" s="4">
        <f t="shared" ref="G132:G168" si="16">E132/B132</f>
        <v>0.19475547087868827</v>
      </c>
    </row>
    <row r="133" spans="1:7" x14ac:dyDescent="0.25">
      <c r="A133" s="1" t="s">
        <v>133</v>
      </c>
      <c r="B133" s="2">
        <v>211837</v>
      </c>
      <c r="C133">
        <f t="shared" si="12"/>
        <v>201723.69367034271</v>
      </c>
      <c r="D133">
        <f t="shared" si="13"/>
        <v>10113.306329657295</v>
      </c>
      <c r="E133">
        <f t="shared" si="14"/>
        <v>10113.306329657295</v>
      </c>
      <c r="F133">
        <f t="shared" si="15"/>
        <v>102278964.9174863</v>
      </c>
      <c r="G133" s="4">
        <f t="shared" si="16"/>
        <v>4.7740981649368595E-2</v>
      </c>
    </row>
    <row r="134" spans="1:7" x14ac:dyDescent="0.25">
      <c r="A134" s="1" t="s">
        <v>134</v>
      </c>
      <c r="B134" s="2">
        <v>198663</v>
      </c>
      <c r="C134">
        <f t="shared" si="12"/>
        <v>203746.35493627418</v>
      </c>
      <c r="D134">
        <f t="shared" si="13"/>
        <v>-5083.354936274176</v>
      </c>
      <c r="E134">
        <f t="shared" si="14"/>
        <v>5083.354936274176</v>
      </c>
      <c r="F134">
        <f t="shared" si="15"/>
        <v>25840497.408143032</v>
      </c>
      <c r="G134" s="4">
        <f t="shared" si="16"/>
        <v>2.5587829320377606E-2</v>
      </c>
    </row>
    <row r="135" spans="1:7" x14ac:dyDescent="0.25">
      <c r="A135" s="1" t="s">
        <v>135</v>
      </c>
      <c r="B135" s="2">
        <v>189060</v>
      </c>
      <c r="C135">
        <f t="shared" si="12"/>
        <v>202729.68394901935</v>
      </c>
      <c r="D135">
        <f t="shared" si="13"/>
        <v>-13669.683949019352</v>
      </c>
      <c r="E135">
        <f t="shared" si="14"/>
        <v>13669.683949019352</v>
      </c>
      <c r="F135">
        <f t="shared" si="15"/>
        <v>186860259.26607731</v>
      </c>
      <c r="G135" s="4">
        <f t="shared" si="16"/>
        <v>7.2303416635033077E-2</v>
      </c>
    </row>
    <row r="136" spans="1:7" x14ac:dyDescent="0.25">
      <c r="A136" s="1" t="s">
        <v>136</v>
      </c>
      <c r="B136" s="2">
        <v>195181</v>
      </c>
      <c r="C136">
        <f t="shared" si="12"/>
        <v>199995.74715921551</v>
      </c>
      <c r="D136">
        <f t="shared" si="13"/>
        <v>-4814.7471592155052</v>
      </c>
      <c r="E136">
        <f t="shared" si="14"/>
        <v>4814.7471592155052</v>
      </c>
      <c r="F136">
        <f t="shared" si="15"/>
        <v>23181790.207173776</v>
      </c>
      <c r="G136" s="4">
        <f t="shared" si="16"/>
        <v>2.4668114002979313E-2</v>
      </c>
    </row>
    <row r="137" spans="1:7" x14ac:dyDescent="0.25">
      <c r="A137" s="1" t="s">
        <v>137</v>
      </c>
      <c r="B137" s="2">
        <v>165586</v>
      </c>
      <c r="C137">
        <f t="shared" si="12"/>
        <v>199032.79772737244</v>
      </c>
      <c r="D137">
        <f t="shared" si="13"/>
        <v>-33446.797727372439</v>
      </c>
      <c r="E137">
        <f t="shared" si="14"/>
        <v>33446.797727372439</v>
      </c>
      <c r="F137">
        <f t="shared" si="15"/>
        <v>1118688278.2157662</v>
      </c>
      <c r="G137" s="4">
        <f t="shared" si="16"/>
        <v>0.20199049271902478</v>
      </c>
    </row>
    <row r="138" spans="1:7" x14ac:dyDescent="0.25">
      <c r="A138" s="1" t="s">
        <v>138</v>
      </c>
      <c r="B138" s="2">
        <v>188693</v>
      </c>
      <c r="C138">
        <f t="shared" si="12"/>
        <v>192343.43818189797</v>
      </c>
      <c r="D138">
        <f t="shared" si="13"/>
        <v>-3650.4381818979746</v>
      </c>
      <c r="E138">
        <f t="shared" si="14"/>
        <v>3650.4381818979746</v>
      </c>
      <c r="F138">
        <f t="shared" si="15"/>
        <v>13325698.91985859</v>
      </c>
      <c r="G138" s="4">
        <f t="shared" si="16"/>
        <v>1.9345912047071034E-2</v>
      </c>
    </row>
    <row r="139" spans="1:7" x14ac:dyDescent="0.25">
      <c r="A139" s="1" t="s">
        <v>139</v>
      </c>
      <c r="B139" s="2">
        <v>191919</v>
      </c>
      <c r="C139">
        <f t="shared" si="12"/>
        <v>191613.35054551839</v>
      </c>
      <c r="D139">
        <f t="shared" si="13"/>
        <v>305.6494544816087</v>
      </c>
      <c r="E139">
        <f t="shared" si="14"/>
        <v>305.6494544816087</v>
      </c>
      <c r="F139">
        <f t="shared" si="15"/>
        <v>93421.589024904984</v>
      </c>
      <c r="G139" s="4">
        <f t="shared" si="16"/>
        <v>1.5925961185792375E-3</v>
      </c>
    </row>
    <row r="140" spans="1:7" x14ac:dyDescent="0.25">
      <c r="A140" s="1" t="s">
        <v>140</v>
      </c>
      <c r="B140" s="2">
        <v>183087</v>
      </c>
      <c r="C140">
        <f t="shared" si="12"/>
        <v>191674.48043641471</v>
      </c>
      <c r="D140">
        <f t="shared" si="13"/>
        <v>-8587.480436414713</v>
      </c>
      <c r="E140">
        <f t="shared" si="14"/>
        <v>8587.480436414713</v>
      </c>
      <c r="F140">
        <f t="shared" si="15"/>
        <v>73744820.245805427</v>
      </c>
      <c r="G140" s="4">
        <f t="shared" si="16"/>
        <v>4.690382406404995E-2</v>
      </c>
    </row>
    <row r="141" spans="1:7" x14ac:dyDescent="0.25">
      <c r="A141" s="1" t="s">
        <v>141</v>
      </c>
      <c r="B141" s="2">
        <v>168406</v>
      </c>
      <c r="C141">
        <f t="shared" si="12"/>
        <v>189956.98434913176</v>
      </c>
      <c r="D141">
        <f t="shared" si="13"/>
        <v>-21550.984349131759</v>
      </c>
      <c r="E141">
        <f t="shared" si="14"/>
        <v>21550.984349131759</v>
      </c>
      <c r="F141">
        <f t="shared" si="15"/>
        <v>464444926.41652203</v>
      </c>
      <c r="G141" s="4">
        <f t="shared" si="16"/>
        <v>0.127970406928089</v>
      </c>
    </row>
    <row r="142" spans="1:7" x14ac:dyDescent="0.25">
      <c r="A142" s="1" t="s">
        <v>142</v>
      </c>
      <c r="B142" s="2">
        <v>161926</v>
      </c>
      <c r="C142">
        <f t="shared" si="12"/>
        <v>185646.78747930544</v>
      </c>
      <c r="D142">
        <f t="shared" si="13"/>
        <v>-23720.787479305436</v>
      </c>
      <c r="E142">
        <f t="shared" si="14"/>
        <v>23720.787479305436</v>
      </c>
      <c r="F142">
        <f t="shared" si="15"/>
        <v>562675758.63837349</v>
      </c>
      <c r="G142" s="4">
        <f t="shared" si="16"/>
        <v>0.14649152995383963</v>
      </c>
    </row>
    <row r="143" spans="1:7" x14ac:dyDescent="0.25">
      <c r="A143" s="1" t="s">
        <v>143</v>
      </c>
      <c r="B143" s="2">
        <v>164494</v>
      </c>
      <c r="C143">
        <f t="shared" si="12"/>
        <v>180902.62998344438</v>
      </c>
      <c r="D143">
        <f t="shared" si="13"/>
        <v>-16408.629983444378</v>
      </c>
      <c r="E143">
        <f t="shared" si="14"/>
        <v>16408.629983444378</v>
      </c>
      <c r="F143">
        <f t="shared" si="15"/>
        <v>269243137.93358988</v>
      </c>
      <c r="G143" s="4">
        <f t="shared" si="16"/>
        <v>9.9752148913907976E-2</v>
      </c>
    </row>
    <row r="144" spans="1:7" x14ac:dyDescent="0.25">
      <c r="A144" s="1" t="s">
        <v>144</v>
      </c>
      <c r="B144" s="2">
        <v>168655</v>
      </c>
      <c r="C144">
        <f t="shared" si="12"/>
        <v>177620.90398675553</v>
      </c>
      <c r="D144">
        <f t="shared" si="13"/>
        <v>-8965.9039867555257</v>
      </c>
      <c r="E144">
        <f t="shared" si="14"/>
        <v>8965.9039867555257</v>
      </c>
      <c r="F144">
        <f t="shared" si="15"/>
        <v>80387434.299718633</v>
      </c>
      <c r="G144" s="4">
        <f t="shared" si="16"/>
        <v>5.3161210677154701E-2</v>
      </c>
    </row>
    <row r="145" spans="1:7" x14ac:dyDescent="0.25">
      <c r="A145" s="1" t="s">
        <v>145</v>
      </c>
      <c r="B145" s="2">
        <v>178597</v>
      </c>
      <c r="C145">
        <f t="shared" si="12"/>
        <v>175827.72318940444</v>
      </c>
      <c r="D145">
        <f t="shared" si="13"/>
        <v>2769.276810595562</v>
      </c>
      <c r="E145">
        <f t="shared" si="14"/>
        <v>2769.276810595562</v>
      </c>
      <c r="F145">
        <f t="shared" si="15"/>
        <v>7668894.0537023284</v>
      </c>
      <c r="G145" s="4">
        <f t="shared" si="16"/>
        <v>1.5505729718839409E-2</v>
      </c>
    </row>
    <row r="146" spans="1:7" x14ac:dyDescent="0.25">
      <c r="A146" s="1" t="s">
        <v>146</v>
      </c>
      <c r="B146" s="2">
        <v>181197</v>
      </c>
      <c r="C146">
        <f t="shared" si="12"/>
        <v>176381.57855152356</v>
      </c>
      <c r="D146">
        <f t="shared" si="13"/>
        <v>4815.4214484764379</v>
      </c>
      <c r="E146">
        <f t="shared" si="14"/>
        <v>4815.4214484764379</v>
      </c>
      <c r="F146">
        <f t="shared" si="15"/>
        <v>23188283.726446915</v>
      </c>
      <c r="G146" s="4">
        <f t="shared" si="16"/>
        <v>2.6575613550315059E-2</v>
      </c>
    </row>
    <row r="147" spans="1:7" x14ac:dyDescent="0.25">
      <c r="A147" s="1" t="s">
        <v>147</v>
      </c>
      <c r="B147" s="2">
        <v>156503</v>
      </c>
      <c r="C147">
        <f t="shared" si="12"/>
        <v>177344.66284121884</v>
      </c>
      <c r="D147">
        <f t="shared" si="13"/>
        <v>-20841.662841218844</v>
      </c>
      <c r="E147">
        <f t="shared" si="14"/>
        <v>20841.662841218844</v>
      </c>
      <c r="F147">
        <f t="shared" si="15"/>
        <v>434374909.98704231</v>
      </c>
      <c r="G147" s="4">
        <f t="shared" si="16"/>
        <v>0.1331710116816856</v>
      </c>
    </row>
    <row r="148" spans="1:7" x14ac:dyDescent="0.25">
      <c r="A148" s="1" t="s">
        <v>148</v>
      </c>
      <c r="B148" s="2">
        <v>180396</v>
      </c>
      <c r="C148">
        <f t="shared" si="12"/>
        <v>173176.33027297509</v>
      </c>
      <c r="D148">
        <f t="shared" si="13"/>
        <v>7219.6697270249133</v>
      </c>
      <c r="E148">
        <f t="shared" si="14"/>
        <v>7219.6697270249133</v>
      </c>
      <c r="F148">
        <f t="shared" si="15"/>
        <v>52123630.967319988</v>
      </c>
      <c r="G148" s="4">
        <f t="shared" si="16"/>
        <v>4.0021229556225821E-2</v>
      </c>
    </row>
    <row r="149" spans="1:7" x14ac:dyDescent="0.25">
      <c r="A149" s="1" t="s">
        <v>149</v>
      </c>
      <c r="B149" s="2">
        <v>174563</v>
      </c>
      <c r="C149">
        <f t="shared" si="12"/>
        <v>174620.26421838009</v>
      </c>
      <c r="D149">
        <f t="shared" si="13"/>
        <v>-57.264218380092643</v>
      </c>
      <c r="E149">
        <f t="shared" si="14"/>
        <v>57.264218380092643</v>
      </c>
      <c r="F149">
        <f t="shared" si="15"/>
        <v>3279.1907066829399</v>
      </c>
      <c r="G149" s="4">
        <f t="shared" si="16"/>
        <v>3.2804327595247932E-4</v>
      </c>
    </row>
    <row r="150" spans="1:7" x14ac:dyDescent="0.25">
      <c r="A150" s="1" t="s">
        <v>150</v>
      </c>
      <c r="B150" s="2">
        <v>180654</v>
      </c>
      <c r="C150">
        <f t="shared" si="12"/>
        <v>174608.81137470409</v>
      </c>
      <c r="D150">
        <f t="shared" si="13"/>
        <v>6045.1886252959084</v>
      </c>
      <c r="E150">
        <f t="shared" si="14"/>
        <v>6045.1886252959084</v>
      </c>
      <c r="F150">
        <f t="shared" si="15"/>
        <v>36544305.515407033</v>
      </c>
      <c r="G150" s="4">
        <f t="shared" si="16"/>
        <v>3.3462799745900496E-2</v>
      </c>
    </row>
    <row r="151" spans="1:7" x14ac:dyDescent="0.25">
      <c r="A151" s="1" t="s">
        <v>151</v>
      </c>
      <c r="B151" s="2">
        <v>198207</v>
      </c>
      <c r="C151">
        <f t="shared" si="12"/>
        <v>175817.84909976326</v>
      </c>
      <c r="D151">
        <f t="shared" si="13"/>
        <v>22389.150900236738</v>
      </c>
      <c r="E151">
        <f t="shared" si="14"/>
        <v>22389.150900236738</v>
      </c>
      <c r="F151">
        <f t="shared" si="15"/>
        <v>501274078.03357154</v>
      </c>
      <c r="G151" s="4">
        <f t="shared" si="16"/>
        <v>0.11295842679742259</v>
      </c>
    </row>
    <row r="152" spans="1:7" x14ac:dyDescent="0.25">
      <c r="A152" s="1" t="s">
        <v>152</v>
      </c>
      <c r="B152" s="2">
        <v>198342</v>
      </c>
      <c r="C152">
        <f t="shared" si="12"/>
        <v>180295.6792798106</v>
      </c>
      <c r="D152">
        <f t="shared" si="13"/>
        <v>18046.320720189397</v>
      </c>
      <c r="E152">
        <f t="shared" si="14"/>
        <v>18046.320720189397</v>
      </c>
      <c r="F152">
        <f t="shared" si="15"/>
        <v>325669691.53593713</v>
      </c>
      <c r="G152" s="4">
        <f t="shared" si="16"/>
        <v>9.0985876517275188E-2</v>
      </c>
    </row>
    <row r="153" spans="1:7" x14ac:dyDescent="0.25">
      <c r="A153" s="1" t="s">
        <v>153</v>
      </c>
      <c r="B153" s="2">
        <v>193331</v>
      </c>
      <c r="C153">
        <f t="shared" si="12"/>
        <v>183904.94342384848</v>
      </c>
      <c r="D153">
        <f t="shared" si="13"/>
        <v>9426.0565761515172</v>
      </c>
      <c r="E153">
        <f t="shared" si="14"/>
        <v>9426.0565761515172</v>
      </c>
      <c r="F153">
        <f t="shared" si="15"/>
        <v>88850542.576809257</v>
      </c>
      <c r="G153" s="4">
        <f t="shared" si="16"/>
        <v>4.8756053484187829E-2</v>
      </c>
    </row>
    <row r="154" spans="1:7" x14ac:dyDescent="0.25">
      <c r="A154" s="1" t="s">
        <v>154</v>
      </c>
      <c r="B154" s="2">
        <v>195755</v>
      </c>
      <c r="C154">
        <f t="shared" si="12"/>
        <v>185790.1547390788</v>
      </c>
      <c r="D154">
        <f t="shared" si="13"/>
        <v>9964.8452609211963</v>
      </c>
      <c r="E154">
        <f t="shared" si="14"/>
        <v>9964.8452609211963</v>
      </c>
      <c r="F154">
        <f t="shared" si="15"/>
        <v>99298141.074103624</v>
      </c>
      <c r="G154" s="4">
        <f t="shared" si="16"/>
        <v>5.0904678097219463E-2</v>
      </c>
    </row>
    <row r="155" spans="1:7" x14ac:dyDescent="0.25">
      <c r="A155" s="1" t="s">
        <v>155</v>
      </c>
      <c r="B155" s="2">
        <v>185112</v>
      </c>
      <c r="C155">
        <f t="shared" si="12"/>
        <v>187783.12379126306</v>
      </c>
      <c r="D155">
        <f t="shared" si="13"/>
        <v>-2671.1237912630604</v>
      </c>
      <c r="E155">
        <f t="shared" si="14"/>
        <v>2671.1237912630604</v>
      </c>
      <c r="F155">
        <f t="shared" si="15"/>
        <v>7134902.3082515458</v>
      </c>
      <c r="G155" s="4">
        <f t="shared" si="16"/>
        <v>1.4429771118366505E-2</v>
      </c>
    </row>
    <row r="156" spans="1:7" x14ac:dyDescent="0.25">
      <c r="A156" s="1" t="s">
        <v>156</v>
      </c>
      <c r="B156" s="2">
        <v>190010</v>
      </c>
      <c r="C156">
        <f t="shared" si="12"/>
        <v>187248.89903301044</v>
      </c>
      <c r="D156">
        <f t="shared" si="13"/>
        <v>2761.1009669895575</v>
      </c>
      <c r="E156">
        <f t="shared" si="14"/>
        <v>2761.1009669895575</v>
      </c>
      <c r="F156">
        <f t="shared" si="15"/>
        <v>7623678.5499106692</v>
      </c>
      <c r="G156" s="4">
        <f t="shared" si="16"/>
        <v>1.453134554491636E-2</v>
      </c>
    </row>
    <row r="157" spans="1:7" x14ac:dyDescent="0.25">
      <c r="A157" s="1" t="s">
        <v>157</v>
      </c>
      <c r="B157" s="2">
        <v>199289</v>
      </c>
      <c r="C157">
        <f t="shared" si="12"/>
        <v>187801.11922640837</v>
      </c>
      <c r="D157">
        <f t="shared" si="13"/>
        <v>11487.880773591634</v>
      </c>
      <c r="E157">
        <f t="shared" si="14"/>
        <v>11487.880773591634</v>
      </c>
      <c r="F157">
        <f t="shared" si="15"/>
        <v>131971404.66825633</v>
      </c>
      <c r="G157" s="4">
        <f t="shared" si="16"/>
        <v>5.764432945918558E-2</v>
      </c>
    </row>
    <row r="158" spans="1:7" x14ac:dyDescent="0.25">
      <c r="A158" s="1" t="s">
        <v>158</v>
      </c>
      <c r="B158" s="2">
        <v>197873</v>
      </c>
      <c r="C158">
        <f t="shared" si="12"/>
        <v>190098.69538112672</v>
      </c>
      <c r="D158">
        <f t="shared" si="13"/>
        <v>7774.3046188732842</v>
      </c>
      <c r="E158">
        <f t="shared" si="14"/>
        <v>7774.3046188732842</v>
      </c>
      <c r="F158">
        <f t="shared" si="15"/>
        <v>60439812.307034478</v>
      </c>
      <c r="G158" s="4">
        <f t="shared" si="16"/>
        <v>3.9289365496420856E-2</v>
      </c>
    </row>
    <row r="159" spans="1:7" x14ac:dyDescent="0.25">
      <c r="A159" s="1" t="s">
        <v>159</v>
      </c>
      <c r="B159" s="2">
        <v>172325</v>
      </c>
      <c r="C159">
        <f t="shared" si="12"/>
        <v>191653.55630490137</v>
      </c>
      <c r="D159">
        <f t="shared" si="13"/>
        <v>-19328.556304901373</v>
      </c>
      <c r="E159">
        <f t="shared" si="14"/>
        <v>19328.556304901373</v>
      </c>
      <c r="F159">
        <f t="shared" si="15"/>
        <v>373593088.83174258</v>
      </c>
      <c r="G159" s="4">
        <f t="shared" si="16"/>
        <v>0.11216339071464601</v>
      </c>
    </row>
    <row r="160" spans="1:7" x14ac:dyDescent="0.25">
      <c r="A160" s="1" t="s">
        <v>160</v>
      </c>
      <c r="B160" s="2">
        <v>198883</v>
      </c>
      <c r="C160">
        <f t="shared" si="12"/>
        <v>187787.84504392112</v>
      </c>
      <c r="D160">
        <f t="shared" si="13"/>
        <v>11095.154956078884</v>
      </c>
      <c r="E160">
        <f t="shared" si="14"/>
        <v>11095.154956078884</v>
      </c>
      <c r="F160">
        <f t="shared" si="15"/>
        <v>123102463.49940184</v>
      </c>
      <c r="G160" s="4">
        <f t="shared" si="16"/>
        <v>5.5787347114026262E-2</v>
      </c>
    </row>
    <row r="161" spans="1:7" x14ac:dyDescent="0.25">
      <c r="A161" s="1" t="s">
        <v>161</v>
      </c>
      <c r="B161" s="2">
        <v>181770</v>
      </c>
      <c r="C161">
        <f t="shared" si="12"/>
        <v>190006.8760351369</v>
      </c>
      <c r="D161">
        <f t="shared" si="13"/>
        <v>-8236.8760351368983</v>
      </c>
      <c r="E161">
        <f t="shared" si="14"/>
        <v>8236.8760351368983</v>
      </c>
      <c r="F161">
        <f t="shared" si="15"/>
        <v>67846126.818212554</v>
      </c>
      <c r="G161" s="4">
        <f t="shared" si="16"/>
        <v>4.5314826622307854E-2</v>
      </c>
    </row>
    <row r="162" spans="1:7" x14ac:dyDescent="0.25">
      <c r="A162" s="1" t="s">
        <v>162</v>
      </c>
      <c r="B162" s="2">
        <v>191050</v>
      </c>
      <c r="C162">
        <f t="shared" si="12"/>
        <v>188359.50082810954</v>
      </c>
      <c r="D162">
        <f t="shared" si="13"/>
        <v>2690.4991718904639</v>
      </c>
      <c r="E162">
        <f t="shared" si="14"/>
        <v>2690.4991718904639</v>
      </c>
      <c r="F162">
        <f t="shared" si="15"/>
        <v>7238785.793943272</v>
      </c>
      <c r="G162" s="4">
        <f t="shared" si="16"/>
        <v>1.4082696529130929E-2</v>
      </c>
    </row>
    <row r="163" spans="1:7" x14ac:dyDescent="0.25">
      <c r="A163" s="1" t="s">
        <v>163</v>
      </c>
      <c r="B163" s="2">
        <v>194195</v>
      </c>
      <c r="C163">
        <f t="shared" si="12"/>
        <v>188897.60066248765</v>
      </c>
      <c r="D163">
        <f t="shared" si="13"/>
        <v>5297.3993375123537</v>
      </c>
      <c r="E163">
        <f t="shared" si="14"/>
        <v>5297.3993375123537</v>
      </c>
      <c r="F163">
        <f t="shared" si="15"/>
        <v>28062439.741076324</v>
      </c>
      <c r="G163" s="4">
        <f t="shared" si="16"/>
        <v>2.7278762777169101E-2</v>
      </c>
    </row>
    <row r="164" spans="1:7" x14ac:dyDescent="0.25">
      <c r="A164" s="1" t="s">
        <v>164</v>
      </c>
      <c r="B164" s="2">
        <v>204719</v>
      </c>
      <c r="C164">
        <f t="shared" si="12"/>
        <v>189957.08052999011</v>
      </c>
      <c r="D164">
        <f t="shared" si="13"/>
        <v>14761.919470009889</v>
      </c>
      <c r="E164">
        <f t="shared" si="14"/>
        <v>14761.919470009889</v>
      </c>
      <c r="F164">
        <f t="shared" si="15"/>
        <v>217914266.43905702</v>
      </c>
      <c r="G164" s="4">
        <f t="shared" si="16"/>
        <v>7.2108204270291909E-2</v>
      </c>
    </row>
    <row r="165" spans="1:7" x14ac:dyDescent="0.25">
      <c r="A165" s="1" t="s">
        <v>165</v>
      </c>
      <c r="B165" s="2">
        <v>196232</v>
      </c>
      <c r="C165">
        <f t="shared" si="12"/>
        <v>192909.46442399209</v>
      </c>
      <c r="D165">
        <f t="shared" si="13"/>
        <v>3322.535576007911</v>
      </c>
      <c r="E165">
        <f t="shared" si="14"/>
        <v>3322.535576007911</v>
      </c>
      <c r="F165">
        <f t="shared" si="15"/>
        <v>11039242.653838221</v>
      </c>
      <c r="G165" s="4">
        <f t="shared" si="16"/>
        <v>1.6931670553263032E-2</v>
      </c>
    </row>
    <row r="166" spans="1:7" x14ac:dyDescent="0.25">
      <c r="A166" s="1" t="s">
        <v>166</v>
      </c>
      <c r="B166" s="2">
        <v>188048</v>
      </c>
      <c r="C166">
        <f t="shared" si="12"/>
        <v>193573.97153919368</v>
      </c>
      <c r="D166">
        <f t="shared" si="13"/>
        <v>-5525.971539193677</v>
      </c>
      <c r="E166">
        <f t="shared" si="14"/>
        <v>5525.971539193677</v>
      </c>
      <c r="F166">
        <f t="shared" si="15"/>
        <v>30536361.451978534</v>
      </c>
      <c r="G166" s="4">
        <f t="shared" si="16"/>
        <v>2.938596283498722E-2</v>
      </c>
    </row>
    <row r="167" spans="1:7" x14ac:dyDescent="0.25">
      <c r="A167" s="1" t="s">
        <v>167</v>
      </c>
      <c r="B167" s="2">
        <v>193347</v>
      </c>
      <c r="C167">
        <f t="shared" si="12"/>
        <v>192468.77723135496</v>
      </c>
      <c r="D167">
        <f t="shared" si="13"/>
        <v>878.2227686450351</v>
      </c>
      <c r="E167">
        <f t="shared" si="14"/>
        <v>878.2227686450351</v>
      </c>
      <c r="F167">
        <f t="shared" si="15"/>
        <v>771275.2313665509</v>
      </c>
      <c r="G167" s="4">
        <f t="shared" si="16"/>
        <v>4.5422104746649034E-3</v>
      </c>
    </row>
    <row r="168" spans="1:7" x14ac:dyDescent="0.25">
      <c r="A168" s="1" t="s">
        <v>168</v>
      </c>
      <c r="B168" s="2">
        <v>187292</v>
      </c>
      <c r="C168">
        <f t="shared" si="12"/>
        <v>192644.42178508398</v>
      </c>
      <c r="D168">
        <f t="shared" si="13"/>
        <v>-5352.4217850839777</v>
      </c>
      <c r="E168">
        <f t="shared" si="14"/>
        <v>5352.4217850839777</v>
      </c>
      <c r="F168">
        <f t="shared" si="15"/>
        <v>28648418.965441555</v>
      </c>
      <c r="G168" s="4">
        <f t="shared" si="16"/>
        <v>2.8577951995194549E-2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7A51-F6E7-451D-8A98-A832E1F01AAB}">
  <dimension ref="A1:R168"/>
  <sheetViews>
    <sheetView topLeftCell="F1" workbookViewId="0">
      <selection activeCell="M18" sqref="M18:N22"/>
    </sheetView>
  </sheetViews>
  <sheetFormatPr defaultRowHeight="15" x14ac:dyDescent="0.25"/>
  <cols>
    <col min="2" max="3" width="16.28515625" customWidth="1"/>
    <col min="4" max="4" width="42.28515625" bestFit="1" customWidth="1"/>
    <col min="5" max="5" width="18.28515625" bestFit="1" customWidth="1"/>
    <col min="6" max="6" width="18.28515625" customWidth="1"/>
    <col min="7" max="7" width="14.28515625" bestFit="1" customWidth="1"/>
    <col min="8" max="8" width="13.85546875" bestFit="1" customWidth="1"/>
    <col min="9" max="9" width="16.7109375" bestFit="1" customWidth="1"/>
    <col min="10" max="11" width="15.85546875" bestFit="1" customWidth="1"/>
    <col min="13" max="13" width="16.7109375" bestFit="1" customWidth="1"/>
    <col min="14" max="14" width="16.28515625" bestFit="1" customWidth="1"/>
    <col min="15" max="15" width="15" bestFit="1" customWidth="1"/>
    <col min="16" max="16" width="16.7109375" bestFit="1" customWidth="1"/>
    <col min="18" max="18" width="16.7109375" bestFit="1" customWidth="1"/>
  </cols>
  <sheetData>
    <row r="1" spans="1:18" x14ac:dyDescent="0.25">
      <c r="A1" s="24" t="s">
        <v>0</v>
      </c>
      <c r="B1" s="27" t="s">
        <v>183</v>
      </c>
      <c r="C1" s="27" t="s">
        <v>188</v>
      </c>
      <c r="D1" s="25" t="s">
        <v>1</v>
      </c>
      <c r="E1" s="26" t="s">
        <v>169</v>
      </c>
      <c r="F1" s="30" t="s">
        <v>189</v>
      </c>
      <c r="G1" s="30" t="s">
        <v>184</v>
      </c>
      <c r="H1" s="26" t="s">
        <v>170</v>
      </c>
      <c r="I1" s="26" t="s">
        <v>171</v>
      </c>
      <c r="J1" s="26" t="s">
        <v>172</v>
      </c>
      <c r="K1" s="26" t="s">
        <v>173</v>
      </c>
    </row>
    <row r="2" spans="1:18" x14ac:dyDescent="0.25">
      <c r="A2" s="1" t="s">
        <v>2</v>
      </c>
      <c r="B2" s="28">
        <v>1</v>
      </c>
      <c r="C2" s="28">
        <v>1</v>
      </c>
      <c r="D2" s="2">
        <v>317275</v>
      </c>
      <c r="E2">
        <f t="shared" ref="E2:E33" si="0">_xlfn.FORECAST.LINEAR(B2,$D$2:$D$168,$B$2:$B$168)</f>
        <v>287617.39563729684</v>
      </c>
      <c r="F2">
        <f>_xlfn.XLOOKUP(C2,$O$3:$O$14,$R$3:$R$14,"-",0)</f>
        <v>1.0400152419023756</v>
      </c>
      <c r="G2">
        <f>E2*F2</f>
        <v>299126.47529905452</v>
      </c>
      <c r="H2">
        <f>D2-G2</f>
        <v>18148.524700945476</v>
      </c>
      <c r="I2">
        <f>ABS(H2)</f>
        <v>18148.524700945476</v>
      </c>
      <c r="J2">
        <f>I2^2</f>
        <v>329368948.82082808</v>
      </c>
      <c r="K2" s="4">
        <f>I2/D2</f>
        <v>5.7201244034183203E-2</v>
      </c>
      <c r="O2" s="30" t="s">
        <v>182</v>
      </c>
      <c r="P2" s="30" t="s">
        <v>186</v>
      </c>
      <c r="Q2" s="30" t="s">
        <v>187</v>
      </c>
      <c r="R2" s="30" t="s">
        <v>185</v>
      </c>
    </row>
    <row r="3" spans="1:18" x14ac:dyDescent="0.25">
      <c r="A3" s="1" t="s">
        <v>3</v>
      </c>
      <c r="B3" s="28">
        <v>2</v>
      </c>
      <c r="C3" s="28">
        <v>2</v>
      </c>
      <c r="D3" s="2">
        <v>262339</v>
      </c>
      <c r="E3">
        <f t="shared" si="0"/>
        <v>286972.15928555973</v>
      </c>
      <c r="F3">
        <f t="shared" ref="F3:F66" si="1">_xlfn.XLOOKUP(C3,$O$3:$O$14,$R$3:$R$14,"-",0)</f>
        <v>0.90111630357129513</v>
      </c>
      <c r="G3">
        <f t="shared" ref="G3:G66" si="2">E3*F3</f>
        <v>258595.2914032765</v>
      </c>
      <c r="H3">
        <f t="shared" ref="H3:H66" si="3">D3-G3</f>
        <v>3743.7085967235034</v>
      </c>
      <c r="I3">
        <f t="shared" ref="I3:I66" si="4">ABS(H3)</f>
        <v>3743.7085967235034</v>
      </c>
      <c r="J3">
        <f t="shared" ref="J3:J66" si="5">I3^2</f>
        <v>14015354.057181463</v>
      </c>
      <c r="K3" s="4">
        <f t="shared" ref="K3:K66" si="6">I3/D3</f>
        <v>1.4270499608230203E-2</v>
      </c>
      <c r="O3" s="26">
        <v>1</v>
      </c>
      <c r="P3" s="26">
        <f t="shared" ref="P3:P14" si="7">AVERAGEIF(C2:C168,O3,D2:D168)</f>
        <v>243428.85714285713</v>
      </c>
      <c r="Q3" s="26">
        <f>AVERAGE($D$2:$D$168)</f>
        <v>234062.77844311378</v>
      </c>
      <c r="R3" s="26">
        <f>P3/Q3</f>
        <v>1.0400152419023756</v>
      </c>
    </row>
    <row r="4" spans="1:18" x14ac:dyDescent="0.25">
      <c r="A4" s="1" t="s">
        <v>4</v>
      </c>
      <c r="B4" s="28">
        <v>3</v>
      </c>
      <c r="C4" s="28">
        <v>3</v>
      </c>
      <c r="D4" s="2">
        <v>303897</v>
      </c>
      <c r="E4">
        <f t="shared" si="0"/>
        <v>286326.92293382256</v>
      </c>
      <c r="F4">
        <f t="shared" si="1"/>
        <v>1.0318803669716561</v>
      </c>
      <c r="G4">
        <f t="shared" si="2"/>
        <v>295455.13031081791</v>
      </c>
      <c r="H4">
        <f t="shared" si="3"/>
        <v>8441.8696891820873</v>
      </c>
      <c r="I4">
        <f t="shared" si="4"/>
        <v>8441.8696891820873</v>
      </c>
      <c r="J4">
        <f t="shared" si="5"/>
        <v>71265163.849131271</v>
      </c>
      <c r="K4" s="4">
        <f t="shared" si="6"/>
        <v>2.7778720057065675E-2</v>
      </c>
      <c r="O4" s="26">
        <v>2</v>
      </c>
      <c r="P4" s="26">
        <f t="shared" si="7"/>
        <v>210917.78571428571</v>
      </c>
      <c r="Q4" s="26">
        <f t="shared" ref="Q4:Q14" si="8">AVERAGE($D$2:$D$168)</f>
        <v>234062.77844311378</v>
      </c>
      <c r="R4" s="26">
        <f t="shared" ref="R4:R14" si="9">P4/Q4</f>
        <v>0.90111630357129513</v>
      </c>
    </row>
    <row r="5" spans="1:18" x14ac:dyDescent="0.25">
      <c r="A5" s="1" t="s">
        <v>5</v>
      </c>
      <c r="B5" s="29">
        <v>4</v>
      </c>
      <c r="C5" s="28">
        <v>4</v>
      </c>
      <c r="D5" s="2">
        <v>285934</v>
      </c>
      <c r="E5">
        <f t="shared" si="0"/>
        <v>285681.68658208544</v>
      </c>
      <c r="F5">
        <f t="shared" si="1"/>
        <v>0.98919096515192839</v>
      </c>
      <c r="G5">
        <f t="shared" si="2"/>
        <v>282593.74327636382</v>
      </c>
      <c r="H5">
        <f t="shared" si="3"/>
        <v>3340.2567236361792</v>
      </c>
      <c r="I5">
        <f t="shared" si="4"/>
        <v>3340.2567236361792</v>
      </c>
      <c r="J5">
        <f t="shared" si="5"/>
        <v>11157314.979796702</v>
      </c>
      <c r="K5" s="4">
        <f t="shared" si="6"/>
        <v>1.168191513998398E-2</v>
      </c>
      <c r="O5" s="26">
        <v>3</v>
      </c>
      <c r="P5" s="26">
        <f t="shared" si="7"/>
        <v>241524.78571428571</v>
      </c>
      <c r="Q5" s="26">
        <f t="shared" si="8"/>
        <v>234062.77844311378</v>
      </c>
      <c r="R5" s="26">
        <f t="shared" si="9"/>
        <v>1.0318803669716561</v>
      </c>
    </row>
    <row r="6" spans="1:18" x14ac:dyDescent="0.25">
      <c r="A6" s="1" t="s">
        <v>6</v>
      </c>
      <c r="B6" s="29">
        <v>5</v>
      </c>
      <c r="C6" s="28">
        <v>5</v>
      </c>
      <c r="D6" s="2">
        <v>281147</v>
      </c>
      <c r="E6">
        <f t="shared" si="0"/>
        <v>285036.45023034827</v>
      </c>
      <c r="F6">
        <f t="shared" si="1"/>
        <v>1.0295836693414431</v>
      </c>
      <c r="G6">
        <f t="shared" si="2"/>
        <v>293468.87432422157</v>
      </c>
      <c r="H6">
        <f t="shared" si="3"/>
        <v>-12321.874324221571</v>
      </c>
      <c r="I6">
        <f t="shared" si="4"/>
        <v>12321.874324221571</v>
      </c>
      <c r="J6">
        <f t="shared" si="5"/>
        <v>151828586.86191082</v>
      </c>
      <c r="K6" s="4">
        <f t="shared" si="6"/>
        <v>4.3827159187974869E-2</v>
      </c>
      <c r="O6" s="26">
        <v>4</v>
      </c>
      <c r="P6" s="26">
        <f t="shared" si="7"/>
        <v>231532.78571428571</v>
      </c>
      <c r="Q6" s="26">
        <f t="shared" si="8"/>
        <v>234062.77844311378</v>
      </c>
      <c r="R6" s="26">
        <f t="shared" si="9"/>
        <v>0.98919096515192839</v>
      </c>
    </row>
    <row r="7" spans="1:18" x14ac:dyDescent="0.25">
      <c r="A7" s="1" t="s">
        <v>7</v>
      </c>
      <c r="B7" s="28">
        <v>6</v>
      </c>
      <c r="C7" s="28">
        <v>6</v>
      </c>
      <c r="D7" s="2">
        <v>284093</v>
      </c>
      <c r="E7">
        <f t="shared" si="0"/>
        <v>284391.21387861116</v>
      </c>
      <c r="F7">
        <f t="shared" si="1"/>
        <v>1.0182564274283079</v>
      </c>
      <c r="G7">
        <f t="shared" si="2"/>
        <v>289583.18143603444</v>
      </c>
      <c r="H7">
        <f t="shared" si="3"/>
        <v>-5490.1814360344433</v>
      </c>
      <c r="I7">
        <f t="shared" si="4"/>
        <v>5490.1814360344433</v>
      </c>
      <c r="J7">
        <f t="shared" si="5"/>
        <v>30142092.200577222</v>
      </c>
      <c r="K7" s="4">
        <f t="shared" si="6"/>
        <v>1.9325296420659586E-2</v>
      </c>
      <c r="O7" s="26">
        <v>5</v>
      </c>
      <c r="P7" s="26">
        <f t="shared" si="7"/>
        <v>240987.21428571429</v>
      </c>
      <c r="Q7" s="26">
        <f t="shared" si="8"/>
        <v>234062.77844311378</v>
      </c>
      <c r="R7" s="26">
        <f t="shared" si="9"/>
        <v>1.0295836693414431</v>
      </c>
    </row>
    <row r="8" spans="1:18" x14ac:dyDescent="0.25">
      <c r="A8" s="1" t="s">
        <v>8</v>
      </c>
      <c r="B8" s="28">
        <v>7</v>
      </c>
      <c r="C8" s="28">
        <v>7</v>
      </c>
      <c r="D8" s="2">
        <v>287569</v>
      </c>
      <c r="E8">
        <f t="shared" si="0"/>
        <v>283745.97752687399</v>
      </c>
      <c r="F8">
        <f t="shared" si="1"/>
        <v>1.0446998825244065</v>
      </c>
      <c r="G8">
        <f t="shared" si="2"/>
        <v>296429.38938909816</v>
      </c>
      <c r="H8">
        <f t="shared" si="3"/>
        <v>-8860.3893890981562</v>
      </c>
      <c r="I8">
        <f t="shared" si="4"/>
        <v>8860.3893890981562</v>
      </c>
      <c r="J8">
        <f t="shared" si="5"/>
        <v>78506500.126443192</v>
      </c>
      <c r="K8" s="4">
        <f t="shared" si="6"/>
        <v>3.0811350976976504E-2</v>
      </c>
      <c r="O8" s="26">
        <v>6</v>
      </c>
      <c r="P8" s="26">
        <f t="shared" si="7"/>
        <v>238335.92857142858</v>
      </c>
      <c r="Q8" s="26">
        <f t="shared" si="8"/>
        <v>234062.77844311378</v>
      </c>
      <c r="R8" s="26">
        <f t="shared" si="9"/>
        <v>1.0182564274283079</v>
      </c>
    </row>
    <row r="9" spans="1:18" x14ac:dyDescent="0.25">
      <c r="A9" s="1" t="s">
        <v>9</v>
      </c>
      <c r="B9" s="28">
        <v>8</v>
      </c>
      <c r="C9" s="28">
        <v>8</v>
      </c>
      <c r="D9" s="2">
        <v>279111</v>
      </c>
      <c r="E9">
        <f t="shared" si="0"/>
        <v>283100.74117513682</v>
      </c>
      <c r="F9">
        <f t="shared" si="1"/>
        <v>1.0304540097136683</v>
      </c>
      <c r="G9">
        <f t="shared" si="2"/>
        <v>291722.29389683111</v>
      </c>
      <c r="H9">
        <f t="shared" si="3"/>
        <v>-12611.293896831106</v>
      </c>
      <c r="I9">
        <f t="shared" si="4"/>
        <v>12611.293896831106</v>
      </c>
      <c r="J9">
        <f t="shared" si="5"/>
        <v>159044733.75224951</v>
      </c>
      <c r="K9" s="4">
        <f t="shared" si="6"/>
        <v>4.5183793891430672E-2</v>
      </c>
      <c r="O9" s="26">
        <v>7</v>
      </c>
      <c r="P9" s="26">
        <f t="shared" si="7"/>
        <v>244525.35714285713</v>
      </c>
      <c r="Q9" s="26">
        <f t="shared" si="8"/>
        <v>234062.77844311378</v>
      </c>
      <c r="R9" s="26">
        <f t="shared" si="9"/>
        <v>1.0446998825244065</v>
      </c>
    </row>
    <row r="10" spans="1:18" x14ac:dyDescent="0.25">
      <c r="A10" s="1" t="s">
        <v>10</v>
      </c>
      <c r="B10" s="29">
        <v>9</v>
      </c>
      <c r="C10" s="28">
        <v>9</v>
      </c>
      <c r="D10" s="2">
        <v>289561</v>
      </c>
      <c r="E10">
        <f t="shared" si="0"/>
        <v>282455.50482339971</v>
      </c>
      <c r="F10">
        <f t="shared" si="1"/>
        <v>0.97834833071112637</v>
      </c>
      <c r="G10">
        <f t="shared" si="2"/>
        <v>276339.87164414162</v>
      </c>
      <c r="H10">
        <f t="shared" si="3"/>
        <v>13221.128355858382</v>
      </c>
      <c r="I10">
        <f t="shared" si="4"/>
        <v>13221.128355858382</v>
      </c>
      <c r="J10">
        <f t="shared" si="5"/>
        <v>174798235.00208256</v>
      </c>
      <c r="K10" s="4">
        <f t="shared" si="6"/>
        <v>4.5659216385695527E-2</v>
      </c>
      <c r="O10" s="26">
        <v>8</v>
      </c>
      <c r="P10" s="26">
        <f t="shared" si="7"/>
        <v>241190.92857142858</v>
      </c>
      <c r="Q10" s="26">
        <f t="shared" si="8"/>
        <v>234062.77844311378</v>
      </c>
      <c r="R10" s="26">
        <f t="shared" si="9"/>
        <v>1.0304540097136683</v>
      </c>
    </row>
    <row r="11" spans="1:18" x14ac:dyDescent="0.25">
      <c r="A11" s="1" t="s">
        <v>11</v>
      </c>
      <c r="B11" s="29">
        <v>10</v>
      </c>
      <c r="C11" s="28">
        <v>10</v>
      </c>
      <c r="D11" s="2">
        <v>272678</v>
      </c>
      <c r="E11">
        <f t="shared" si="0"/>
        <v>281810.26847166254</v>
      </c>
      <c r="F11">
        <f t="shared" si="1"/>
        <v>0.97341986051076168</v>
      </c>
      <c r="G11">
        <f t="shared" si="2"/>
        <v>274319.71222618606</v>
      </c>
      <c r="H11">
        <f t="shared" si="3"/>
        <v>-1641.7122261860641</v>
      </c>
      <c r="I11">
        <f t="shared" si="4"/>
        <v>1641.7122261860641</v>
      </c>
      <c r="J11">
        <f t="shared" si="5"/>
        <v>2695219.0336088026</v>
      </c>
      <c r="K11" s="4">
        <f t="shared" si="6"/>
        <v>6.020699235677481E-3</v>
      </c>
      <c r="O11" s="26">
        <v>9</v>
      </c>
      <c r="P11" s="26">
        <f t="shared" si="7"/>
        <v>228994.92857142858</v>
      </c>
      <c r="Q11" s="26">
        <f t="shared" si="8"/>
        <v>234062.77844311378</v>
      </c>
      <c r="R11" s="26">
        <f t="shared" si="9"/>
        <v>0.97834833071112637</v>
      </c>
    </row>
    <row r="12" spans="1:18" x14ac:dyDescent="0.25">
      <c r="A12" s="1" t="s">
        <v>12</v>
      </c>
      <c r="B12" s="28">
        <v>11</v>
      </c>
      <c r="C12" s="28">
        <v>11</v>
      </c>
      <c r="D12" s="2">
        <v>273248</v>
      </c>
      <c r="E12">
        <f t="shared" si="0"/>
        <v>281165.03211992542</v>
      </c>
      <c r="F12">
        <f t="shared" si="1"/>
        <v>0.95746351863048529</v>
      </c>
      <c r="G12">
        <f t="shared" si="2"/>
        <v>269205.2609693972</v>
      </c>
      <c r="H12">
        <f t="shared" si="3"/>
        <v>4042.7390306027955</v>
      </c>
      <c r="I12">
        <f t="shared" si="4"/>
        <v>4042.7390306027955</v>
      </c>
      <c r="J12">
        <f t="shared" si="5"/>
        <v>16343738.86955923</v>
      </c>
      <c r="K12" s="4">
        <f t="shared" si="6"/>
        <v>1.4795127615216929E-2</v>
      </c>
      <c r="O12" s="26">
        <v>10</v>
      </c>
      <c r="P12" s="26">
        <f t="shared" si="7"/>
        <v>227841.35714285713</v>
      </c>
      <c r="Q12" s="26">
        <f t="shared" si="8"/>
        <v>234062.77844311378</v>
      </c>
      <c r="R12" s="26">
        <f t="shared" si="9"/>
        <v>0.97341986051076168</v>
      </c>
    </row>
    <row r="13" spans="1:18" x14ac:dyDescent="0.25">
      <c r="A13" s="1" t="s">
        <v>13</v>
      </c>
      <c r="B13" s="28">
        <v>12</v>
      </c>
      <c r="C13" s="28">
        <v>12</v>
      </c>
      <c r="D13" s="2">
        <v>265615</v>
      </c>
      <c r="E13">
        <f t="shared" si="0"/>
        <v>280519.79576818825</v>
      </c>
      <c r="F13">
        <f t="shared" si="1"/>
        <v>1.0059999945842792</v>
      </c>
      <c r="G13">
        <f t="shared" si="2"/>
        <v>282202.91302358051</v>
      </c>
      <c r="H13">
        <f t="shared" si="3"/>
        <v>-16587.913023580506</v>
      </c>
      <c r="I13">
        <f t="shared" si="4"/>
        <v>16587.913023580506</v>
      </c>
      <c r="J13">
        <f t="shared" si="5"/>
        <v>275158858.47787178</v>
      </c>
      <c r="K13" s="4">
        <f t="shared" si="6"/>
        <v>6.2450964830979068E-2</v>
      </c>
      <c r="O13" s="26">
        <v>11</v>
      </c>
      <c r="P13" s="26">
        <f t="shared" si="7"/>
        <v>224106.57142857142</v>
      </c>
      <c r="Q13" s="26">
        <f t="shared" si="8"/>
        <v>234062.77844311378</v>
      </c>
      <c r="R13" s="26">
        <f t="shared" si="9"/>
        <v>0.95746351863048529</v>
      </c>
    </row>
    <row r="14" spans="1:18" x14ac:dyDescent="0.25">
      <c r="A14" s="1" t="s">
        <v>14</v>
      </c>
      <c r="B14" s="28">
        <v>13</v>
      </c>
      <c r="C14" s="28">
        <v>1</v>
      </c>
      <c r="D14" s="2">
        <v>274568</v>
      </c>
      <c r="E14">
        <f t="shared" si="0"/>
        <v>279874.55941645114</v>
      </c>
      <c r="F14">
        <f t="shared" si="1"/>
        <v>1.0400152419023756</v>
      </c>
      <c r="G14">
        <f t="shared" si="2"/>
        <v>291073.80761382123</v>
      </c>
      <c r="H14">
        <f t="shared" si="3"/>
        <v>-16505.807613821235</v>
      </c>
      <c r="I14">
        <f t="shared" si="4"/>
        <v>16505.807613821235</v>
      </c>
      <c r="J14">
        <f t="shared" si="5"/>
        <v>272441684.98447901</v>
      </c>
      <c r="K14" s="4">
        <f t="shared" si="6"/>
        <v>6.011555466704508E-2</v>
      </c>
      <c r="O14" s="26">
        <v>12</v>
      </c>
      <c r="P14" s="26">
        <f t="shared" si="7"/>
        <v>235467.15384615384</v>
      </c>
      <c r="Q14" s="26">
        <f t="shared" si="8"/>
        <v>234062.77844311378</v>
      </c>
      <c r="R14" s="26">
        <f t="shared" si="9"/>
        <v>1.0059999945842792</v>
      </c>
    </row>
    <row r="15" spans="1:18" x14ac:dyDescent="0.25">
      <c r="A15" s="1" t="s">
        <v>15</v>
      </c>
      <c r="B15" s="29">
        <v>14</v>
      </c>
      <c r="C15" s="28">
        <v>2</v>
      </c>
      <c r="D15" s="2">
        <v>253150</v>
      </c>
      <c r="E15">
        <f t="shared" si="0"/>
        <v>279229.32306471397</v>
      </c>
      <c r="F15">
        <f t="shared" si="1"/>
        <v>0.90111630357129513</v>
      </c>
      <c r="G15">
        <f t="shared" si="2"/>
        <v>251618.09544879003</v>
      </c>
      <c r="H15">
        <f t="shared" si="3"/>
        <v>1531.9045512099692</v>
      </c>
      <c r="I15">
        <f t="shared" si="4"/>
        <v>1531.9045512099692</v>
      </c>
      <c r="J15">
        <f t="shared" si="5"/>
        <v>2346731.5540178171</v>
      </c>
      <c r="K15" s="4">
        <f t="shared" si="6"/>
        <v>6.0513709311079168E-3</v>
      </c>
    </row>
    <row r="16" spans="1:18" x14ac:dyDescent="0.25">
      <c r="A16" s="1" t="s">
        <v>16</v>
      </c>
      <c r="B16" s="29">
        <v>15</v>
      </c>
      <c r="C16" s="28">
        <v>3</v>
      </c>
      <c r="D16" s="2">
        <v>299033</v>
      </c>
      <c r="E16">
        <f t="shared" si="0"/>
        <v>278584.0867129768</v>
      </c>
      <c r="F16">
        <f t="shared" si="1"/>
        <v>1.0318803669716561</v>
      </c>
      <c r="G16">
        <f t="shared" si="2"/>
        <v>287465.44962985016</v>
      </c>
      <c r="H16">
        <f t="shared" si="3"/>
        <v>11567.550370149838</v>
      </c>
      <c r="I16">
        <f t="shared" si="4"/>
        <v>11567.550370149838</v>
      </c>
      <c r="J16">
        <f t="shared" si="5"/>
        <v>133808221.56595366</v>
      </c>
      <c r="K16" s="4">
        <f t="shared" si="6"/>
        <v>3.8683190049759855E-2</v>
      </c>
    </row>
    <row r="17" spans="1:14" x14ac:dyDescent="0.25">
      <c r="A17" s="1" t="s">
        <v>17</v>
      </c>
      <c r="B17" s="28">
        <v>16</v>
      </c>
      <c r="C17" s="28">
        <v>4</v>
      </c>
      <c r="D17" s="2">
        <v>302836</v>
      </c>
      <c r="E17">
        <f t="shared" si="0"/>
        <v>277938.85036123969</v>
      </c>
      <c r="F17">
        <f t="shared" si="1"/>
        <v>0.98919096515192839</v>
      </c>
      <c r="G17">
        <f t="shared" si="2"/>
        <v>274934.59964205208</v>
      </c>
      <c r="H17">
        <f t="shared" si="3"/>
        <v>27901.400357947918</v>
      </c>
      <c r="I17">
        <f t="shared" si="4"/>
        <v>27901.400357947918</v>
      </c>
      <c r="J17">
        <f t="shared" si="5"/>
        <v>778488141.93449616</v>
      </c>
      <c r="K17" s="4">
        <f t="shared" si="6"/>
        <v>9.2133697307941978E-2</v>
      </c>
    </row>
    <row r="18" spans="1:14" x14ac:dyDescent="0.25">
      <c r="A18" s="1" t="s">
        <v>18</v>
      </c>
      <c r="B18" s="28">
        <v>17</v>
      </c>
      <c r="C18" s="28">
        <v>5</v>
      </c>
      <c r="D18" s="2">
        <v>310396</v>
      </c>
      <c r="E18">
        <f t="shared" si="0"/>
        <v>277293.61400950252</v>
      </c>
      <c r="F18">
        <f t="shared" si="1"/>
        <v>1.0295836693414431</v>
      </c>
      <c r="G18">
        <f t="shared" si="2"/>
        <v>285496.9765968534</v>
      </c>
      <c r="H18">
        <f t="shared" si="3"/>
        <v>24899.023403146595</v>
      </c>
      <c r="I18">
        <f t="shared" si="4"/>
        <v>24899.023403146595</v>
      </c>
      <c r="J18">
        <f t="shared" si="5"/>
        <v>619961366.43044186</v>
      </c>
      <c r="K18" s="4">
        <f t="shared" si="6"/>
        <v>8.0216959635905735E-2</v>
      </c>
      <c r="M18" s="26" t="s">
        <v>174</v>
      </c>
      <c r="N18" s="26"/>
    </row>
    <row r="19" spans="1:14" x14ac:dyDescent="0.25">
      <c r="A19" s="1" t="s">
        <v>19</v>
      </c>
      <c r="B19" s="28">
        <v>18</v>
      </c>
      <c r="C19" s="28">
        <v>6</v>
      </c>
      <c r="D19" s="2">
        <v>310153</v>
      </c>
      <c r="E19">
        <f t="shared" si="0"/>
        <v>276648.37765776541</v>
      </c>
      <c r="F19">
        <f t="shared" si="1"/>
        <v>1.0182564274283079</v>
      </c>
      <c r="G19">
        <f t="shared" si="2"/>
        <v>281698.98868763354</v>
      </c>
      <c r="H19">
        <f t="shared" si="3"/>
        <v>28454.011312366463</v>
      </c>
      <c r="I19">
        <f t="shared" si="4"/>
        <v>28454.011312366463</v>
      </c>
      <c r="J19">
        <f t="shared" si="5"/>
        <v>809630759.76427865</v>
      </c>
      <c r="K19" s="4">
        <f t="shared" si="6"/>
        <v>9.1741854221517968E-2</v>
      </c>
      <c r="M19" s="26" t="s">
        <v>175</v>
      </c>
      <c r="N19" s="26">
        <f>AVERAGE(I2:I168)</f>
        <v>14457.792828581645</v>
      </c>
    </row>
    <row r="20" spans="1:14" x14ac:dyDescent="0.25">
      <c r="A20" s="1" t="s">
        <v>20</v>
      </c>
      <c r="B20" s="29">
        <v>19</v>
      </c>
      <c r="C20" s="28">
        <v>7</v>
      </c>
      <c r="D20" s="2">
        <v>318991</v>
      </c>
      <c r="E20">
        <f t="shared" si="0"/>
        <v>276003.14130602824</v>
      </c>
      <c r="F20">
        <f t="shared" si="1"/>
        <v>1.0446998825244065</v>
      </c>
      <c r="G20">
        <f t="shared" si="2"/>
        <v>288340.44929877488</v>
      </c>
      <c r="H20">
        <f t="shared" si="3"/>
        <v>30650.550701225118</v>
      </c>
      <c r="I20">
        <f t="shared" si="4"/>
        <v>30650.550701225118</v>
      </c>
      <c r="J20">
        <f t="shared" si="5"/>
        <v>939456258.28837156</v>
      </c>
      <c r="K20" s="4">
        <f t="shared" si="6"/>
        <v>9.6085941926966956E-2</v>
      </c>
      <c r="M20" s="26" t="s">
        <v>176</v>
      </c>
      <c r="N20" s="26">
        <f>AVERAGE(J2:J168)</f>
        <v>289353722.48062128</v>
      </c>
    </row>
    <row r="21" spans="1:14" x14ac:dyDescent="0.25">
      <c r="A21" s="1" t="s">
        <v>21</v>
      </c>
      <c r="B21" s="29">
        <v>20</v>
      </c>
      <c r="C21" s="28">
        <v>8</v>
      </c>
      <c r="D21" s="2">
        <v>309053</v>
      </c>
      <c r="E21">
        <f t="shared" si="0"/>
        <v>275357.90495429112</v>
      </c>
      <c r="F21">
        <f t="shared" si="1"/>
        <v>1.0304540097136683</v>
      </c>
      <c r="G21">
        <f t="shared" si="2"/>
        <v>283743.65726650448</v>
      </c>
      <c r="H21">
        <f t="shared" si="3"/>
        <v>25309.342733495519</v>
      </c>
      <c r="I21">
        <f t="shared" si="4"/>
        <v>25309.342733495519</v>
      </c>
      <c r="J21">
        <f t="shared" si="5"/>
        <v>640562829.60154247</v>
      </c>
      <c r="K21" s="4">
        <f t="shared" si="6"/>
        <v>8.1893211628735266E-2</v>
      </c>
      <c r="M21" s="26" t="s">
        <v>177</v>
      </c>
      <c r="N21" s="31">
        <f>AVERAGE(K2:K168)</f>
        <v>6.3612903916517388E-2</v>
      </c>
    </row>
    <row r="22" spans="1:14" x14ac:dyDescent="0.25">
      <c r="A22" s="1" t="s">
        <v>22</v>
      </c>
      <c r="B22" s="28">
        <v>21</v>
      </c>
      <c r="C22" s="28">
        <v>9</v>
      </c>
      <c r="D22" s="2">
        <v>284192</v>
      </c>
      <c r="E22">
        <f t="shared" si="0"/>
        <v>274712.66860255395</v>
      </c>
      <c r="F22">
        <f t="shared" si="1"/>
        <v>0.97834833071112637</v>
      </c>
      <c r="G22">
        <f t="shared" si="2"/>
        <v>268764.68075250753</v>
      </c>
      <c r="H22">
        <f t="shared" si="3"/>
        <v>15427.319247492473</v>
      </c>
      <c r="I22">
        <f t="shared" si="4"/>
        <v>15427.319247492473</v>
      </c>
      <c r="J22">
        <f t="shared" si="5"/>
        <v>238002179.16405171</v>
      </c>
      <c r="K22" s="4">
        <f t="shared" si="6"/>
        <v>5.4284847031205917E-2</v>
      </c>
      <c r="M22" s="26" t="s">
        <v>178</v>
      </c>
      <c r="N22" s="32">
        <f>100%-N21</f>
        <v>0.93638709608348258</v>
      </c>
    </row>
    <row r="23" spans="1:14" x14ac:dyDescent="0.25">
      <c r="A23" s="1" t="s">
        <v>23</v>
      </c>
      <c r="B23" s="28">
        <v>22</v>
      </c>
      <c r="C23" s="28">
        <v>10</v>
      </c>
      <c r="D23" s="2">
        <v>272415</v>
      </c>
      <c r="E23">
        <f t="shared" si="0"/>
        <v>274067.43225081684</v>
      </c>
      <c r="F23">
        <f t="shared" si="1"/>
        <v>0.97341986051076168</v>
      </c>
      <c r="G23">
        <f t="shared" si="2"/>
        <v>266782.68167213275</v>
      </c>
      <c r="H23">
        <f t="shared" si="3"/>
        <v>5632.3183278672514</v>
      </c>
      <c r="I23">
        <f t="shared" si="4"/>
        <v>5632.3183278672514</v>
      </c>
      <c r="J23">
        <f t="shared" si="5"/>
        <v>31723009.74642935</v>
      </c>
      <c r="K23" s="4">
        <f t="shared" si="6"/>
        <v>2.067550732473341E-2</v>
      </c>
    </row>
    <row r="24" spans="1:14" x14ac:dyDescent="0.25">
      <c r="A24" s="1" t="s">
        <v>24</v>
      </c>
      <c r="B24" s="28">
        <v>23</v>
      </c>
      <c r="C24" s="28">
        <v>11</v>
      </c>
      <c r="D24" s="2">
        <v>271185</v>
      </c>
      <c r="E24">
        <f t="shared" si="0"/>
        <v>273422.19589907967</v>
      </c>
      <c r="F24">
        <f t="shared" si="1"/>
        <v>0.95746351863048529</v>
      </c>
      <c r="G24">
        <f t="shared" si="2"/>
        <v>261791.77775720667</v>
      </c>
      <c r="H24">
        <f t="shared" si="3"/>
        <v>9393.2222427933302</v>
      </c>
      <c r="I24">
        <f t="shared" si="4"/>
        <v>9393.2222427933302</v>
      </c>
      <c r="J24">
        <f t="shared" si="5"/>
        <v>88232624.102507368</v>
      </c>
      <c r="K24" s="4">
        <f t="shared" si="6"/>
        <v>3.4637691033034018E-2</v>
      </c>
    </row>
    <row r="25" spans="1:14" x14ac:dyDescent="0.25">
      <c r="A25" s="1" t="s">
        <v>25</v>
      </c>
      <c r="B25" s="29">
        <v>24</v>
      </c>
      <c r="C25" s="28">
        <v>12</v>
      </c>
      <c r="D25" s="2">
        <v>279096</v>
      </c>
      <c r="E25">
        <f t="shared" si="0"/>
        <v>272776.9595473425</v>
      </c>
      <c r="F25">
        <f t="shared" si="1"/>
        <v>1.0059999945842792</v>
      </c>
      <c r="G25">
        <f t="shared" si="2"/>
        <v>274413.61982734269</v>
      </c>
      <c r="H25">
        <f t="shared" si="3"/>
        <v>4682.3801726573147</v>
      </c>
      <c r="I25">
        <f t="shared" si="4"/>
        <v>4682.3801726573147</v>
      </c>
      <c r="J25">
        <f t="shared" si="5"/>
        <v>21924684.081294343</v>
      </c>
      <c r="K25" s="4">
        <f t="shared" si="6"/>
        <v>1.6776951918541703E-2</v>
      </c>
    </row>
    <row r="26" spans="1:14" x14ac:dyDescent="0.25">
      <c r="A26" s="1" t="s">
        <v>26</v>
      </c>
      <c r="B26" s="29">
        <v>25</v>
      </c>
      <c r="C26" s="28">
        <v>1</v>
      </c>
      <c r="D26" s="2">
        <v>296158</v>
      </c>
      <c r="E26">
        <f t="shared" si="0"/>
        <v>272131.72319560539</v>
      </c>
      <c r="F26">
        <f t="shared" si="1"/>
        <v>1.0400152419023756</v>
      </c>
      <c r="G26">
        <f t="shared" si="2"/>
        <v>283021.13992858783</v>
      </c>
      <c r="H26">
        <f t="shared" si="3"/>
        <v>13136.860071412171</v>
      </c>
      <c r="I26">
        <f t="shared" si="4"/>
        <v>13136.860071412171</v>
      </c>
      <c r="J26">
        <f t="shared" si="5"/>
        <v>172577092.5358634</v>
      </c>
      <c r="K26" s="4">
        <f t="shared" si="6"/>
        <v>4.4357606653921793E-2</v>
      </c>
    </row>
    <row r="27" spans="1:14" x14ac:dyDescent="0.25">
      <c r="A27" s="1" t="s">
        <v>27</v>
      </c>
      <c r="B27" s="28">
        <v>26</v>
      </c>
      <c r="C27" s="28">
        <v>2</v>
      </c>
      <c r="D27" s="2">
        <v>235122</v>
      </c>
      <c r="E27">
        <f t="shared" si="0"/>
        <v>271486.48684386822</v>
      </c>
      <c r="F27">
        <f t="shared" si="1"/>
        <v>0.90111630357129513</v>
      </c>
      <c r="G27">
        <f t="shared" si="2"/>
        <v>244640.89949430357</v>
      </c>
      <c r="H27">
        <f t="shared" si="3"/>
        <v>-9518.899494303565</v>
      </c>
      <c r="I27">
        <f t="shared" si="4"/>
        <v>9518.899494303565</v>
      </c>
      <c r="J27">
        <f t="shared" si="5"/>
        <v>90609447.582652658</v>
      </c>
      <c r="K27" s="4">
        <f t="shared" si="6"/>
        <v>4.0484937582631844E-2</v>
      </c>
    </row>
    <row r="28" spans="1:14" x14ac:dyDescent="0.25">
      <c r="A28" s="1" t="s">
        <v>28</v>
      </c>
      <c r="B28" s="28">
        <v>27</v>
      </c>
      <c r="C28" s="28">
        <v>3</v>
      </c>
      <c r="D28" s="2">
        <v>292010</v>
      </c>
      <c r="E28">
        <f t="shared" si="0"/>
        <v>270841.2504921311</v>
      </c>
      <c r="F28">
        <f t="shared" si="1"/>
        <v>1.0318803669716561</v>
      </c>
      <c r="G28">
        <f t="shared" si="2"/>
        <v>279475.76894888247</v>
      </c>
      <c r="H28">
        <f t="shared" si="3"/>
        <v>12534.231051117531</v>
      </c>
      <c r="I28">
        <f t="shared" si="4"/>
        <v>12534.231051117531</v>
      </c>
      <c r="J28">
        <f t="shared" si="5"/>
        <v>157106948.04279888</v>
      </c>
      <c r="K28" s="4">
        <f t="shared" si="6"/>
        <v>4.2923978805922851E-2</v>
      </c>
    </row>
    <row r="29" spans="1:14" x14ac:dyDescent="0.25">
      <c r="A29" s="1" t="s">
        <v>29</v>
      </c>
      <c r="B29" s="28">
        <v>28</v>
      </c>
      <c r="C29" s="28">
        <v>4</v>
      </c>
      <c r="D29" s="2">
        <v>265822</v>
      </c>
      <c r="E29">
        <f t="shared" si="0"/>
        <v>270196.01414039393</v>
      </c>
      <c r="F29">
        <f t="shared" si="1"/>
        <v>0.98919096515192839</v>
      </c>
      <c r="G29">
        <f t="shared" si="2"/>
        <v>267275.45600774034</v>
      </c>
      <c r="H29">
        <f t="shared" si="3"/>
        <v>-1453.4560077403439</v>
      </c>
      <c r="I29">
        <f t="shared" si="4"/>
        <v>1453.4560077403439</v>
      </c>
      <c r="J29">
        <f t="shared" si="5"/>
        <v>2112534.3664364987</v>
      </c>
      <c r="K29" s="4">
        <f t="shared" si="6"/>
        <v>5.467779219704704E-3</v>
      </c>
    </row>
    <row r="30" spans="1:14" x14ac:dyDescent="0.25">
      <c r="A30" s="1" t="s">
        <v>30</v>
      </c>
      <c r="B30" s="29">
        <v>29</v>
      </c>
      <c r="C30" s="28">
        <v>5</v>
      </c>
      <c r="D30" s="2">
        <v>289106</v>
      </c>
      <c r="E30">
        <f t="shared" si="0"/>
        <v>269550.77778865682</v>
      </c>
      <c r="F30">
        <f t="shared" si="1"/>
        <v>1.0295836693414431</v>
      </c>
      <c r="G30">
        <f t="shared" si="2"/>
        <v>277525.07886948524</v>
      </c>
      <c r="H30">
        <f t="shared" si="3"/>
        <v>11580.921130514762</v>
      </c>
      <c r="I30">
        <f t="shared" si="4"/>
        <v>11580.921130514762</v>
      </c>
      <c r="J30">
        <f t="shared" si="5"/>
        <v>134117734.23120332</v>
      </c>
      <c r="K30" s="4">
        <f t="shared" si="6"/>
        <v>4.0057699011832204E-2</v>
      </c>
    </row>
    <row r="31" spans="1:14" x14ac:dyDescent="0.25">
      <c r="A31" s="1" t="s">
        <v>31</v>
      </c>
      <c r="B31" s="29">
        <v>30</v>
      </c>
      <c r="C31" s="28">
        <v>6</v>
      </c>
      <c r="D31" s="2">
        <v>285572</v>
      </c>
      <c r="E31">
        <f t="shared" si="0"/>
        <v>268905.54143691965</v>
      </c>
      <c r="F31">
        <f t="shared" si="1"/>
        <v>1.0182564274283079</v>
      </c>
      <c r="G31">
        <f t="shared" si="2"/>
        <v>273814.79593923263</v>
      </c>
      <c r="H31">
        <f t="shared" si="3"/>
        <v>11757.20406076737</v>
      </c>
      <c r="I31">
        <f t="shared" si="4"/>
        <v>11757.20406076737</v>
      </c>
      <c r="J31">
        <f t="shared" si="5"/>
        <v>138231847.32652473</v>
      </c>
      <c r="K31" s="4">
        <f t="shared" si="6"/>
        <v>4.1170717229866267E-2</v>
      </c>
    </row>
    <row r="32" spans="1:14" x14ac:dyDescent="0.25">
      <c r="A32" s="1" t="s">
        <v>32</v>
      </c>
      <c r="B32" s="28">
        <v>31</v>
      </c>
      <c r="C32" s="28">
        <v>7</v>
      </c>
      <c r="D32" s="2">
        <v>295338</v>
      </c>
      <c r="E32">
        <f t="shared" si="0"/>
        <v>268260.30508518248</v>
      </c>
      <c r="F32">
        <f t="shared" si="1"/>
        <v>1.0446998825244065</v>
      </c>
      <c r="G32">
        <f t="shared" si="2"/>
        <v>280251.50920845161</v>
      </c>
      <c r="H32">
        <f t="shared" si="3"/>
        <v>15086.490791548393</v>
      </c>
      <c r="I32">
        <f t="shared" si="4"/>
        <v>15086.490791548393</v>
      </c>
      <c r="J32">
        <f t="shared" si="5"/>
        <v>227602204.40347445</v>
      </c>
      <c r="K32" s="4">
        <f t="shared" si="6"/>
        <v>5.108211876408858E-2</v>
      </c>
    </row>
    <row r="33" spans="1:11" x14ac:dyDescent="0.25">
      <c r="A33" s="1" t="s">
        <v>33</v>
      </c>
      <c r="B33" s="28">
        <v>32</v>
      </c>
      <c r="C33" s="28">
        <v>8</v>
      </c>
      <c r="D33" s="2">
        <v>287633</v>
      </c>
      <c r="E33">
        <f t="shared" si="0"/>
        <v>267615.06873344537</v>
      </c>
      <c r="F33">
        <f t="shared" si="1"/>
        <v>1.0304540097136683</v>
      </c>
      <c r="G33">
        <f t="shared" si="2"/>
        <v>275765.02063617774</v>
      </c>
      <c r="H33">
        <f t="shared" si="3"/>
        <v>11867.979363822262</v>
      </c>
      <c r="I33">
        <f t="shared" si="4"/>
        <v>11867.979363822262</v>
      </c>
      <c r="J33">
        <f t="shared" si="5"/>
        <v>140848934.18011105</v>
      </c>
      <c r="K33" s="4">
        <f t="shared" si="6"/>
        <v>4.1260840598339767E-2</v>
      </c>
    </row>
    <row r="34" spans="1:11" x14ac:dyDescent="0.25">
      <c r="A34" s="1" t="s">
        <v>34</v>
      </c>
      <c r="B34" s="28">
        <v>33</v>
      </c>
      <c r="C34" s="28">
        <v>9</v>
      </c>
      <c r="D34" s="2">
        <v>273698</v>
      </c>
      <c r="E34">
        <f t="shared" ref="E34:E65" si="10">_xlfn.FORECAST.LINEAR(B34,$D$2:$D$168,$B$2:$B$168)</f>
        <v>266969.8323817082</v>
      </c>
      <c r="F34">
        <f t="shared" si="1"/>
        <v>0.97834833071112637</v>
      </c>
      <c r="G34">
        <f t="shared" si="2"/>
        <v>261189.48986087344</v>
      </c>
      <c r="H34">
        <f t="shared" si="3"/>
        <v>12508.510139126563</v>
      </c>
      <c r="I34">
        <f t="shared" si="4"/>
        <v>12508.510139126563</v>
      </c>
      <c r="J34">
        <f t="shared" si="5"/>
        <v>156462825.90063205</v>
      </c>
      <c r="K34" s="4">
        <f t="shared" si="6"/>
        <v>4.5701868991101735E-2</v>
      </c>
    </row>
    <row r="35" spans="1:11" x14ac:dyDescent="0.25">
      <c r="A35" s="1" t="s">
        <v>35</v>
      </c>
      <c r="B35" s="29">
        <v>34</v>
      </c>
      <c r="C35" s="28">
        <v>10</v>
      </c>
      <c r="D35" s="2">
        <v>284594</v>
      </c>
      <c r="E35">
        <f t="shared" si="10"/>
        <v>266324.59602997109</v>
      </c>
      <c r="F35">
        <f t="shared" si="1"/>
        <v>0.97341986051076168</v>
      </c>
      <c r="G35">
        <f t="shared" si="2"/>
        <v>259245.6511180794</v>
      </c>
      <c r="H35">
        <f t="shared" si="3"/>
        <v>25348.348881920596</v>
      </c>
      <c r="I35">
        <f t="shared" si="4"/>
        <v>25348.348881920596</v>
      </c>
      <c r="J35">
        <f t="shared" si="5"/>
        <v>642538791.03956509</v>
      </c>
      <c r="K35" s="4">
        <f t="shared" si="6"/>
        <v>8.9068458512549797E-2</v>
      </c>
    </row>
    <row r="36" spans="1:11" x14ac:dyDescent="0.25">
      <c r="A36" s="1" t="s">
        <v>36</v>
      </c>
      <c r="B36" s="29">
        <v>35</v>
      </c>
      <c r="C36" s="28">
        <v>11</v>
      </c>
      <c r="D36" s="2">
        <v>268189</v>
      </c>
      <c r="E36">
        <f t="shared" si="10"/>
        <v>265679.35967823392</v>
      </c>
      <c r="F36">
        <f t="shared" si="1"/>
        <v>0.95746351863048529</v>
      </c>
      <c r="G36">
        <f t="shared" si="2"/>
        <v>254378.29454501611</v>
      </c>
      <c r="H36">
        <f t="shared" si="3"/>
        <v>13810.705454983894</v>
      </c>
      <c r="I36">
        <f t="shared" si="4"/>
        <v>13810.705454983894</v>
      </c>
      <c r="J36">
        <f t="shared" si="5"/>
        <v>190735585.1643219</v>
      </c>
      <c r="K36" s="4">
        <f t="shared" si="6"/>
        <v>5.149616671445844E-2</v>
      </c>
    </row>
    <row r="37" spans="1:11" x14ac:dyDescent="0.25">
      <c r="A37" s="1" t="s">
        <v>37</v>
      </c>
      <c r="B37" s="28">
        <v>36</v>
      </c>
      <c r="C37" s="28">
        <v>12</v>
      </c>
      <c r="D37" s="2">
        <v>279359</v>
      </c>
      <c r="E37">
        <f t="shared" si="10"/>
        <v>265034.1233264968</v>
      </c>
      <c r="F37">
        <f t="shared" si="1"/>
        <v>1.0059999945842792</v>
      </c>
      <c r="G37">
        <f t="shared" si="2"/>
        <v>266624.32663110498</v>
      </c>
      <c r="H37">
        <f t="shared" si="3"/>
        <v>12734.673368895019</v>
      </c>
      <c r="I37">
        <f t="shared" si="4"/>
        <v>12734.673368895019</v>
      </c>
      <c r="J37">
        <f t="shared" si="5"/>
        <v>162171905.812444</v>
      </c>
      <c r="K37" s="4">
        <f t="shared" si="6"/>
        <v>4.5585334171782614E-2</v>
      </c>
    </row>
    <row r="38" spans="1:11" x14ac:dyDescent="0.25">
      <c r="A38" s="1" t="s">
        <v>38</v>
      </c>
      <c r="B38" s="28">
        <v>37</v>
      </c>
      <c r="C38" s="28">
        <v>1</v>
      </c>
      <c r="D38" s="2">
        <v>257536</v>
      </c>
      <c r="E38">
        <f t="shared" si="10"/>
        <v>264388.88697475963</v>
      </c>
      <c r="F38">
        <f t="shared" si="1"/>
        <v>1.0400152419023756</v>
      </c>
      <c r="G38">
        <f t="shared" si="2"/>
        <v>274968.47224335448</v>
      </c>
      <c r="H38">
        <f t="shared" si="3"/>
        <v>-17432.472243354481</v>
      </c>
      <c r="I38">
        <f t="shared" si="4"/>
        <v>17432.472243354481</v>
      </c>
      <c r="J38">
        <f t="shared" si="5"/>
        <v>303891088.51532441</v>
      </c>
      <c r="K38" s="4">
        <f t="shared" si="6"/>
        <v>6.7689457952886126E-2</v>
      </c>
    </row>
    <row r="39" spans="1:11" x14ac:dyDescent="0.25">
      <c r="A39" s="1" t="s">
        <v>39</v>
      </c>
      <c r="B39" s="28">
        <v>38</v>
      </c>
      <c r="C39" s="28">
        <v>2</v>
      </c>
      <c r="D39" s="2">
        <v>242560</v>
      </c>
      <c r="E39">
        <f t="shared" si="10"/>
        <v>263743.65062302246</v>
      </c>
      <c r="F39">
        <f t="shared" si="1"/>
        <v>0.90111630357129513</v>
      </c>
      <c r="G39">
        <f t="shared" si="2"/>
        <v>237663.7035398171</v>
      </c>
      <c r="H39">
        <f t="shared" si="3"/>
        <v>4896.2964601829008</v>
      </c>
      <c r="I39">
        <f t="shared" si="4"/>
        <v>4896.2964601829008</v>
      </c>
      <c r="J39">
        <f t="shared" si="5"/>
        <v>23973719.025999606</v>
      </c>
      <c r="K39" s="4">
        <f t="shared" si="6"/>
        <v>2.0185918783735574E-2</v>
      </c>
    </row>
    <row r="40" spans="1:11" x14ac:dyDescent="0.25">
      <c r="A40" s="1" t="s">
        <v>40</v>
      </c>
      <c r="B40" s="29">
        <v>39</v>
      </c>
      <c r="C40" s="28">
        <v>3</v>
      </c>
      <c r="D40" s="2">
        <v>271697</v>
      </c>
      <c r="E40">
        <f t="shared" si="10"/>
        <v>263098.41427128535</v>
      </c>
      <c r="F40">
        <f t="shared" si="1"/>
        <v>1.0318803669716561</v>
      </c>
      <c r="G40">
        <f t="shared" si="2"/>
        <v>271486.08826791472</v>
      </c>
      <c r="H40">
        <f t="shared" si="3"/>
        <v>210.91173208528198</v>
      </c>
      <c r="I40">
        <f t="shared" si="4"/>
        <v>210.91173208528198</v>
      </c>
      <c r="J40">
        <f t="shared" si="5"/>
        <v>44483.758731213762</v>
      </c>
      <c r="K40" s="4">
        <f t="shared" si="6"/>
        <v>7.7627552783167267E-4</v>
      </c>
    </row>
    <row r="41" spans="1:11" x14ac:dyDescent="0.25">
      <c r="A41" s="1" t="s">
        <v>41</v>
      </c>
      <c r="B41" s="29">
        <v>40</v>
      </c>
      <c r="C41" s="28">
        <v>4</v>
      </c>
      <c r="D41" s="2">
        <v>258417</v>
      </c>
      <c r="E41">
        <f t="shared" si="10"/>
        <v>262453.17791954818</v>
      </c>
      <c r="F41">
        <f t="shared" si="1"/>
        <v>0.98919096515192839</v>
      </c>
      <c r="G41">
        <f t="shared" si="2"/>
        <v>259616.31237342863</v>
      </c>
      <c r="H41">
        <f t="shared" si="3"/>
        <v>-1199.3123734286346</v>
      </c>
      <c r="I41">
        <f t="shared" si="4"/>
        <v>1199.3123734286346</v>
      </c>
      <c r="J41">
        <f t="shared" si="5"/>
        <v>1438350.1690590247</v>
      </c>
      <c r="K41" s="4">
        <f t="shared" si="6"/>
        <v>4.6409964260425386E-3</v>
      </c>
    </row>
    <row r="42" spans="1:11" x14ac:dyDescent="0.25">
      <c r="A42" s="1" t="s">
        <v>42</v>
      </c>
      <c r="B42" s="28">
        <v>41</v>
      </c>
      <c r="C42" s="28">
        <v>5</v>
      </c>
      <c r="D42" s="2">
        <v>272766</v>
      </c>
      <c r="E42">
        <f t="shared" si="10"/>
        <v>261807.94156781107</v>
      </c>
      <c r="F42">
        <f t="shared" si="1"/>
        <v>1.0295836693414431</v>
      </c>
      <c r="G42">
        <f t="shared" si="2"/>
        <v>269553.18114211701</v>
      </c>
      <c r="H42">
        <f t="shared" si="3"/>
        <v>3212.8188578829868</v>
      </c>
      <c r="I42">
        <f t="shared" si="4"/>
        <v>3212.8188578829868</v>
      </c>
      <c r="J42">
        <f t="shared" si="5"/>
        <v>10322205.013568539</v>
      </c>
      <c r="K42" s="4">
        <f t="shared" si="6"/>
        <v>1.1778663242057246E-2</v>
      </c>
    </row>
    <row r="43" spans="1:11" x14ac:dyDescent="0.25">
      <c r="A43" s="1" t="s">
        <v>43</v>
      </c>
      <c r="B43" s="28">
        <v>42</v>
      </c>
      <c r="C43" s="28">
        <v>6</v>
      </c>
      <c r="D43" s="2">
        <v>270684</v>
      </c>
      <c r="E43">
        <f t="shared" si="10"/>
        <v>261162.7052160739</v>
      </c>
      <c r="F43">
        <f t="shared" si="1"/>
        <v>1.0182564274283079</v>
      </c>
      <c r="G43">
        <f t="shared" si="2"/>
        <v>265930.60319083172</v>
      </c>
      <c r="H43">
        <f t="shared" si="3"/>
        <v>4753.3968091682764</v>
      </c>
      <c r="I43">
        <f t="shared" si="4"/>
        <v>4753.3968091682764</v>
      </c>
      <c r="J43">
        <f t="shared" si="5"/>
        <v>22594781.225411151</v>
      </c>
      <c r="K43" s="4">
        <f t="shared" si="6"/>
        <v>1.7560686295341712E-2</v>
      </c>
    </row>
    <row r="44" spans="1:11" x14ac:dyDescent="0.25">
      <c r="A44" s="1" t="s">
        <v>44</v>
      </c>
      <c r="B44" s="28">
        <v>43</v>
      </c>
      <c r="C44" s="28">
        <v>7</v>
      </c>
      <c r="D44" s="2">
        <v>266782</v>
      </c>
      <c r="E44">
        <f t="shared" si="10"/>
        <v>260517.46886433676</v>
      </c>
      <c r="F44">
        <f t="shared" si="1"/>
        <v>1.0446998825244065</v>
      </c>
      <c r="G44">
        <f t="shared" si="2"/>
        <v>272162.56911812833</v>
      </c>
      <c r="H44">
        <f t="shared" si="3"/>
        <v>-5380.5691181283328</v>
      </c>
      <c r="I44">
        <f t="shared" si="4"/>
        <v>5380.5691181283328</v>
      </c>
      <c r="J44">
        <f t="shared" si="5"/>
        <v>28950524.034956306</v>
      </c>
      <c r="K44" s="4">
        <f t="shared" si="6"/>
        <v>2.0168411355070179E-2</v>
      </c>
    </row>
    <row r="45" spans="1:11" x14ac:dyDescent="0.25">
      <c r="A45" s="1" t="s">
        <v>45</v>
      </c>
      <c r="B45" s="29">
        <v>44</v>
      </c>
      <c r="C45" s="28">
        <v>8</v>
      </c>
      <c r="D45" s="2">
        <v>263945</v>
      </c>
      <c r="E45">
        <f t="shared" si="10"/>
        <v>259872.23251259961</v>
      </c>
      <c r="F45">
        <f t="shared" si="1"/>
        <v>1.0304540097136683</v>
      </c>
      <c r="G45">
        <f t="shared" si="2"/>
        <v>267786.384005851</v>
      </c>
      <c r="H45">
        <f t="shared" si="3"/>
        <v>-3841.3840058509959</v>
      </c>
      <c r="I45">
        <f t="shared" si="4"/>
        <v>3841.3840058509959</v>
      </c>
      <c r="J45">
        <f t="shared" si="5"/>
        <v>14756231.080407845</v>
      </c>
      <c r="K45" s="4">
        <f t="shared" si="6"/>
        <v>1.4553729018738738E-2</v>
      </c>
    </row>
    <row r="46" spans="1:11" x14ac:dyDescent="0.25">
      <c r="A46" s="1" t="s">
        <v>46</v>
      </c>
      <c r="B46" s="29">
        <v>45</v>
      </c>
      <c r="C46" s="28">
        <v>9</v>
      </c>
      <c r="D46" s="2">
        <v>250160</v>
      </c>
      <c r="E46">
        <f t="shared" si="10"/>
        <v>259226.99616086247</v>
      </c>
      <c r="F46">
        <f t="shared" si="1"/>
        <v>0.97834833071112637</v>
      </c>
      <c r="G46">
        <f t="shared" si="2"/>
        <v>253614.29896923937</v>
      </c>
      <c r="H46">
        <f t="shared" si="3"/>
        <v>-3454.2989692393749</v>
      </c>
      <c r="I46">
        <f t="shared" si="4"/>
        <v>3454.2989692393749</v>
      </c>
      <c r="J46">
        <f t="shared" si="5"/>
        <v>11932181.368888207</v>
      </c>
      <c r="K46" s="4">
        <f t="shared" si="6"/>
        <v>1.3808358527499899E-2</v>
      </c>
    </row>
    <row r="47" spans="1:11" x14ac:dyDescent="0.25">
      <c r="A47" s="1" t="s">
        <v>47</v>
      </c>
      <c r="B47" s="28">
        <v>46</v>
      </c>
      <c r="C47" s="28">
        <v>10</v>
      </c>
      <c r="D47" s="2">
        <v>250303</v>
      </c>
      <c r="E47">
        <f t="shared" si="10"/>
        <v>258581.75980912533</v>
      </c>
      <c r="F47">
        <f t="shared" si="1"/>
        <v>0.97341986051076168</v>
      </c>
      <c r="G47">
        <f t="shared" si="2"/>
        <v>251708.62056402606</v>
      </c>
      <c r="H47">
        <f t="shared" si="3"/>
        <v>-1405.6205640260596</v>
      </c>
      <c r="I47">
        <f t="shared" si="4"/>
        <v>1405.6205640260596</v>
      </c>
      <c r="J47">
        <f t="shared" si="5"/>
        <v>1975769.1700129379</v>
      </c>
      <c r="K47" s="4">
        <f t="shared" si="6"/>
        <v>5.6156760567234896E-3</v>
      </c>
    </row>
    <row r="48" spans="1:11" x14ac:dyDescent="0.25">
      <c r="A48" s="1" t="s">
        <v>48</v>
      </c>
      <c r="B48" s="28">
        <v>47</v>
      </c>
      <c r="C48" s="28">
        <v>11</v>
      </c>
      <c r="D48" s="2">
        <v>244987</v>
      </c>
      <c r="E48">
        <f t="shared" si="10"/>
        <v>257936.52345738819</v>
      </c>
      <c r="F48">
        <f t="shared" si="1"/>
        <v>0.95746351863048529</v>
      </c>
      <c r="G48">
        <f t="shared" si="2"/>
        <v>246964.8113328256</v>
      </c>
      <c r="H48">
        <f t="shared" si="3"/>
        <v>-1977.8113328256004</v>
      </c>
      <c r="I48">
        <f t="shared" si="4"/>
        <v>1977.8113328256004</v>
      </c>
      <c r="J48">
        <f t="shared" si="5"/>
        <v>3911737.668253378</v>
      </c>
      <c r="K48" s="4">
        <f t="shared" si="6"/>
        <v>8.0731276876960835E-3</v>
      </c>
    </row>
    <row r="49" spans="1:11" x14ac:dyDescent="0.25">
      <c r="A49" s="1" t="s">
        <v>49</v>
      </c>
      <c r="B49" s="28">
        <v>48</v>
      </c>
      <c r="C49" s="28">
        <v>12</v>
      </c>
      <c r="D49" s="2">
        <v>235120</v>
      </c>
      <c r="E49">
        <f t="shared" si="10"/>
        <v>257291.28710565105</v>
      </c>
      <c r="F49">
        <f t="shared" si="1"/>
        <v>1.0059999945842792</v>
      </c>
      <c r="G49">
        <f t="shared" si="2"/>
        <v>258835.03343486719</v>
      </c>
      <c r="H49">
        <f t="shared" si="3"/>
        <v>-23715.033434867189</v>
      </c>
      <c r="I49">
        <f t="shared" si="4"/>
        <v>23715.033434867189</v>
      </c>
      <c r="J49">
        <f t="shared" si="5"/>
        <v>562402810.81686866</v>
      </c>
      <c r="K49" s="4">
        <f t="shared" si="6"/>
        <v>0.10086353111120785</v>
      </c>
    </row>
    <row r="50" spans="1:11" x14ac:dyDescent="0.25">
      <c r="A50" s="1" t="s">
        <v>50</v>
      </c>
      <c r="B50" s="29">
        <v>49</v>
      </c>
      <c r="C50" s="28">
        <v>1</v>
      </c>
      <c r="D50" s="2">
        <v>245715</v>
      </c>
      <c r="E50">
        <f t="shared" si="10"/>
        <v>256646.05075391388</v>
      </c>
      <c r="F50">
        <f t="shared" si="1"/>
        <v>1.0400152419023756</v>
      </c>
      <c r="G50">
        <f t="shared" si="2"/>
        <v>266915.80455812113</v>
      </c>
      <c r="H50">
        <f t="shared" si="3"/>
        <v>-21200.804558121134</v>
      </c>
      <c r="I50">
        <f t="shared" si="4"/>
        <v>21200.804558121134</v>
      </c>
      <c r="J50">
        <f t="shared" si="5"/>
        <v>449474113.91164982</v>
      </c>
      <c r="K50" s="4">
        <f t="shared" si="6"/>
        <v>8.6282093311849634E-2</v>
      </c>
    </row>
    <row r="51" spans="1:11" x14ac:dyDescent="0.25">
      <c r="A51" s="1" t="s">
        <v>51</v>
      </c>
      <c r="B51" s="29">
        <v>50</v>
      </c>
      <c r="C51" s="28">
        <v>2</v>
      </c>
      <c r="D51" s="2">
        <v>203162</v>
      </c>
      <c r="E51">
        <f t="shared" si="10"/>
        <v>256000.81440217674</v>
      </c>
      <c r="F51">
        <f t="shared" si="1"/>
        <v>0.90111630357129513</v>
      </c>
      <c r="G51">
        <f t="shared" si="2"/>
        <v>230686.50758533066</v>
      </c>
      <c r="H51">
        <f t="shared" si="3"/>
        <v>-27524.507585330663</v>
      </c>
      <c r="I51">
        <f t="shared" si="4"/>
        <v>27524.507585330663</v>
      </c>
      <c r="J51">
        <f t="shared" si="5"/>
        <v>757598517.81492519</v>
      </c>
      <c r="K51" s="4">
        <f t="shared" si="6"/>
        <v>0.13548058980188551</v>
      </c>
    </row>
    <row r="52" spans="1:11" x14ac:dyDescent="0.25">
      <c r="A52" s="1" t="s">
        <v>52</v>
      </c>
      <c r="B52" s="28">
        <v>51</v>
      </c>
      <c r="C52" s="28">
        <v>3</v>
      </c>
      <c r="D52" s="2">
        <v>231414</v>
      </c>
      <c r="E52">
        <f t="shared" si="10"/>
        <v>255355.5780504396</v>
      </c>
      <c r="F52">
        <f t="shared" si="1"/>
        <v>1.0318803669716561</v>
      </c>
      <c r="G52">
        <f t="shared" si="2"/>
        <v>263496.40758694697</v>
      </c>
      <c r="H52">
        <f t="shared" si="3"/>
        <v>-32082.407586946967</v>
      </c>
      <c r="I52">
        <f t="shared" si="4"/>
        <v>32082.407586946967</v>
      </c>
      <c r="J52">
        <f t="shared" si="5"/>
        <v>1029280876.5749923</v>
      </c>
      <c r="K52" s="4">
        <f t="shared" si="6"/>
        <v>0.13863641606362176</v>
      </c>
    </row>
    <row r="53" spans="1:11" x14ac:dyDescent="0.25">
      <c r="A53" s="1" t="s">
        <v>53</v>
      </c>
      <c r="B53" s="28">
        <v>52</v>
      </c>
      <c r="C53" s="28">
        <v>4</v>
      </c>
      <c r="D53" s="2">
        <v>231621</v>
      </c>
      <c r="E53">
        <f t="shared" si="10"/>
        <v>254710.34169870245</v>
      </c>
      <c r="F53">
        <f t="shared" si="1"/>
        <v>0.98919096515192839</v>
      </c>
      <c r="G53">
        <f t="shared" si="2"/>
        <v>251957.16873911695</v>
      </c>
      <c r="H53">
        <f t="shared" si="3"/>
        <v>-20336.168739116954</v>
      </c>
      <c r="I53">
        <f t="shared" si="4"/>
        <v>20336.168739116954</v>
      </c>
      <c r="J53">
        <f t="shared" si="5"/>
        <v>413559758.98583764</v>
      </c>
      <c r="K53" s="4">
        <f t="shared" si="6"/>
        <v>8.779933054048189E-2</v>
      </c>
    </row>
    <row r="54" spans="1:11" x14ac:dyDescent="0.25">
      <c r="A54" s="1" t="s">
        <v>54</v>
      </c>
      <c r="B54" s="28">
        <v>53</v>
      </c>
      <c r="C54" s="28">
        <v>5</v>
      </c>
      <c r="D54" s="2">
        <v>238809</v>
      </c>
      <c r="E54">
        <f t="shared" si="10"/>
        <v>254065.10534696531</v>
      </c>
      <c r="F54">
        <f t="shared" si="1"/>
        <v>1.0295836693414431</v>
      </c>
      <c r="G54">
        <f t="shared" si="2"/>
        <v>261581.28341474885</v>
      </c>
      <c r="H54">
        <f t="shared" si="3"/>
        <v>-22772.283414748847</v>
      </c>
      <c r="I54">
        <f t="shared" si="4"/>
        <v>22772.283414748847</v>
      </c>
      <c r="J54">
        <f t="shared" si="5"/>
        <v>518576891.9216454</v>
      </c>
      <c r="K54" s="4">
        <f t="shared" si="6"/>
        <v>9.5357726948100144E-2</v>
      </c>
    </row>
    <row r="55" spans="1:11" x14ac:dyDescent="0.25">
      <c r="A55" s="1" t="s">
        <v>55</v>
      </c>
      <c r="B55" s="29">
        <v>54</v>
      </c>
      <c r="C55" s="28">
        <v>6</v>
      </c>
      <c r="D55" s="2">
        <v>231912</v>
      </c>
      <c r="E55">
        <f t="shared" si="10"/>
        <v>253419.86899522817</v>
      </c>
      <c r="F55">
        <f t="shared" si="1"/>
        <v>1.0182564274283079</v>
      </c>
      <c r="G55">
        <f t="shared" si="2"/>
        <v>258046.41044243085</v>
      </c>
      <c r="H55">
        <f t="shared" si="3"/>
        <v>-26134.410442430846</v>
      </c>
      <c r="I55">
        <f t="shared" si="4"/>
        <v>26134.410442430846</v>
      </c>
      <c r="J55">
        <f t="shared" si="5"/>
        <v>683007409.17343843</v>
      </c>
      <c r="K55" s="4">
        <f t="shared" si="6"/>
        <v>0.11269106575955899</v>
      </c>
    </row>
    <row r="56" spans="1:11" x14ac:dyDescent="0.25">
      <c r="A56" s="1" t="s">
        <v>56</v>
      </c>
      <c r="B56" s="29">
        <v>55</v>
      </c>
      <c r="C56" s="28">
        <v>7</v>
      </c>
      <c r="D56" s="2">
        <v>245724</v>
      </c>
      <c r="E56">
        <f t="shared" si="10"/>
        <v>252774.63264349103</v>
      </c>
      <c r="F56">
        <f t="shared" si="1"/>
        <v>1.0446998825244065</v>
      </c>
      <c r="G56">
        <f t="shared" si="2"/>
        <v>264073.62902780506</v>
      </c>
      <c r="H56">
        <f t="shared" si="3"/>
        <v>-18349.629027805058</v>
      </c>
      <c r="I56">
        <f t="shared" si="4"/>
        <v>18349.629027805058</v>
      </c>
      <c r="J56">
        <f t="shared" si="5"/>
        <v>336708885.45806599</v>
      </c>
      <c r="K56" s="4">
        <f t="shared" si="6"/>
        <v>7.467577048967565E-2</v>
      </c>
    </row>
    <row r="57" spans="1:11" x14ac:dyDescent="0.25">
      <c r="A57" s="1" t="s">
        <v>57</v>
      </c>
      <c r="B57" s="28">
        <v>56</v>
      </c>
      <c r="C57" s="28">
        <v>8</v>
      </c>
      <c r="D57" s="2">
        <v>251079</v>
      </c>
      <c r="E57">
        <f t="shared" si="10"/>
        <v>252129.39629175386</v>
      </c>
      <c r="F57">
        <f t="shared" si="1"/>
        <v>1.0304540097136683</v>
      </c>
      <c r="G57">
        <f t="shared" si="2"/>
        <v>259807.74737552425</v>
      </c>
      <c r="H57">
        <f t="shared" si="3"/>
        <v>-8728.7473755242536</v>
      </c>
      <c r="I57">
        <f t="shared" si="4"/>
        <v>8728.7473755242536</v>
      </c>
      <c r="J57">
        <f t="shared" si="5"/>
        <v>76191030.745721549</v>
      </c>
      <c r="K57" s="4">
        <f t="shared" si="6"/>
        <v>3.4764944003776714E-2</v>
      </c>
    </row>
    <row r="58" spans="1:11" x14ac:dyDescent="0.25">
      <c r="A58" s="1" t="s">
        <v>58</v>
      </c>
      <c r="B58" s="28">
        <v>57</v>
      </c>
      <c r="C58" s="28">
        <v>9</v>
      </c>
      <c r="D58" s="2">
        <v>237699</v>
      </c>
      <c r="E58">
        <f t="shared" si="10"/>
        <v>251484.15994001675</v>
      </c>
      <c r="F58">
        <f t="shared" si="1"/>
        <v>0.97834833071112637</v>
      </c>
      <c r="G58">
        <f t="shared" si="2"/>
        <v>246039.10807760531</v>
      </c>
      <c r="H58">
        <f t="shared" si="3"/>
        <v>-8340.1080776053132</v>
      </c>
      <c r="I58">
        <f t="shared" si="4"/>
        <v>8340.1080776053132</v>
      </c>
      <c r="J58">
        <f t="shared" si="5"/>
        <v>69557402.746137396</v>
      </c>
      <c r="K58" s="4">
        <f t="shared" si="6"/>
        <v>3.5086845454147107E-2</v>
      </c>
    </row>
    <row r="59" spans="1:11" x14ac:dyDescent="0.25">
      <c r="A59" s="1" t="s">
        <v>59</v>
      </c>
      <c r="B59" s="28">
        <v>58</v>
      </c>
      <c r="C59" s="28">
        <v>10</v>
      </c>
      <c r="D59" s="2">
        <v>230822</v>
      </c>
      <c r="E59">
        <f t="shared" si="10"/>
        <v>250838.92358827958</v>
      </c>
      <c r="F59">
        <f t="shared" si="1"/>
        <v>0.97341986051076168</v>
      </c>
      <c r="G59">
        <f t="shared" si="2"/>
        <v>244171.59000997272</v>
      </c>
      <c r="H59">
        <f t="shared" si="3"/>
        <v>-13349.590009972715</v>
      </c>
      <c r="I59">
        <f t="shared" si="4"/>
        <v>13349.590009972715</v>
      </c>
      <c r="J59">
        <f t="shared" si="5"/>
        <v>178211553.43436331</v>
      </c>
      <c r="K59" s="4">
        <f t="shared" si="6"/>
        <v>5.7834998440238428E-2</v>
      </c>
    </row>
    <row r="60" spans="1:11" x14ac:dyDescent="0.25">
      <c r="A60" s="1" t="s">
        <v>60</v>
      </c>
      <c r="B60" s="29">
        <v>59</v>
      </c>
      <c r="C60" s="28">
        <v>11</v>
      </c>
      <c r="D60" s="2">
        <v>222248</v>
      </c>
      <c r="E60">
        <f t="shared" si="10"/>
        <v>250193.68723654244</v>
      </c>
      <c r="F60">
        <f t="shared" si="1"/>
        <v>0.95746351863048529</v>
      </c>
      <c r="G60">
        <f t="shared" si="2"/>
        <v>239551.32812063507</v>
      </c>
      <c r="H60">
        <f t="shared" si="3"/>
        <v>-17303.328120635066</v>
      </c>
      <c r="I60">
        <f t="shared" si="4"/>
        <v>17303.328120635066</v>
      </c>
      <c r="J60">
        <f t="shared" si="5"/>
        <v>299405164.05036026</v>
      </c>
      <c r="K60" s="4">
        <f t="shared" si="6"/>
        <v>7.7855945253208422E-2</v>
      </c>
    </row>
    <row r="61" spans="1:11" x14ac:dyDescent="0.25">
      <c r="A61" s="1" t="s">
        <v>61</v>
      </c>
      <c r="B61" s="29">
        <v>60</v>
      </c>
      <c r="C61" s="28">
        <v>12</v>
      </c>
      <c r="D61" s="2">
        <v>240519</v>
      </c>
      <c r="E61">
        <f t="shared" si="10"/>
        <v>249548.45088480529</v>
      </c>
      <c r="F61">
        <f t="shared" si="1"/>
        <v>1.0059999945842792</v>
      </c>
      <c r="G61">
        <f t="shared" si="2"/>
        <v>251045.7402386294</v>
      </c>
      <c r="H61">
        <f t="shared" si="3"/>
        <v>-10526.740238629398</v>
      </c>
      <c r="I61">
        <f t="shared" si="4"/>
        <v>10526.740238629398</v>
      </c>
      <c r="J61">
        <f t="shared" si="5"/>
        <v>110812260.05157931</v>
      </c>
      <c r="K61" s="4">
        <f t="shared" si="6"/>
        <v>4.376677201647021E-2</v>
      </c>
    </row>
    <row r="62" spans="1:11" x14ac:dyDescent="0.25">
      <c r="A62" s="1" t="s">
        <v>62</v>
      </c>
      <c r="B62" s="28">
        <v>61</v>
      </c>
      <c r="C62" s="28">
        <v>1</v>
      </c>
      <c r="D62" s="2">
        <v>234969</v>
      </c>
      <c r="E62">
        <f t="shared" si="10"/>
        <v>248903.21453306815</v>
      </c>
      <c r="F62">
        <f t="shared" si="1"/>
        <v>1.0400152419023756</v>
      </c>
      <c r="G62">
        <f t="shared" si="2"/>
        <v>258863.13687288776</v>
      </c>
      <c r="H62">
        <f t="shared" si="3"/>
        <v>-23894.136872887757</v>
      </c>
      <c r="I62">
        <f t="shared" si="4"/>
        <v>23894.136872887757</v>
      </c>
      <c r="J62">
        <f t="shared" si="5"/>
        <v>570929776.9002943</v>
      </c>
      <c r="K62" s="4">
        <f t="shared" si="6"/>
        <v>0.10169059268621715</v>
      </c>
    </row>
    <row r="63" spans="1:11" x14ac:dyDescent="0.25">
      <c r="A63" s="1" t="s">
        <v>63</v>
      </c>
      <c r="B63" s="28">
        <v>62</v>
      </c>
      <c r="C63" s="28">
        <v>2</v>
      </c>
      <c r="D63" s="2">
        <v>201572</v>
      </c>
      <c r="E63">
        <f t="shared" si="10"/>
        <v>248257.97818133101</v>
      </c>
      <c r="F63">
        <f t="shared" si="1"/>
        <v>0.90111630357129513</v>
      </c>
      <c r="G63">
        <f t="shared" si="2"/>
        <v>223709.31163084423</v>
      </c>
      <c r="H63">
        <f t="shared" si="3"/>
        <v>-22137.311630844226</v>
      </c>
      <c r="I63">
        <f t="shared" si="4"/>
        <v>22137.311630844226</v>
      </c>
      <c r="J63">
        <f t="shared" si="5"/>
        <v>490060566.24111104</v>
      </c>
      <c r="K63" s="4">
        <f t="shared" si="6"/>
        <v>0.10982334664955562</v>
      </c>
    </row>
    <row r="64" spans="1:11" x14ac:dyDescent="0.25">
      <c r="A64" s="1" t="s">
        <v>64</v>
      </c>
      <c r="B64" s="28">
        <v>63</v>
      </c>
      <c r="C64" s="28">
        <v>3</v>
      </c>
      <c r="D64" s="2">
        <v>225487</v>
      </c>
      <c r="E64">
        <f t="shared" si="10"/>
        <v>247612.74182959387</v>
      </c>
      <c r="F64">
        <f t="shared" si="1"/>
        <v>1.0318803669716561</v>
      </c>
      <c r="G64">
        <f t="shared" si="2"/>
        <v>255506.72690597925</v>
      </c>
      <c r="H64">
        <f t="shared" si="3"/>
        <v>-30019.726905979245</v>
      </c>
      <c r="I64">
        <f t="shared" si="4"/>
        <v>30019.726905979245</v>
      </c>
      <c r="J64">
        <f t="shared" si="5"/>
        <v>901184003.50957417</v>
      </c>
      <c r="K64" s="4">
        <f t="shared" si="6"/>
        <v>0.13313284981386619</v>
      </c>
    </row>
    <row r="65" spans="1:11" x14ac:dyDescent="0.25">
      <c r="A65" s="1" t="s">
        <v>65</v>
      </c>
      <c r="B65" s="29">
        <v>64</v>
      </c>
      <c r="C65" s="28">
        <v>4</v>
      </c>
      <c r="D65" s="2">
        <v>226639</v>
      </c>
      <c r="E65">
        <f t="shared" si="10"/>
        <v>246967.50547785673</v>
      </c>
      <c r="F65">
        <f t="shared" si="1"/>
        <v>0.98919096515192839</v>
      </c>
      <c r="G65">
        <f t="shared" si="2"/>
        <v>244298.02510480525</v>
      </c>
      <c r="H65">
        <f t="shared" si="3"/>
        <v>-17659.025104805245</v>
      </c>
      <c r="I65">
        <f t="shared" si="4"/>
        <v>17659.025104805245</v>
      </c>
      <c r="J65">
        <f t="shared" si="5"/>
        <v>311841167.65214187</v>
      </c>
      <c r="K65" s="4">
        <f t="shared" si="6"/>
        <v>7.7916974151868143E-2</v>
      </c>
    </row>
    <row r="66" spans="1:11" x14ac:dyDescent="0.25">
      <c r="A66" s="1" t="s">
        <v>66</v>
      </c>
      <c r="B66" s="29">
        <v>65</v>
      </c>
      <c r="C66" s="28">
        <v>5</v>
      </c>
      <c r="D66" s="2">
        <v>222177</v>
      </c>
      <c r="E66">
        <f t="shared" ref="E66:E97" si="11">_xlfn.FORECAST.LINEAR(B66,$D$2:$D$168,$B$2:$B$168)</f>
        <v>246322.26912611956</v>
      </c>
      <c r="F66">
        <f t="shared" si="1"/>
        <v>1.0295836693414431</v>
      </c>
      <c r="G66">
        <f t="shared" si="2"/>
        <v>253609.38568738062</v>
      </c>
      <c r="H66">
        <f t="shared" si="3"/>
        <v>-31432.385687380622</v>
      </c>
      <c r="I66">
        <f t="shared" si="4"/>
        <v>31432.385687380622</v>
      </c>
      <c r="J66">
        <f t="shared" si="5"/>
        <v>987994870.0002501</v>
      </c>
      <c r="K66" s="4">
        <f t="shared" si="6"/>
        <v>0.14147452565918445</v>
      </c>
    </row>
    <row r="67" spans="1:11" x14ac:dyDescent="0.25">
      <c r="A67" s="1" t="s">
        <v>67</v>
      </c>
      <c r="B67" s="28">
        <v>66</v>
      </c>
      <c r="C67" s="28">
        <v>6</v>
      </c>
      <c r="D67" s="2">
        <v>212025</v>
      </c>
      <c r="E67">
        <f t="shared" si="11"/>
        <v>245677.03277438242</v>
      </c>
      <c r="F67">
        <f t="shared" ref="F67:F130" si="12">_xlfn.XLOOKUP(C67,$O$3:$O$14,$R$3:$R$14,"-",0)</f>
        <v>1.0182564274283079</v>
      </c>
      <c r="G67">
        <f t="shared" ref="G67:G130" si="13">E67*F67</f>
        <v>250162.21769402994</v>
      </c>
      <c r="H67">
        <f t="shared" ref="H67:H130" si="14">D67-G67</f>
        <v>-38137.21769402994</v>
      </c>
      <c r="I67">
        <f t="shared" ref="I67:I130" si="15">ABS(H67)</f>
        <v>38137.21769402994</v>
      </c>
      <c r="J67">
        <f t="shared" ref="J67:J130" si="16">I67^2</f>
        <v>1454447373.4418304</v>
      </c>
      <c r="K67" s="4">
        <f t="shared" ref="K67:K130" si="17">I67/D67</f>
        <v>0.17987132505143233</v>
      </c>
    </row>
    <row r="68" spans="1:11" x14ac:dyDescent="0.25">
      <c r="A68" s="1" t="s">
        <v>68</v>
      </c>
      <c r="B68" s="28">
        <v>67</v>
      </c>
      <c r="C68" s="28">
        <v>7</v>
      </c>
      <c r="D68" s="2">
        <v>236534</v>
      </c>
      <c r="E68">
        <f t="shared" si="11"/>
        <v>245031.79642264528</v>
      </c>
      <c r="F68">
        <f t="shared" si="12"/>
        <v>1.0446998825244065</v>
      </c>
      <c r="G68">
        <f t="shared" si="13"/>
        <v>255984.68893748181</v>
      </c>
      <c r="H68">
        <f t="shared" si="14"/>
        <v>-19450.688937481813</v>
      </c>
      <c r="I68">
        <f t="shared" si="15"/>
        <v>19450.688937481813</v>
      </c>
      <c r="J68">
        <f t="shared" si="16"/>
        <v>378329300.14267737</v>
      </c>
      <c r="K68" s="4">
        <f t="shared" si="17"/>
        <v>8.223210590224582E-2</v>
      </c>
    </row>
    <row r="69" spans="1:11" x14ac:dyDescent="0.25">
      <c r="A69" s="1" t="s">
        <v>69</v>
      </c>
      <c r="B69" s="28">
        <v>68</v>
      </c>
      <c r="C69" s="28">
        <v>8</v>
      </c>
      <c r="D69" s="2">
        <v>231649</v>
      </c>
      <c r="E69">
        <f t="shared" si="11"/>
        <v>244386.56007090813</v>
      </c>
      <c r="F69">
        <f t="shared" si="12"/>
        <v>1.0304540097136683</v>
      </c>
      <c r="G69">
        <f t="shared" si="13"/>
        <v>251829.11074519754</v>
      </c>
      <c r="H69">
        <f t="shared" si="14"/>
        <v>-20180.11074519754</v>
      </c>
      <c r="I69">
        <f t="shared" si="15"/>
        <v>20180.11074519754</v>
      </c>
      <c r="J69">
        <f t="shared" si="16"/>
        <v>407236869.68843722</v>
      </c>
      <c r="K69" s="4">
        <f t="shared" si="17"/>
        <v>8.7115035010716824E-2</v>
      </c>
    </row>
    <row r="70" spans="1:11" x14ac:dyDescent="0.25">
      <c r="A70" s="1" t="s">
        <v>70</v>
      </c>
      <c r="B70" s="29">
        <v>69</v>
      </c>
      <c r="C70" s="28">
        <v>9</v>
      </c>
      <c r="D70" s="2">
        <v>224851</v>
      </c>
      <c r="E70">
        <f t="shared" si="11"/>
        <v>243741.32371917099</v>
      </c>
      <c r="F70">
        <f t="shared" si="12"/>
        <v>0.97834833071112637</v>
      </c>
      <c r="G70">
        <f t="shared" si="13"/>
        <v>238463.91718597122</v>
      </c>
      <c r="H70">
        <f t="shared" si="14"/>
        <v>-13612.917185971222</v>
      </c>
      <c r="I70">
        <f t="shared" si="15"/>
        <v>13612.917185971222</v>
      </c>
      <c r="J70">
        <f t="shared" si="16"/>
        <v>185311514.31211066</v>
      </c>
      <c r="K70" s="4">
        <f t="shared" si="17"/>
        <v>6.0541946382142942E-2</v>
      </c>
    </row>
    <row r="71" spans="1:11" x14ac:dyDescent="0.25">
      <c r="A71" s="1" t="s">
        <v>71</v>
      </c>
      <c r="B71" s="29">
        <v>70</v>
      </c>
      <c r="C71" s="28">
        <v>10</v>
      </c>
      <c r="D71" s="2">
        <v>221600</v>
      </c>
      <c r="E71">
        <f t="shared" si="11"/>
        <v>243096.08736743385</v>
      </c>
      <c r="F71">
        <f t="shared" si="12"/>
        <v>0.97341986051076168</v>
      </c>
      <c r="G71">
        <f t="shared" si="13"/>
        <v>236634.5594559194</v>
      </c>
      <c r="H71">
        <f t="shared" si="14"/>
        <v>-15034.5594559194</v>
      </c>
      <c r="I71">
        <f t="shared" si="15"/>
        <v>15034.5594559194</v>
      </c>
      <c r="J71">
        <f t="shared" si="16"/>
        <v>226037978.03357545</v>
      </c>
      <c r="K71" s="4">
        <f t="shared" si="17"/>
        <v>6.7845484909383566E-2</v>
      </c>
    </row>
    <row r="72" spans="1:11" x14ac:dyDescent="0.25">
      <c r="A72" s="1" t="s">
        <v>72</v>
      </c>
      <c r="B72" s="28">
        <v>71</v>
      </c>
      <c r="C72" s="28">
        <v>11</v>
      </c>
      <c r="D72" s="2">
        <v>218845</v>
      </c>
      <c r="E72">
        <f t="shared" si="11"/>
        <v>242450.85101569671</v>
      </c>
      <c r="F72">
        <f t="shared" si="12"/>
        <v>0.95746351863048529</v>
      </c>
      <c r="G72">
        <f t="shared" si="13"/>
        <v>232137.84490844453</v>
      </c>
      <c r="H72">
        <f t="shared" si="14"/>
        <v>-13292.844908444531</v>
      </c>
      <c r="I72">
        <f t="shared" si="15"/>
        <v>13292.844908444531</v>
      </c>
      <c r="J72">
        <f t="shared" si="16"/>
        <v>176699725.7599597</v>
      </c>
      <c r="K72" s="4">
        <f t="shared" si="17"/>
        <v>6.0740912099634586E-2</v>
      </c>
    </row>
    <row r="73" spans="1:11" x14ac:dyDescent="0.25">
      <c r="A73" s="1" t="s">
        <v>73</v>
      </c>
      <c r="B73" s="28">
        <v>72</v>
      </c>
      <c r="C73" s="28">
        <v>12</v>
      </c>
      <c r="D73" s="2">
        <v>223978</v>
      </c>
      <c r="E73">
        <f t="shared" si="11"/>
        <v>241805.61466395954</v>
      </c>
      <c r="F73">
        <f t="shared" si="12"/>
        <v>1.0059999945842792</v>
      </c>
      <c r="G73">
        <f t="shared" si="13"/>
        <v>243256.44704239161</v>
      </c>
      <c r="H73">
        <f t="shared" si="14"/>
        <v>-19278.447042391606</v>
      </c>
      <c r="I73">
        <f t="shared" si="15"/>
        <v>19278.447042391606</v>
      </c>
      <c r="J73">
        <f t="shared" si="16"/>
        <v>371658520.36629766</v>
      </c>
      <c r="K73" s="4">
        <f t="shared" si="17"/>
        <v>8.6072949318199143E-2</v>
      </c>
    </row>
    <row r="74" spans="1:11" x14ac:dyDescent="0.25">
      <c r="A74" s="1" t="s">
        <v>74</v>
      </c>
      <c r="B74" s="28">
        <v>73</v>
      </c>
      <c r="C74" s="28">
        <v>1</v>
      </c>
      <c r="D74" s="2">
        <v>222315</v>
      </c>
      <c r="E74">
        <f t="shared" si="11"/>
        <v>241160.3783122224</v>
      </c>
      <c r="F74">
        <f t="shared" si="12"/>
        <v>1.0400152419023756</v>
      </c>
      <c r="G74">
        <f t="shared" si="13"/>
        <v>250810.46918765438</v>
      </c>
      <c r="H74">
        <f t="shared" si="14"/>
        <v>-28495.46918765438</v>
      </c>
      <c r="I74">
        <f t="shared" si="15"/>
        <v>28495.46918765438</v>
      </c>
      <c r="J74">
        <f t="shared" si="16"/>
        <v>811991764.22456014</v>
      </c>
      <c r="K74" s="4">
        <f t="shared" si="17"/>
        <v>0.12817609782360337</v>
      </c>
    </row>
    <row r="75" spans="1:11" x14ac:dyDescent="0.25">
      <c r="A75" s="1" t="s">
        <v>75</v>
      </c>
      <c r="B75" s="29">
        <v>74</v>
      </c>
      <c r="C75" s="28">
        <v>2</v>
      </c>
      <c r="D75" s="2">
        <v>198807</v>
      </c>
      <c r="E75">
        <f t="shared" si="11"/>
        <v>240515.14196048526</v>
      </c>
      <c r="F75">
        <f t="shared" si="12"/>
        <v>0.90111630357129513</v>
      </c>
      <c r="G75">
        <f t="shared" si="13"/>
        <v>216732.11567635779</v>
      </c>
      <c r="H75">
        <f t="shared" si="14"/>
        <v>-17925.115676357789</v>
      </c>
      <c r="I75">
        <f t="shared" si="15"/>
        <v>17925.115676357789</v>
      </c>
      <c r="J75">
        <f t="shared" si="16"/>
        <v>321309772.01080775</v>
      </c>
      <c r="K75" s="4">
        <f t="shared" si="17"/>
        <v>9.0163403081168117E-2</v>
      </c>
    </row>
    <row r="76" spans="1:11" x14ac:dyDescent="0.25">
      <c r="A76" s="1" t="s">
        <v>76</v>
      </c>
      <c r="B76" s="29">
        <v>75</v>
      </c>
      <c r="C76" s="28">
        <v>3</v>
      </c>
      <c r="D76" s="2">
        <v>235360</v>
      </c>
      <c r="E76">
        <f t="shared" si="11"/>
        <v>239869.90560874811</v>
      </c>
      <c r="F76">
        <f t="shared" si="12"/>
        <v>1.0318803669716561</v>
      </c>
      <c r="G76">
        <f t="shared" si="13"/>
        <v>247517.04622501152</v>
      </c>
      <c r="H76">
        <f t="shared" si="14"/>
        <v>-12157.046225011523</v>
      </c>
      <c r="I76">
        <f t="shared" si="15"/>
        <v>12157.046225011523</v>
      </c>
      <c r="J76">
        <f t="shared" si="16"/>
        <v>147793772.91706693</v>
      </c>
      <c r="K76" s="4">
        <f t="shared" si="17"/>
        <v>5.1652983620885128E-2</v>
      </c>
    </row>
    <row r="77" spans="1:11" x14ac:dyDescent="0.25">
      <c r="A77" s="1" t="s">
        <v>77</v>
      </c>
      <c r="B77" s="28">
        <v>76</v>
      </c>
      <c r="C77" s="28">
        <v>4</v>
      </c>
      <c r="D77" s="2">
        <v>216229</v>
      </c>
      <c r="E77">
        <f t="shared" si="11"/>
        <v>239224.66925701097</v>
      </c>
      <c r="F77">
        <f t="shared" si="12"/>
        <v>0.98919096515192839</v>
      </c>
      <c r="G77">
        <f t="shared" si="13"/>
        <v>236638.88147049354</v>
      </c>
      <c r="H77">
        <f t="shared" si="14"/>
        <v>-20409.881470493536</v>
      </c>
      <c r="I77">
        <f t="shared" si="15"/>
        <v>20409.881470493536</v>
      </c>
      <c r="J77">
        <f t="shared" si="16"/>
        <v>416563261.63959539</v>
      </c>
      <c r="K77" s="4">
        <f t="shared" si="17"/>
        <v>9.4390120985129361E-2</v>
      </c>
    </row>
    <row r="78" spans="1:11" x14ac:dyDescent="0.25">
      <c r="A78" s="1" t="s">
        <v>78</v>
      </c>
      <c r="B78" s="28">
        <v>77</v>
      </c>
      <c r="C78" s="28">
        <v>5</v>
      </c>
      <c r="D78" s="2">
        <v>224604</v>
      </c>
      <c r="E78">
        <f t="shared" si="11"/>
        <v>238579.43290527383</v>
      </c>
      <c r="F78">
        <f t="shared" si="12"/>
        <v>1.0295836693414431</v>
      </c>
      <c r="G78">
        <f t="shared" si="13"/>
        <v>245637.48796001246</v>
      </c>
      <c r="H78">
        <f t="shared" si="14"/>
        <v>-21033.487960012455</v>
      </c>
      <c r="I78">
        <f t="shared" si="15"/>
        <v>21033.487960012455</v>
      </c>
      <c r="J78">
        <f t="shared" si="16"/>
        <v>442407615.76398891</v>
      </c>
      <c r="K78" s="4">
        <f t="shared" si="17"/>
        <v>9.3646987409006316E-2</v>
      </c>
    </row>
    <row r="79" spans="1:11" x14ac:dyDescent="0.25">
      <c r="A79" s="1" t="s">
        <v>79</v>
      </c>
      <c r="B79" s="28">
        <v>78</v>
      </c>
      <c r="C79" s="28">
        <v>6</v>
      </c>
      <c r="D79" s="2">
        <v>219618</v>
      </c>
      <c r="E79">
        <f t="shared" si="11"/>
        <v>237934.19655353669</v>
      </c>
      <c r="F79">
        <f t="shared" si="12"/>
        <v>1.0182564274283079</v>
      </c>
      <c r="G79">
        <f t="shared" si="13"/>
        <v>242278.02494562909</v>
      </c>
      <c r="H79">
        <f t="shared" si="14"/>
        <v>-22660.024945629091</v>
      </c>
      <c r="I79">
        <f t="shared" si="15"/>
        <v>22660.024945629091</v>
      </c>
      <c r="J79">
        <f t="shared" si="16"/>
        <v>513476730.5365327</v>
      </c>
      <c r="K79" s="4">
        <f t="shared" si="17"/>
        <v>0.10317927012188934</v>
      </c>
    </row>
    <row r="80" spans="1:11" x14ac:dyDescent="0.25">
      <c r="A80" s="1" t="s">
        <v>80</v>
      </c>
      <c r="B80" s="29">
        <v>79</v>
      </c>
      <c r="C80" s="28">
        <v>7</v>
      </c>
      <c r="D80" s="2">
        <v>228160</v>
      </c>
      <c r="E80">
        <f t="shared" si="11"/>
        <v>237288.96020179952</v>
      </c>
      <c r="F80">
        <f t="shared" si="12"/>
        <v>1.0446998825244065</v>
      </c>
      <c r="G80">
        <f t="shared" si="13"/>
        <v>247895.74884715854</v>
      </c>
      <c r="H80">
        <f t="shared" si="14"/>
        <v>-19735.748847158538</v>
      </c>
      <c r="I80">
        <f t="shared" si="15"/>
        <v>19735.748847158538</v>
      </c>
      <c r="J80">
        <f t="shared" si="16"/>
        <v>389499782.5581196</v>
      </c>
      <c r="K80" s="4">
        <f t="shared" si="17"/>
        <v>8.6499600487195558E-2</v>
      </c>
    </row>
    <row r="81" spans="1:11" x14ac:dyDescent="0.25">
      <c r="A81" s="1" t="s">
        <v>81</v>
      </c>
      <c r="B81" s="29">
        <v>80</v>
      </c>
      <c r="C81" s="28">
        <v>8</v>
      </c>
      <c r="D81" s="2">
        <v>239212</v>
      </c>
      <c r="E81">
        <f t="shared" si="11"/>
        <v>236643.72385006241</v>
      </c>
      <c r="F81">
        <f t="shared" si="12"/>
        <v>1.0304540097136683</v>
      </c>
      <c r="G81">
        <f t="shared" si="13"/>
        <v>243850.47411487086</v>
      </c>
      <c r="H81">
        <f t="shared" si="14"/>
        <v>-4638.4741148708563</v>
      </c>
      <c r="I81">
        <f t="shared" si="15"/>
        <v>4638.4741148708563</v>
      </c>
      <c r="J81">
        <f t="shared" si="16"/>
        <v>21515442.114326973</v>
      </c>
      <c r="K81" s="4">
        <f t="shared" si="17"/>
        <v>1.9390641417950841E-2</v>
      </c>
    </row>
    <row r="82" spans="1:11" x14ac:dyDescent="0.25">
      <c r="A82" s="1" t="s">
        <v>82</v>
      </c>
      <c r="B82" s="28">
        <v>81</v>
      </c>
      <c r="C82" s="28">
        <v>9</v>
      </c>
      <c r="D82" s="2">
        <v>216838</v>
      </c>
      <c r="E82">
        <f t="shared" si="11"/>
        <v>235998.48749832524</v>
      </c>
      <c r="F82">
        <f t="shared" si="12"/>
        <v>0.97834833071112637</v>
      </c>
      <c r="G82">
        <f t="shared" si="13"/>
        <v>230888.72629433713</v>
      </c>
      <c r="H82">
        <f t="shared" si="14"/>
        <v>-14050.726294337132</v>
      </c>
      <c r="I82">
        <f t="shared" si="15"/>
        <v>14050.726294337132</v>
      </c>
      <c r="J82">
        <f t="shared" si="16"/>
        <v>197422909.39837685</v>
      </c>
      <c r="K82" s="4">
        <f t="shared" si="17"/>
        <v>6.4798265499299623E-2</v>
      </c>
    </row>
    <row r="83" spans="1:11" x14ac:dyDescent="0.25">
      <c r="A83" s="1" t="s">
        <v>83</v>
      </c>
      <c r="B83" s="28">
        <v>82</v>
      </c>
      <c r="C83" s="28">
        <v>10</v>
      </c>
      <c r="D83" s="2">
        <v>220171</v>
      </c>
      <c r="E83">
        <f t="shared" si="11"/>
        <v>235353.2511465881</v>
      </c>
      <c r="F83">
        <f t="shared" si="12"/>
        <v>0.97341986051076168</v>
      </c>
      <c r="G83">
        <f t="shared" si="13"/>
        <v>229097.52890186606</v>
      </c>
      <c r="H83">
        <f t="shared" si="14"/>
        <v>-8926.5289018660551</v>
      </c>
      <c r="I83">
        <f t="shared" si="15"/>
        <v>8926.5289018660551</v>
      </c>
      <c r="J83">
        <f t="shared" si="16"/>
        <v>79682918.235850006</v>
      </c>
      <c r="K83" s="4">
        <f t="shared" si="17"/>
        <v>4.0543617923641417E-2</v>
      </c>
    </row>
    <row r="84" spans="1:11" x14ac:dyDescent="0.25">
      <c r="A84" s="1" t="s">
        <v>84</v>
      </c>
      <c r="B84" s="28">
        <v>83</v>
      </c>
      <c r="C84" s="28">
        <v>11</v>
      </c>
      <c r="D84" s="2">
        <v>221130</v>
      </c>
      <c r="E84">
        <f t="shared" si="11"/>
        <v>234708.01479485095</v>
      </c>
      <c r="F84">
        <f t="shared" si="12"/>
        <v>0.95746351863048529</v>
      </c>
      <c r="G84">
        <f t="shared" si="13"/>
        <v>224724.361696254</v>
      </c>
      <c r="H84">
        <f t="shared" si="14"/>
        <v>-3594.3616962539963</v>
      </c>
      <c r="I84">
        <f t="shared" si="15"/>
        <v>3594.3616962539963</v>
      </c>
      <c r="J84">
        <f t="shared" si="16"/>
        <v>12919436.003497906</v>
      </c>
      <c r="K84" s="4">
        <f t="shared" si="17"/>
        <v>1.6254518592022777E-2</v>
      </c>
    </row>
    <row r="85" spans="1:11" x14ac:dyDescent="0.25">
      <c r="A85" s="1" t="s">
        <v>85</v>
      </c>
      <c r="B85" s="29">
        <v>84</v>
      </c>
      <c r="C85" s="28">
        <v>12</v>
      </c>
      <c r="D85" s="2">
        <v>244965</v>
      </c>
      <c r="E85">
        <f t="shared" si="11"/>
        <v>234062.77844311381</v>
      </c>
      <c r="F85">
        <f t="shared" si="12"/>
        <v>1.0059999945842792</v>
      </c>
      <c r="G85">
        <f t="shared" si="13"/>
        <v>235467.15384615384</v>
      </c>
      <c r="H85">
        <f t="shared" si="14"/>
        <v>9497.8461538461561</v>
      </c>
      <c r="I85">
        <f t="shared" si="15"/>
        <v>9497.8461538461561</v>
      </c>
      <c r="J85">
        <f t="shared" si="16"/>
        <v>90209081.562130213</v>
      </c>
      <c r="K85" s="4">
        <f t="shared" si="17"/>
        <v>3.8772257889274617E-2</v>
      </c>
    </row>
    <row r="86" spans="1:11" x14ac:dyDescent="0.25">
      <c r="A86" s="1" t="s">
        <v>86</v>
      </c>
      <c r="B86" s="29">
        <v>85</v>
      </c>
      <c r="C86" s="28">
        <v>1</v>
      </c>
      <c r="D86" s="2">
        <v>236065</v>
      </c>
      <c r="E86">
        <f t="shared" si="11"/>
        <v>233417.54209137667</v>
      </c>
      <c r="F86">
        <f t="shared" si="12"/>
        <v>1.0400152419023756</v>
      </c>
      <c r="G86">
        <f t="shared" si="13"/>
        <v>242757.80150242106</v>
      </c>
      <c r="H86">
        <f t="shared" si="14"/>
        <v>-6692.8015024210617</v>
      </c>
      <c r="I86">
        <f t="shared" si="15"/>
        <v>6692.8015024210617</v>
      </c>
      <c r="J86">
        <f t="shared" si="16"/>
        <v>44793591.95080962</v>
      </c>
      <c r="K86" s="4">
        <f t="shared" si="17"/>
        <v>2.835151971881076E-2</v>
      </c>
    </row>
    <row r="87" spans="1:11" x14ac:dyDescent="0.25">
      <c r="A87" s="1" t="s">
        <v>87</v>
      </c>
      <c r="B87" s="28">
        <v>86</v>
      </c>
      <c r="C87" s="28">
        <v>2</v>
      </c>
      <c r="D87" s="2">
        <v>229492</v>
      </c>
      <c r="E87">
        <f t="shared" si="11"/>
        <v>232772.3057396395</v>
      </c>
      <c r="F87">
        <f t="shared" si="12"/>
        <v>0.90111630357129513</v>
      </c>
      <c r="G87">
        <f t="shared" si="13"/>
        <v>209754.91972187132</v>
      </c>
      <c r="H87">
        <f t="shared" si="14"/>
        <v>19737.080278128677</v>
      </c>
      <c r="I87">
        <f t="shared" si="15"/>
        <v>19737.080278128677</v>
      </c>
      <c r="J87">
        <f t="shared" si="16"/>
        <v>389552337.90529597</v>
      </c>
      <c r="K87" s="4">
        <f t="shared" si="17"/>
        <v>8.6003347733815017E-2</v>
      </c>
    </row>
    <row r="88" spans="1:11" x14ac:dyDescent="0.25">
      <c r="A88" s="1" t="s">
        <v>88</v>
      </c>
      <c r="B88" s="28">
        <v>87</v>
      </c>
      <c r="C88" s="28">
        <v>3</v>
      </c>
      <c r="D88" s="2">
        <v>248383</v>
      </c>
      <c r="E88">
        <f t="shared" si="11"/>
        <v>232127.06938790239</v>
      </c>
      <c r="F88">
        <f t="shared" si="12"/>
        <v>1.0318803669716561</v>
      </c>
      <c r="G88">
        <f t="shared" si="13"/>
        <v>239527.3655440438</v>
      </c>
      <c r="H88">
        <f t="shared" si="14"/>
        <v>8855.6344559561985</v>
      </c>
      <c r="I88">
        <f t="shared" si="15"/>
        <v>8855.6344559561985</v>
      </c>
      <c r="J88">
        <f t="shared" si="16"/>
        <v>78422261.617518634</v>
      </c>
      <c r="K88" s="4">
        <f t="shared" si="17"/>
        <v>3.5653142348535116E-2</v>
      </c>
    </row>
    <row r="89" spans="1:11" x14ac:dyDescent="0.25">
      <c r="A89" s="1" t="s">
        <v>89</v>
      </c>
      <c r="B89" s="28">
        <v>88</v>
      </c>
      <c r="C89" s="28">
        <v>4</v>
      </c>
      <c r="D89" s="2">
        <v>228344</v>
      </c>
      <c r="E89">
        <f t="shared" si="11"/>
        <v>231481.83303616522</v>
      </c>
      <c r="F89">
        <f t="shared" si="12"/>
        <v>0.98919096515192839</v>
      </c>
      <c r="G89">
        <f t="shared" si="13"/>
        <v>228979.73783618183</v>
      </c>
      <c r="H89">
        <f t="shared" si="14"/>
        <v>-635.73783618182642</v>
      </c>
      <c r="I89">
        <f t="shared" si="15"/>
        <v>635.73783618182642</v>
      </c>
      <c r="J89">
        <f t="shared" si="16"/>
        <v>404162.59635315079</v>
      </c>
      <c r="K89" s="4">
        <f t="shared" si="17"/>
        <v>2.784123235915226E-3</v>
      </c>
    </row>
    <row r="90" spans="1:11" x14ac:dyDescent="0.25">
      <c r="A90" s="1" t="s">
        <v>90</v>
      </c>
      <c r="B90" s="29">
        <v>89</v>
      </c>
      <c r="C90" s="28">
        <v>5</v>
      </c>
      <c r="D90" s="2">
        <v>245749</v>
      </c>
      <c r="E90">
        <f t="shared" si="11"/>
        <v>230836.59668442808</v>
      </c>
      <c r="F90">
        <f t="shared" si="12"/>
        <v>1.0295836693414431</v>
      </c>
      <c r="G90">
        <f t="shared" si="13"/>
        <v>237665.59023264426</v>
      </c>
      <c r="H90">
        <f t="shared" si="14"/>
        <v>8083.4097673557408</v>
      </c>
      <c r="I90">
        <f t="shared" si="15"/>
        <v>8083.4097673557408</v>
      </c>
      <c r="J90">
        <f t="shared" si="16"/>
        <v>65341513.466982193</v>
      </c>
      <c r="K90" s="4">
        <f t="shared" si="17"/>
        <v>3.289295080490965E-2</v>
      </c>
    </row>
    <row r="91" spans="1:11" x14ac:dyDescent="0.25">
      <c r="A91" s="1" t="s">
        <v>91</v>
      </c>
      <c r="B91" s="29">
        <v>90</v>
      </c>
      <c r="C91" s="28">
        <v>6</v>
      </c>
      <c r="D91" s="2">
        <v>226802</v>
      </c>
      <c r="E91">
        <f t="shared" si="11"/>
        <v>230191.36033269094</v>
      </c>
      <c r="F91">
        <f t="shared" si="12"/>
        <v>1.0182564274283079</v>
      </c>
      <c r="G91">
        <f t="shared" si="13"/>
        <v>234393.83219722818</v>
      </c>
      <c r="H91">
        <f t="shared" si="14"/>
        <v>-7591.8321972281847</v>
      </c>
      <c r="I91">
        <f t="shared" si="15"/>
        <v>7591.8321972281847</v>
      </c>
      <c r="J91">
        <f t="shared" si="16"/>
        <v>57635916.110870525</v>
      </c>
      <c r="K91" s="4">
        <f t="shared" si="17"/>
        <v>3.3473391756810716E-2</v>
      </c>
    </row>
    <row r="92" spans="1:11" x14ac:dyDescent="0.25">
      <c r="A92" s="1" t="s">
        <v>92</v>
      </c>
      <c r="B92" s="28">
        <v>91</v>
      </c>
      <c r="C92" s="28">
        <v>7</v>
      </c>
      <c r="D92" s="2">
        <v>250986</v>
      </c>
      <c r="E92">
        <f t="shared" si="11"/>
        <v>229546.12398095379</v>
      </c>
      <c r="F92">
        <f t="shared" si="12"/>
        <v>1.0446998825244065</v>
      </c>
      <c r="G92">
        <f t="shared" si="13"/>
        <v>239806.80875683526</v>
      </c>
      <c r="H92">
        <f t="shared" si="14"/>
        <v>11179.191243164736</v>
      </c>
      <c r="I92">
        <f t="shared" si="15"/>
        <v>11179.191243164736</v>
      </c>
      <c r="J92">
        <f t="shared" si="16"/>
        <v>124974316.85125111</v>
      </c>
      <c r="K92" s="4">
        <f t="shared" si="17"/>
        <v>4.454109489439545E-2</v>
      </c>
    </row>
    <row r="93" spans="1:11" x14ac:dyDescent="0.25">
      <c r="A93" s="1" t="s">
        <v>93</v>
      </c>
      <c r="B93" s="28">
        <v>92</v>
      </c>
      <c r="C93" s="28">
        <v>8</v>
      </c>
      <c r="D93" s="2">
        <v>248482</v>
      </c>
      <c r="E93">
        <f t="shared" si="11"/>
        <v>228900.88762921665</v>
      </c>
      <c r="F93">
        <f t="shared" si="12"/>
        <v>1.0304540097136683</v>
      </c>
      <c r="G93">
        <f t="shared" si="13"/>
        <v>235871.83748454411</v>
      </c>
      <c r="H93">
        <f t="shared" si="14"/>
        <v>12610.162515455886</v>
      </c>
      <c r="I93">
        <f t="shared" si="15"/>
        <v>12610.162515455886</v>
      </c>
      <c r="J93">
        <f t="shared" si="16"/>
        <v>159016198.66620871</v>
      </c>
      <c r="K93" s="4">
        <f t="shared" si="17"/>
        <v>5.0748796755724301E-2</v>
      </c>
    </row>
    <row r="94" spans="1:11" x14ac:dyDescent="0.25">
      <c r="A94" s="1" t="s">
        <v>94</v>
      </c>
      <c r="B94" s="28">
        <v>93</v>
      </c>
      <c r="C94" s="28">
        <v>9</v>
      </c>
      <c r="D94" s="2">
        <v>241213</v>
      </c>
      <c r="E94">
        <f t="shared" si="11"/>
        <v>228255.65127747951</v>
      </c>
      <c r="F94">
        <f t="shared" si="12"/>
        <v>0.97834833071112637</v>
      </c>
      <c r="G94">
        <f t="shared" si="13"/>
        <v>223313.53540270307</v>
      </c>
      <c r="H94">
        <f t="shared" si="14"/>
        <v>17899.46459729693</v>
      </c>
      <c r="I94">
        <f t="shared" si="15"/>
        <v>17899.46459729693</v>
      </c>
      <c r="J94">
        <f t="shared" si="16"/>
        <v>320390832.86988616</v>
      </c>
      <c r="K94" s="4">
        <f t="shared" si="17"/>
        <v>7.4206052730561495E-2</v>
      </c>
    </row>
    <row r="95" spans="1:11" x14ac:dyDescent="0.25">
      <c r="A95" s="1" t="s">
        <v>95</v>
      </c>
      <c r="B95" s="29">
        <v>94</v>
      </c>
      <c r="C95" s="28">
        <v>10</v>
      </c>
      <c r="D95" s="2">
        <v>234666</v>
      </c>
      <c r="E95">
        <f t="shared" si="11"/>
        <v>227610.41492574237</v>
      </c>
      <c r="F95">
        <f t="shared" si="12"/>
        <v>0.97341986051076168</v>
      </c>
      <c r="G95">
        <f t="shared" si="13"/>
        <v>221560.49834781274</v>
      </c>
      <c r="H95">
        <f t="shared" si="14"/>
        <v>13105.50165218726</v>
      </c>
      <c r="I95">
        <f t="shared" si="15"/>
        <v>13105.50165218726</v>
      </c>
      <c r="J95">
        <f t="shared" si="16"/>
        <v>171754173.55548301</v>
      </c>
      <c r="K95" s="4">
        <f t="shared" si="17"/>
        <v>5.5847466834510584E-2</v>
      </c>
    </row>
    <row r="96" spans="1:11" x14ac:dyDescent="0.25">
      <c r="A96" s="1" t="s">
        <v>96</v>
      </c>
      <c r="B96" s="29">
        <v>95</v>
      </c>
      <c r="C96" s="28">
        <v>11</v>
      </c>
      <c r="D96" s="2">
        <v>240691</v>
      </c>
      <c r="E96">
        <f t="shared" si="11"/>
        <v>226965.1785740052</v>
      </c>
      <c r="F96">
        <f t="shared" si="12"/>
        <v>0.95746351863048529</v>
      </c>
      <c r="G96">
        <f t="shared" si="13"/>
        <v>217310.87848406346</v>
      </c>
      <c r="H96">
        <f t="shared" si="14"/>
        <v>23380.121515936538</v>
      </c>
      <c r="I96">
        <f t="shared" si="15"/>
        <v>23380.121515936538</v>
      </c>
      <c r="J96">
        <f t="shared" si="16"/>
        <v>546630082.09995866</v>
      </c>
      <c r="K96" s="4">
        <f t="shared" si="17"/>
        <v>9.7137497936925513E-2</v>
      </c>
    </row>
    <row r="97" spans="1:11" x14ac:dyDescent="0.25">
      <c r="A97" s="1" t="s">
        <v>97</v>
      </c>
      <c r="B97" s="28">
        <v>96</v>
      </c>
      <c r="C97" s="28">
        <v>12</v>
      </c>
      <c r="D97" s="2">
        <v>242213</v>
      </c>
      <c r="E97">
        <f t="shared" si="11"/>
        <v>226319.94222226806</v>
      </c>
      <c r="F97">
        <f t="shared" si="12"/>
        <v>1.0059999945842792</v>
      </c>
      <c r="G97">
        <f t="shared" si="13"/>
        <v>227677.86064991605</v>
      </c>
      <c r="H97">
        <f t="shared" si="14"/>
        <v>14535.139350083948</v>
      </c>
      <c r="I97">
        <f t="shared" si="15"/>
        <v>14535.139350083948</v>
      </c>
      <c r="J97">
        <f t="shared" si="16"/>
        <v>211270275.92635879</v>
      </c>
      <c r="K97" s="4">
        <f t="shared" si="17"/>
        <v>6.0009740806991979E-2</v>
      </c>
    </row>
    <row r="98" spans="1:11" x14ac:dyDescent="0.25">
      <c r="A98" s="1" t="s">
        <v>98</v>
      </c>
      <c r="B98" s="28">
        <v>97</v>
      </c>
      <c r="C98" s="28">
        <v>1</v>
      </c>
      <c r="D98" s="2">
        <v>262811</v>
      </c>
      <c r="E98">
        <f t="shared" ref="E98:E129" si="18">_xlfn.FORECAST.LINEAR(B98,$D$2:$D$168,$B$2:$B$168)</f>
        <v>225674.70587053092</v>
      </c>
      <c r="F98">
        <f t="shared" si="12"/>
        <v>1.0400152419023756</v>
      </c>
      <c r="G98">
        <f t="shared" si="13"/>
        <v>234705.13381718769</v>
      </c>
      <c r="H98">
        <f t="shared" si="14"/>
        <v>28105.866182812315</v>
      </c>
      <c r="I98">
        <f t="shared" si="15"/>
        <v>28105.866182812315</v>
      </c>
      <c r="J98">
        <f t="shared" si="16"/>
        <v>789939713.88615286</v>
      </c>
      <c r="K98" s="4">
        <f t="shared" si="17"/>
        <v>0.10694326410543058</v>
      </c>
    </row>
    <row r="99" spans="1:11" x14ac:dyDescent="0.25">
      <c r="A99" s="1" t="s">
        <v>99</v>
      </c>
      <c r="B99" s="28">
        <v>98</v>
      </c>
      <c r="C99" s="28">
        <v>2</v>
      </c>
      <c r="D99" s="2">
        <v>220558</v>
      </c>
      <c r="E99">
        <f t="shared" si="18"/>
        <v>225029.46951879378</v>
      </c>
      <c r="F99">
        <f t="shared" si="12"/>
        <v>0.90111630357129513</v>
      </c>
      <c r="G99">
        <f t="shared" si="13"/>
        <v>202777.72376738489</v>
      </c>
      <c r="H99">
        <f t="shared" si="14"/>
        <v>17780.276232615113</v>
      </c>
      <c r="I99">
        <f t="shared" si="15"/>
        <v>17780.276232615113</v>
      </c>
      <c r="J99">
        <f t="shared" si="16"/>
        <v>316138222.90809786</v>
      </c>
      <c r="K99" s="4">
        <f t="shared" si="17"/>
        <v>8.0614968546210586E-2</v>
      </c>
    </row>
    <row r="100" spans="1:11" x14ac:dyDescent="0.25">
      <c r="A100" s="1" t="s">
        <v>100</v>
      </c>
      <c r="B100" s="29">
        <v>99</v>
      </c>
      <c r="C100" s="28">
        <v>3</v>
      </c>
      <c r="D100" s="2">
        <v>253114</v>
      </c>
      <c r="E100">
        <f t="shared" si="18"/>
        <v>224384.23316705663</v>
      </c>
      <c r="F100">
        <f t="shared" si="12"/>
        <v>1.0318803669716561</v>
      </c>
      <c r="G100">
        <f t="shared" si="13"/>
        <v>231537.68486307605</v>
      </c>
      <c r="H100">
        <f t="shared" si="14"/>
        <v>21576.315136923949</v>
      </c>
      <c r="I100">
        <f t="shared" si="15"/>
        <v>21576.315136923949</v>
      </c>
      <c r="J100">
        <f t="shared" si="16"/>
        <v>465537374.88785356</v>
      </c>
      <c r="K100" s="4">
        <f t="shared" si="17"/>
        <v>8.5243467911391507E-2</v>
      </c>
    </row>
    <row r="101" spans="1:11" x14ac:dyDescent="0.25">
      <c r="A101" s="1" t="s">
        <v>101</v>
      </c>
      <c r="B101" s="29">
        <v>100</v>
      </c>
      <c r="C101" s="28">
        <v>4</v>
      </c>
      <c r="D101" s="2">
        <v>246132</v>
      </c>
      <c r="E101">
        <f t="shared" si="18"/>
        <v>223738.99681531949</v>
      </c>
      <c r="F101">
        <f t="shared" si="12"/>
        <v>0.98919096515192839</v>
      </c>
      <c r="G101">
        <f t="shared" si="13"/>
        <v>221320.59420187012</v>
      </c>
      <c r="H101">
        <f t="shared" si="14"/>
        <v>24811.405798129883</v>
      </c>
      <c r="I101">
        <f t="shared" si="15"/>
        <v>24811.405798129883</v>
      </c>
      <c r="J101">
        <f t="shared" si="16"/>
        <v>615605857.67947316</v>
      </c>
      <c r="K101" s="4">
        <f t="shared" si="17"/>
        <v>0.10080528252372663</v>
      </c>
    </row>
    <row r="102" spans="1:11" x14ac:dyDescent="0.25">
      <c r="A102" s="1" t="s">
        <v>102</v>
      </c>
      <c r="B102" s="28">
        <v>101</v>
      </c>
      <c r="C102" s="28">
        <v>5</v>
      </c>
      <c r="D102" s="2">
        <v>264554</v>
      </c>
      <c r="E102">
        <f t="shared" si="18"/>
        <v>223093.76046358235</v>
      </c>
      <c r="F102">
        <f t="shared" si="12"/>
        <v>1.0295836693414431</v>
      </c>
      <c r="G102">
        <f t="shared" si="13"/>
        <v>229693.69250527609</v>
      </c>
      <c r="H102">
        <f t="shared" si="14"/>
        <v>34860.307494723907</v>
      </c>
      <c r="I102">
        <f t="shared" si="15"/>
        <v>34860.307494723907</v>
      </c>
      <c r="J102">
        <f t="shared" si="16"/>
        <v>1215241038.6267037</v>
      </c>
      <c r="K102" s="4">
        <f t="shared" si="17"/>
        <v>0.13177010173621986</v>
      </c>
    </row>
    <row r="103" spans="1:11" x14ac:dyDescent="0.25">
      <c r="A103" s="1" t="s">
        <v>103</v>
      </c>
      <c r="B103" s="28">
        <v>102</v>
      </c>
      <c r="C103" s="28">
        <v>6</v>
      </c>
      <c r="D103" s="2">
        <v>242677</v>
      </c>
      <c r="E103">
        <f t="shared" si="18"/>
        <v>222448.52411184518</v>
      </c>
      <c r="F103">
        <f t="shared" si="12"/>
        <v>1.0182564274283079</v>
      </c>
      <c r="G103">
        <f t="shared" si="13"/>
        <v>226509.63944882728</v>
      </c>
      <c r="H103">
        <f t="shared" si="14"/>
        <v>16167.360551172722</v>
      </c>
      <c r="I103">
        <f t="shared" si="15"/>
        <v>16167.360551172722</v>
      </c>
      <c r="J103">
        <f t="shared" si="16"/>
        <v>261383547.19161594</v>
      </c>
      <c r="K103" s="4">
        <f t="shared" si="17"/>
        <v>6.6620901655998391E-2</v>
      </c>
    </row>
    <row r="104" spans="1:11" x14ac:dyDescent="0.25">
      <c r="A104" s="1" t="s">
        <v>104</v>
      </c>
      <c r="B104" s="28">
        <v>103</v>
      </c>
      <c r="C104" s="28">
        <v>7</v>
      </c>
      <c r="D104" s="2">
        <v>245369</v>
      </c>
      <c r="E104">
        <f t="shared" si="18"/>
        <v>221803.28776010807</v>
      </c>
      <c r="F104">
        <f t="shared" si="12"/>
        <v>1.0446998825244065</v>
      </c>
      <c r="G104">
        <f t="shared" si="13"/>
        <v>231717.86866651202</v>
      </c>
      <c r="H104">
        <f t="shared" si="14"/>
        <v>13651.131333487981</v>
      </c>
      <c r="I104">
        <f t="shared" si="15"/>
        <v>13651.131333487981</v>
      </c>
      <c r="J104">
        <f t="shared" si="16"/>
        <v>186353386.68413734</v>
      </c>
      <c r="K104" s="4">
        <f t="shared" si="17"/>
        <v>5.5635110113698066E-2</v>
      </c>
    </row>
    <row r="105" spans="1:11" x14ac:dyDescent="0.25">
      <c r="A105" s="1" t="s">
        <v>105</v>
      </c>
      <c r="B105" s="29">
        <v>104</v>
      </c>
      <c r="C105" s="28">
        <v>8</v>
      </c>
      <c r="D105" s="2">
        <v>245611</v>
      </c>
      <c r="E105">
        <f t="shared" si="18"/>
        <v>221158.0514083709</v>
      </c>
      <c r="F105">
        <f t="shared" si="12"/>
        <v>1.0304540097136683</v>
      </c>
      <c r="G105">
        <f t="shared" si="13"/>
        <v>227893.20085421737</v>
      </c>
      <c r="H105">
        <f t="shared" si="14"/>
        <v>17717.799145782628</v>
      </c>
      <c r="I105">
        <f t="shared" si="15"/>
        <v>17717.799145782628</v>
      </c>
      <c r="J105">
        <f t="shared" si="16"/>
        <v>313920406.57029563</v>
      </c>
      <c r="K105" s="4">
        <f t="shared" si="17"/>
        <v>7.213764508015777E-2</v>
      </c>
    </row>
    <row r="106" spans="1:11" x14ac:dyDescent="0.25">
      <c r="A106" s="1" t="s">
        <v>106</v>
      </c>
      <c r="B106" s="29">
        <v>105</v>
      </c>
      <c r="C106" s="28">
        <v>9</v>
      </c>
      <c r="D106" s="2">
        <v>219708</v>
      </c>
      <c r="E106">
        <f t="shared" si="18"/>
        <v>220512.81505663376</v>
      </c>
      <c r="F106">
        <f t="shared" si="12"/>
        <v>0.97834833071112637</v>
      </c>
      <c r="G106">
        <f t="shared" si="13"/>
        <v>215738.34451106898</v>
      </c>
      <c r="H106">
        <f t="shared" si="14"/>
        <v>3969.655488931021</v>
      </c>
      <c r="I106">
        <f t="shared" si="15"/>
        <v>3969.655488931021</v>
      </c>
      <c r="J106">
        <f t="shared" si="16"/>
        <v>15758164.700800182</v>
      </c>
      <c r="K106" s="4">
        <f t="shared" si="17"/>
        <v>1.8067869576579011E-2</v>
      </c>
    </row>
    <row r="107" spans="1:11" x14ac:dyDescent="0.25">
      <c r="A107" s="1" t="s">
        <v>107</v>
      </c>
      <c r="B107" s="28">
        <v>106</v>
      </c>
      <c r="C107" s="28">
        <v>10</v>
      </c>
      <c r="D107" s="2">
        <v>238109</v>
      </c>
      <c r="E107">
        <f t="shared" si="18"/>
        <v>219867.57870489662</v>
      </c>
      <c r="F107">
        <f t="shared" si="12"/>
        <v>0.97341986051076168</v>
      </c>
      <c r="G107">
        <f t="shared" si="13"/>
        <v>214023.46779375937</v>
      </c>
      <c r="H107">
        <f t="shared" si="14"/>
        <v>24085.532206240634</v>
      </c>
      <c r="I107">
        <f t="shared" si="15"/>
        <v>24085.532206240634</v>
      </c>
      <c r="J107">
        <f t="shared" si="16"/>
        <v>580112861.6578548</v>
      </c>
      <c r="K107" s="4">
        <f t="shared" si="17"/>
        <v>0.10115338860034956</v>
      </c>
    </row>
    <row r="108" spans="1:11" x14ac:dyDescent="0.25">
      <c r="A108" s="1" t="s">
        <v>108</v>
      </c>
      <c r="B108" s="28">
        <v>107</v>
      </c>
      <c r="C108" s="28">
        <v>11</v>
      </c>
      <c r="D108" s="2">
        <v>230230</v>
      </c>
      <c r="E108">
        <f t="shared" si="18"/>
        <v>219222.34235315947</v>
      </c>
      <c r="F108">
        <f t="shared" si="12"/>
        <v>0.95746351863048529</v>
      </c>
      <c r="G108">
        <f t="shared" si="13"/>
        <v>209897.39527187293</v>
      </c>
      <c r="H108">
        <f t="shared" si="14"/>
        <v>20332.604728127073</v>
      </c>
      <c r="I108">
        <f t="shared" si="15"/>
        <v>20332.604728127073</v>
      </c>
      <c r="J108">
        <f t="shared" si="16"/>
        <v>413414815.03025538</v>
      </c>
      <c r="K108" s="4">
        <f t="shared" si="17"/>
        <v>8.8314314937788616E-2</v>
      </c>
    </row>
    <row r="109" spans="1:11" x14ac:dyDescent="0.25">
      <c r="A109" s="1" t="s">
        <v>109</v>
      </c>
      <c r="B109" s="28">
        <v>108</v>
      </c>
      <c r="C109" s="28">
        <v>12</v>
      </c>
      <c r="D109" s="2">
        <v>241245</v>
      </c>
      <c r="E109">
        <f t="shared" si="18"/>
        <v>218577.10600142233</v>
      </c>
      <c r="F109">
        <f t="shared" si="12"/>
        <v>1.0059999945842792</v>
      </c>
      <c r="G109">
        <f t="shared" si="13"/>
        <v>219888.56745367829</v>
      </c>
      <c r="H109">
        <f t="shared" si="14"/>
        <v>21356.43254632171</v>
      </c>
      <c r="I109">
        <f t="shared" si="15"/>
        <v>21356.43254632171</v>
      </c>
      <c r="J109">
        <f t="shared" si="16"/>
        <v>456097211.10558921</v>
      </c>
      <c r="K109" s="4">
        <f t="shared" si="17"/>
        <v>8.8525907464700654E-2</v>
      </c>
    </row>
    <row r="110" spans="1:11" x14ac:dyDescent="0.25">
      <c r="A110" s="1" t="s">
        <v>110</v>
      </c>
      <c r="B110" s="29">
        <v>109</v>
      </c>
      <c r="C110" s="28">
        <v>1</v>
      </c>
      <c r="D110" s="2">
        <v>248552</v>
      </c>
      <c r="E110">
        <f t="shared" si="18"/>
        <v>217931.86964968516</v>
      </c>
      <c r="F110">
        <f t="shared" si="12"/>
        <v>1.0400152419023756</v>
      </c>
      <c r="G110">
        <f t="shared" si="13"/>
        <v>226652.46613195431</v>
      </c>
      <c r="H110">
        <f t="shared" si="14"/>
        <v>21899.533868045692</v>
      </c>
      <c r="I110">
        <f t="shared" si="15"/>
        <v>21899.533868045692</v>
      </c>
      <c r="J110">
        <f t="shared" si="16"/>
        <v>479589583.63768029</v>
      </c>
      <c r="K110" s="4">
        <f t="shared" si="17"/>
        <v>8.8108459670594858E-2</v>
      </c>
    </row>
    <row r="111" spans="1:11" x14ac:dyDescent="0.25">
      <c r="A111" s="1" t="s">
        <v>111</v>
      </c>
      <c r="B111" s="29">
        <v>110</v>
      </c>
      <c r="C111" s="28">
        <v>2</v>
      </c>
      <c r="D111" s="2">
        <v>209942</v>
      </c>
      <c r="E111">
        <f t="shared" si="18"/>
        <v>217286.63329794805</v>
      </c>
      <c r="F111">
        <f t="shared" si="12"/>
        <v>0.90111630357129513</v>
      </c>
      <c r="G111">
        <f t="shared" si="13"/>
        <v>195800.52781289845</v>
      </c>
      <c r="H111">
        <f t="shared" si="14"/>
        <v>14141.47218710155</v>
      </c>
      <c r="I111">
        <f t="shared" si="15"/>
        <v>14141.47218710155</v>
      </c>
      <c r="J111">
        <f t="shared" si="16"/>
        <v>199981235.61856669</v>
      </c>
      <c r="K111" s="4">
        <f t="shared" si="17"/>
        <v>6.7358947647929185E-2</v>
      </c>
    </row>
    <row r="112" spans="1:11" x14ac:dyDescent="0.25">
      <c r="A112" s="1" t="s">
        <v>112</v>
      </c>
      <c r="B112" s="28">
        <v>111</v>
      </c>
      <c r="C112" s="28">
        <v>3</v>
      </c>
      <c r="D112" s="2">
        <v>236216</v>
      </c>
      <c r="E112">
        <f t="shared" si="18"/>
        <v>216641.39694621088</v>
      </c>
      <c r="F112">
        <f t="shared" si="12"/>
        <v>1.0318803669716561</v>
      </c>
      <c r="G112">
        <f t="shared" si="13"/>
        <v>223548.0041821083</v>
      </c>
      <c r="H112">
        <f t="shared" si="14"/>
        <v>12667.9958178917</v>
      </c>
      <c r="I112">
        <f t="shared" si="15"/>
        <v>12667.9958178917</v>
      </c>
      <c r="J112">
        <f t="shared" si="16"/>
        <v>160478118.04212162</v>
      </c>
      <c r="K112" s="4">
        <f t="shared" si="17"/>
        <v>5.362886433557295E-2</v>
      </c>
    </row>
    <row r="113" spans="1:11" x14ac:dyDescent="0.25">
      <c r="A113" s="1" t="s">
        <v>113</v>
      </c>
      <c r="B113" s="28">
        <v>112</v>
      </c>
      <c r="C113" s="28">
        <v>4</v>
      </c>
      <c r="D113" s="2">
        <v>247608</v>
      </c>
      <c r="E113">
        <f t="shared" si="18"/>
        <v>215996.16059447374</v>
      </c>
      <c r="F113">
        <f t="shared" si="12"/>
        <v>0.98919096515192839</v>
      </c>
      <c r="G113">
        <f t="shared" si="13"/>
        <v>213661.45056755841</v>
      </c>
      <c r="H113">
        <f t="shared" si="14"/>
        <v>33946.549432441592</v>
      </c>
      <c r="I113">
        <f t="shared" si="15"/>
        <v>33946.549432441592</v>
      </c>
      <c r="J113">
        <f t="shared" si="16"/>
        <v>1152368218.3692005</v>
      </c>
      <c r="K113" s="4">
        <f t="shared" si="17"/>
        <v>0.13709795092420921</v>
      </c>
    </row>
    <row r="114" spans="1:11" x14ac:dyDescent="0.25">
      <c r="A114" s="1" t="s">
        <v>114</v>
      </c>
      <c r="B114" s="28">
        <v>113</v>
      </c>
      <c r="C114" s="28">
        <v>5</v>
      </c>
      <c r="D114" s="2">
        <v>242857</v>
      </c>
      <c r="E114">
        <f t="shared" si="18"/>
        <v>215350.9242427366</v>
      </c>
      <c r="F114">
        <f t="shared" si="12"/>
        <v>1.0295836693414431</v>
      </c>
      <c r="G114">
        <f t="shared" si="13"/>
        <v>221721.79477790787</v>
      </c>
      <c r="H114">
        <f t="shared" si="14"/>
        <v>21135.205222092132</v>
      </c>
      <c r="I114">
        <f t="shared" si="15"/>
        <v>21135.205222092132</v>
      </c>
      <c r="J114">
        <f t="shared" si="16"/>
        <v>446696899.77995056</v>
      </c>
      <c r="K114" s="4">
        <f t="shared" si="17"/>
        <v>8.7027366812948079E-2</v>
      </c>
    </row>
    <row r="115" spans="1:11" x14ac:dyDescent="0.25">
      <c r="A115" s="1" t="s">
        <v>115</v>
      </c>
      <c r="B115" s="29">
        <v>114</v>
      </c>
      <c r="C115" s="28">
        <v>6</v>
      </c>
      <c r="D115" s="2">
        <v>254283</v>
      </c>
      <c r="E115">
        <f t="shared" si="18"/>
        <v>214705.68789099946</v>
      </c>
      <c r="F115">
        <f t="shared" si="12"/>
        <v>1.0182564274283079</v>
      </c>
      <c r="G115">
        <f t="shared" si="13"/>
        <v>218625.44670042643</v>
      </c>
      <c r="H115">
        <f t="shared" si="14"/>
        <v>35657.55329957357</v>
      </c>
      <c r="I115">
        <f t="shared" si="15"/>
        <v>35657.55329957357</v>
      </c>
      <c r="J115">
        <f t="shared" si="16"/>
        <v>1271461107.3119299</v>
      </c>
      <c r="K115" s="4">
        <f t="shared" si="17"/>
        <v>0.1402278300144861</v>
      </c>
    </row>
    <row r="116" spans="1:11" x14ac:dyDescent="0.25">
      <c r="A116" s="1" t="s">
        <v>116</v>
      </c>
      <c r="B116" s="29">
        <v>115</v>
      </c>
      <c r="C116" s="28">
        <v>7</v>
      </c>
      <c r="D116" s="2">
        <v>246671</v>
      </c>
      <c r="E116">
        <f t="shared" si="18"/>
        <v>214060.45153926231</v>
      </c>
      <c r="F116">
        <f t="shared" si="12"/>
        <v>1.0446998825244065</v>
      </c>
      <c r="G116">
        <f t="shared" si="13"/>
        <v>223628.92857618874</v>
      </c>
      <c r="H116">
        <f t="shared" si="14"/>
        <v>23042.071423811256</v>
      </c>
      <c r="I116">
        <f t="shared" si="15"/>
        <v>23042.071423811256</v>
      </c>
      <c r="J116">
        <f t="shared" si="16"/>
        <v>530937055.50001925</v>
      </c>
      <c r="K116" s="4">
        <f t="shared" si="17"/>
        <v>9.3412162045036731E-2</v>
      </c>
    </row>
    <row r="117" spans="1:11" x14ac:dyDescent="0.25">
      <c r="A117" s="1" t="s">
        <v>117</v>
      </c>
      <c r="B117" s="28">
        <v>116</v>
      </c>
      <c r="C117" s="28">
        <v>8</v>
      </c>
      <c r="D117" s="2">
        <v>247656</v>
      </c>
      <c r="E117">
        <f t="shared" si="18"/>
        <v>213415.21518752514</v>
      </c>
      <c r="F117">
        <f t="shared" si="12"/>
        <v>1.0304540097136683</v>
      </c>
      <c r="G117">
        <f t="shared" si="13"/>
        <v>219914.56422389066</v>
      </c>
      <c r="H117">
        <f t="shared" si="14"/>
        <v>27741.435776109342</v>
      </c>
      <c r="I117">
        <f t="shared" si="15"/>
        <v>27741.435776109342</v>
      </c>
      <c r="J117">
        <f t="shared" si="16"/>
        <v>769587258.91999936</v>
      </c>
      <c r="K117" s="4">
        <f t="shared" si="17"/>
        <v>0.11201600516890098</v>
      </c>
    </row>
    <row r="118" spans="1:11" x14ac:dyDescent="0.25">
      <c r="A118" s="1" t="s">
        <v>118</v>
      </c>
      <c r="B118" s="28">
        <v>117</v>
      </c>
      <c r="C118" s="28">
        <v>9</v>
      </c>
      <c r="D118" s="2">
        <v>227795</v>
      </c>
      <c r="E118">
        <f t="shared" si="18"/>
        <v>212769.97883578803</v>
      </c>
      <c r="F118">
        <f t="shared" si="12"/>
        <v>0.97834833071112637</v>
      </c>
      <c r="G118">
        <f t="shared" si="13"/>
        <v>208163.15361943492</v>
      </c>
      <c r="H118">
        <f t="shared" si="14"/>
        <v>19631.846380565083</v>
      </c>
      <c r="I118">
        <f t="shared" si="15"/>
        <v>19631.846380565083</v>
      </c>
      <c r="J118">
        <f t="shared" si="16"/>
        <v>385409392.31010634</v>
      </c>
      <c r="K118" s="4">
        <f t="shared" si="17"/>
        <v>8.6182077660023629E-2</v>
      </c>
    </row>
    <row r="119" spans="1:11" x14ac:dyDescent="0.25">
      <c r="A119" s="1" t="s">
        <v>119</v>
      </c>
      <c r="B119" s="28">
        <v>118</v>
      </c>
      <c r="C119" s="28">
        <v>10</v>
      </c>
      <c r="D119" s="2">
        <v>227975</v>
      </c>
      <c r="E119">
        <f t="shared" si="18"/>
        <v>212124.74248405086</v>
      </c>
      <c r="F119">
        <f t="shared" si="12"/>
        <v>0.97341986051076168</v>
      </c>
      <c r="G119">
        <f t="shared" si="13"/>
        <v>206486.43723970602</v>
      </c>
      <c r="H119">
        <f t="shared" si="14"/>
        <v>21488.562760293978</v>
      </c>
      <c r="I119">
        <f t="shared" si="15"/>
        <v>21488.562760293978</v>
      </c>
      <c r="J119">
        <f t="shared" si="16"/>
        <v>461758329.50309318</v>
      </c>
      <c r="K119" s="4">
        <f t="shared" si="17"/>
        <v>9.4258417634801972E-2</v>
      </c>
    </row>
    <row r="120" spans="1:11" x14ac:dyDescent="0.25">
      <c r="A120" s="1" t="s">
        <v>120</v>
      </c>
      <c r="B120" s="29">
        <v>119</v>
      </c>
      <c r="C120" s="28">
        <v>11</v>
      </c>
      <c r="D120" s="2">
        <v>226251</v>
      </c>
      <c r="E120">
        <f t="shared" si="18"/>
        <v>211479.50613231372</v>
      </c>
      <c r="F120">
        <f t="shared" si="12"/>
        <v>0.95746351863048529</v>
      </c>
      <c r="G120">
        <f t="shared" si="13"/>
        <v>202483.91205968239</v>
      </c>
      <c r="H120">
        <f t="shared" si="14"/>
        <v>23767.087940317608</v>
      </c>
      <c r="I120">
        <f t="shared" si="15"/>
        <v>23767.087940317608</v>
      </c>
      <c r="J120">
        <f t="shared" si="16"/>
        <v>564874469.16279066</v>
      </c>
      <c r="K120" s="4">
        <f t="shared" si="17"/>
        <v>0.10504743820057197</v>
      </c>
    </row>
    <row r="121" spans="1:11" x14ac:dyDescent="0.25">
      <c r="A121" s="1" t="s">
        <v>121</v>
      </c>
      <c r="B121" s="29">
        <v>120</v>
      </c>
      <c r="C121" s="28">
        <v>12</v>
      </c>
      <c r="D121" s="2">
        <v>219240</v>
      </c>
      <c r="E121">
        <f t="shared" si="18"/>
        <v>210834.26978057658</v>
      </c>
      <c r="F121">
        <f t="shared" si="12"/>
        <v>1.0059999945842792</v>
      </c>
      <c r="G121">
        <f t="shared" si="13"/>
        <v>212099.2742574405</v>
      </c>
      <c r="H121">
        <f t="shared" si="14"/>
        <v>7140.7257425595017</v>
      </c>
      <c r="I121">
        <f t="shared" si="15"/>
        <v>7140.7257425595017</v>
      </c>
      <c r="J121">
        <f t="shared" si="16"/>
        <v>50989964.130451947</v>
      </c>
      <c r="K121" s="4">
        <f t="shared" si="17"/>
        <v>3.2570360073706901E-2</v>
      </c>
    </row>
    <row r="122" spans="1:11" x14ac:dyDescent="0.25">
      <c r="A122" s="1" t="s">
        <v>122</v>
      </c>
      <c r="B122" s="28">
        <v>121</v>
      </c>
      <c r="C122" s="28">
        <v>1</v>
      </c>
      <c r="D122" s="2">
        <v>234307</v>
      </c>
      <c r="E122">
        <f t="shared" si="18"/>
        <v>210189.03342883944</v>
      </c>
      <c r="F122">
        <f t="shared" si="12"/>
        <v>1.0400152419023756</v>
      </c>
      <c r="G122">
        <f t="shared" si="13"/>
        <v>218599.79844672096</v>
      </c>
      <c r="H122">
        <f t="shared" si="14"/>
        <v>15707.201553279039</v>
      </c>
      <c r="I122">
        <f t="shared" si="15"/>
        <v>15707.201553279039</v>
      </c>
      <c r="J122">
        <f t="shared" si="16"/>
        <v>246716180.63533145</v>
      </c>
      <c r="K122" s="4">
        <f t="shared" si="17"/>
        <v>6.7036842916682132E-2</v>
      </c>
    </row>
    <row r="123" spans="1:11" x14ac:dyDescent="0.25">
      <c r="A123" s="1" t="s">
        <v>123</v>
      </c>
      <c r="B123" s="28">
        <v>122</v>
      </c>
      <c r="C123" s="28">
        <v>2</v>
      </c>
      <c r="D123" s="2">
        <v>178257</v>
      </c>
      <c r="E123">
        <f t="shared" si="18"/>
        <v>209543.7970771023</v>
      </c>
      <c r="F123">
        <f t="shared" si="12"/>
        <v>0.90111630357129513</v>
      </c>
      <c r="G123">
        <f t="shared" si="13"/>
        <v>188823.33185841198</v>
      </c>
      <c r="H123">
        <f t="shared" si="14"/>
        <v>-10566.331858411984</v>
      </c>
      <c r="I123">
        <f t="shared" si="15"/>
        <v>10566.331858411984</v>
      </c>
      <c r="J123">
        <f t="shared" si="16"/>
        <v>111647368.94209206</v>
      </c>
      <c r="K123" s="4">
        <f t="shared" si="17"/>
        <v>5.927583129084403E-2</v>
      </c>
    </row>
    <row r="124" spans="1:11" x14ac:dyDescent="0.25">
      <c r="A124" s="1" t="s">
        <v>124</v>
      </c>
      <c r="B124" s="28">
        <v>123</v>
      </c>
      <c r="C124" s="28">
        <v>3</v>
      </c>
      <c r="D124" s="2">
        <v>210276</v>
      </c>
      <c r="E124">
        <f t="shared" si="18"/>
        <v>208898.56072536513</v>
      </c>
      <c r="F124">
        <f t="shared" si="12"/>
        <v>1.0318803669716561</v>
      </c>
      <c r="G124">
        <f t="shared" si="13"/>
        <v>215558.32350114055</v>
      </c>
      <c r="H124">
        <f t="shared" si="14"/>
        <v>-5282.3235011405486</v>
      </c>
      <c r="I124">
        <f t="shared" si="15"/>
        <v>5282.3235011405486</v>
      </c>
      <c r="J124">
        <f t="shared" si="16"/>
        <v>27902941.570701744</v>
      </c>
      <c r="K124" s="4">
        <f t="shared" si="17"/>
        <v>2.5120905386922656E-2</v>
      </c>
    </row>
    <row r="125" spans="1:11" x14ac:dyDescent="0.25">
      <c r="A125" s="1" t="s">
        <v>125</v>
      </c>
      <c r="B125" s="29">
        <v>124</v>
      </c>
      <c r="C125" s="28">
        <v>4</v>
      </c>
      <c r="D125" s="2">
        <v>209958</v>
      </c>
      <c r="E125">
        <f t="shared" si="18"/>
        <v>208253.32437362801</v>
      </c>
      <c r="F125">
        <f t="shared" si="12"/>
        <v>0.98919096515192839</v>
      </c>
      <c r="G125">
        <f t="shared" si="13"/>
        <v>206002.3069332467</v>
      </c>
      <c r="H125">
        <f t="shared" si="14"/>
        <v>3955.6930667533015</v>
      </c>
      <c r="I125">
        <f t="shared" si="15"/>
        <v>3955.6930667533015</v>
      </c>
      <c r="J125">
        <f t="shared" si="16"/>
        <v>15647507.638360139</v>
      </c>
      <c r="K125" s="4">
        <f t="shared" si="17"/>
        <v>1.8840401731552509E-2</v>
      </c>
    </row>
    <row r="126" spans="1:11" x14ac:dyDescent="0.25">
      <c r="A126" s="1" t="s">
        <v>126</v>
      </c>
      <c r="B126" s="29">
        <v>125</v>
      </c>
      <c r="C126" s="28">
        <v>5</v>
      </c>
      <c r="D126" s="2">
        <v>221259</v>
      </c>
      <c r="E126">
        <f t="shared" si="18"/>
        <v>207608.08802189084</v>
      </c>
      <c r="F126">
        <f t="shared" si="12"/>
        <v>1.0295836693414431</v>
      </c>
      <c r="G126">
        <f t="shared" si="13"/>
        <v>213749.89705053967</v>
      </c>
      <c r="H126">
        <f t="shared" si="14"/>
        <v>7509.1029494603281</v>
      </c>
      <c r="I126">
        <f t="shared" si="15"/>
        <v>7509.1029494603281</v>
      </c>
      <c r="J126">
        <f t="shared" si="16"/>
        <v>56386627.105593801</v>
      </c>
      <c r="K126" s="4">
        <f t="shared" si="17"/>
        <v>3.3938067827570077E-2</v>
      </c>
    </row>
    <row r="127" spans="1:11" x14ac:dyDescent="0.25">
      <c r="A127" s="1" t="s">
        <v>127</v>
      </c>
      <c r="B127" s="28">
        <v>126</v>
      </c>
      <c r="C127" s="28">
        <v>6</v>
      </c>
      <c r="D127" s="2">
        <v>214563</v>
      </c>
      <c r="E127">
        <f t="shared" si="18"/>
        <v>206962.85167015373</v>
      </c>
      <c r="F127">
        <f t="shared" si="12"/>
        <v>1.0182564274283079</v>
      </c>
      <c r="G127">
        <f t="shared" si="13"/>
        <v>210741.25395202555</v>
      </c>
      <c r="H127">
        <f t="shared" si="14"/>
        <v>3821.7460479744477</v>
      </c>
      <c r="I127">
        <f t="shared" si="15"/>
        <v>3821.7460479744477</v>
      </c>
      <c r="J127">
        <f t="shared" si="16"/>
        <v>14605742.855208309</v>
      </c>
      <c r="K127" s="4">
        <f t="shared" si="17"/>
        <v>1.7811766464742047E-2</v>
      </c>
    </row>
    <row r="128" spans="1:11" x14ac:dyDescent="0.25">
      <c r="A128" s="1" t="s">
        <v>128</v>
      </c>
      <c r="B128" s="28">
        <v>127</v>
      </c>
      <c r="C128" s="28">
        <v>7</v>
      </c>
      <c r="D128" s="2">
        <v>215083</v>
      </c>
      <c r="E128">
        <f t="shared" si="18"/>
        <v>206317.61531841656</v>
      </c>
      <c r="F128">
        <f t="shared" si="12"/>
        <v>1.0446998825244065</v>
      </c>
      <c r="G128">
        <f t="shared" si="13"/>
        <v>215539.98848586547</v>
      </c>
      <c r="H128">
        <f t="shared" si="14"/>
        <v>-456.98848586546956</v>
      </c>
      <c r="I128">
        <f t="shared" si="15"/>
        <v>456.98848586546956</v>
      </c>
      <c r="J128">
        <f t="shared" si="16"/>
        <v>208838.47621361446</v>
      </c>
      <c r="K128" s="4">
        <f t="shared" si="17"/>
        <v>2.1247076052754964E-3</v>
      </c>
    </row>
    <row r="129" spans="1:11" x14ac:dyDescent="0.25">
      <c r="A129" s="1" t="s">
        <v>129</v>
      </c>
      <c r="B129" s="28">
        <v>128</v>
      </c>
      <c r="C129" s="28">
        <v>8</v>
      </c>
      <c r="D129" s="2">
        <v>215273</v>
      </c>
      <c r="E129">
        <f t="shared" si="18"/>
        <v>205672.37896667942</v>
      </c>
      <c r="F129">
        <f t="shared" si="12"/>
        <v>1.0304540097136683</v>
      </c>
      <c r="G129">
        <f t="shared" si="13"/>
        <v>211935.92759356395</v>
      </c>
      <c r="H129">
        <f t="shared" si="14"/>
        <v>3337.0724064360547</v>
      </c>
      <c r="I129">
        <f t="shared" si="15"/>
        <v>3337.0724064360547</v>
      </c>
      <c r="J129">
        <f t="shared" si="16"/>
        <v>11136052.245796921</v>
      </c>
      <c r="K129" s="4">
        <f t="shared" si="17"/>
        <v>1.5501583600526099E-2</v>
      </c>
    </row>
    <row r="130" spans="1:11" x14ac:dyDescent="0.25">
      <c r="A130" s="1" t="s">
        <v>130</v>
      </c>
      <c r="B130" s="29">
        <v>129</v>
      </c>
      <c r="C130" s="28">
        <v>9</v>
      </c>
      <c r="D130" s="2">
        <v>194485</v>
      </c>
      <c r="E130">
        <f t="shared" ref="E130:E161" si="19">_xlfn.FORECAST.LINEAR(B130,$D$2:$D$168,$B$2:$B$168)</f>
        <v>205027.14261494228</v>
      </c>
      <c r="F130">
        <f t="shared" si="12"/>
        <v>0.97834833071112637</v>
      </c>
      <c r="G130">
        <f t="shared" si="13"/>
        <v>200587.96272780083</v>
      </c>
      <c r="H130">
        <f t="shared" si="14"/>
        <v>-6102.9627278008265</v>
      </c>
      <c r="I130">
        <f t="shared" si="15"/>
        <v>6102.9627278008265</v>
      </c>
      <c r="J130">
        <f t="shared" si="16"/>
        <v>37246154.056926109</v>
      </c>
      <c r="K130" s="4">
        <f t="shared" si="17"/>
        <v>3.1380120460708164E-2</v>
      </c>
    </row>
    <row r="131" spans="1:11" x14ac:dyDescent="0.25">
      <c r="A131" s="1" t="s">
        <v>131</v>
      </c>
      <c r="B131" s="29">
        <v>130</v>
      </c>
      <c r="C131" s="28">
        <v>10</v>
      </c>
      <c r="D131" s="2">
        <v>193493</v>
      </c>
      <c r="E131">
        <f t="shared" si="19"/>
        <v>204381.90626320511</v>
      </c>
      <c r="F131">
        <f t="shared" ref="F131:F168" si="20">_xlfn.XLOOKUP(C131,$O$3:$O$14,$R$3:$R$14,"-",0)</f>
        <v>0.97341986051076168</v>
      </c>
      <c r="G131">
        <f t="shared" ref="G131:G168" si="21">E131*F131</f>
        <v>198949.40668565268</v>
      </c>
      <c r="H131">
        <f t="shared" ref="H131:H168" si="22">D131-G131</f>
        <v>-5456.406685652677</v>
      </c>
      <c r="I131">
        <f t="shared" ref="I131:I168" si="23">ABS(H131)</f>
        <v>5456.406685652677</v>
      </c>
      <c r="J131">
        <f t="shared" ref="J131:J168" si="24">I131^2</f>
        <v>29772373.919235229</v>
      </c>
      <c r="K131" s="4">
        <f t="shared" ref="K131:K168" si="25">I131/D131</f>
        <v>2.8199504300686212E-2</v>
      </c>
    </row>
    <row r="132" spans="1:11" x14ac:dyDescent="0.25">
      <c r="A132" s="1" t="s">
        <v>132</v>
      </c>
      <c r="B132" s="28">
        <v>131</v>
      </c>
      <c r="C132" s="28">
        <v>11</v>
      </c>
      <c r="D132" s="2">
        <v>174531</v>
      </c>
      <c r="E132">
        <f t="shared" si="19"/>
        <v>203736.66991146799</v>
      </c>
      <c r="F132">
        <f t="shared" si="20"/>
        <v>0.95746351863048529</v>
      </c>
      <c r="G132">
        <f t="shared" si="21"/>
        <v>195070.42884749186</v>
      </c>
      <c r="H132">
        <f t="shared" si="22"/>
        <v>-20539.428847491858</v>
      </c>
      <c r="I132">
        <f t="shared" si="23"/>
        <v>20539.428847491858</v>
      </c>
      <c r="J132">
        <f t="shared" si="24"/>
        <v>421868137.3811807</v>
      </c>
      <c r="K132" s="4">
        <f t="shared" si="25"/>
        <v>0.11768355677496753</v>
      </c>
    </row>
    <row r="133" spans="1:11" x14ac:dyDescent="0.25">
      <c r="A133" s="1" t="s">
        <v>133</v>
      </c>
      <c r="B133" s="28">
        <v>132</v>
      </c>
      <c r="C133" s="28">
        <v>12</v>
      </c>
      <c r="D133" s="2">
        <v>211837</v>
      </c>
      <c r="E133">
        <f t="shared" si="19"/>
        <v>203091.43355973082</v>
      </c>
      <c r="F133">
        <f t="shared" si="20"/>
        <v>1.0059999945842792</v>
      </c>
      <c r="G133">
        <f t="shared" si="21"/>
        <v>204309.98106120271</v>
      </c>
      <c r="H133">
        <f t="shared" si="22"/>
        <v>7527.0189387972932</v>
      </c>
      <c r="I133">
        <f t="shared" si="23"/>
        <v>7527.0189387972932</v>
      </c>
      <c r="J133">
        <f t="shared" si="24"/>
        <v>56656014.105013132</v>
      </c>
      <c r="K133" s="4">
        <f t="shared" si="25"/>
        <v>3.5532125826920197E-2</v>
      </c>
    </row>
    <row r="134" spans="1:11" x14ac:dyDescent="0.25">
      <c r="A134" s="1" t="s">
        <v>134</v>
      </c>
      <c r="B134" s="28">
        <v>133</v>
      </c>
      <c r="C134" s="28">
        <v>1</v>
      </c>
      <c r="D134" s="2">
        <v>198663</v>
      </c>
      <c r="E134">
        <f t="shared" si="19"/>
        <v>202446.19720799371</v>
      </c>
      <c r="F134">
        <f t="shared" si="20"/>
        <v>1.0400152419023756</v>
      </c>
      <c r="G134">
        <f t="shared" si="21"/>
        <v>210547.13076148761</v>
      </c>
      <c r="H134">
        <f t="shared" si="22"/>
        <v>-11884.130761487613</v>
      </c>
      <c r="I134">
        <f t="shared" si="23"/>
        <v>11884.130761487613</v>
      </c>
      <c r="J134">
        <f t="shared" si="24"/>
        <v>141232563.95613617</v>
      </c>
      <c r="K134" s="4">
        <f t="shared" si="25"/>
        <v>5.982055421234761E-2</v>
      </c>
    </row>
    <row r="135" spans="1:11" x14ac:dyDescent="0.25">
      <c r="A135" s="1" t="s">
        <v>135</v>
      </c>
      <c r="B135" s="29">
        <v>134</v>
      </c>
      <c r="C135" s="28">
        <v>2</v>
      </c>
      <c r="D135" s="2">
        <v>189060</v>
      </c>
      <c r="E135">
        <f t="shared" si="19"/>
        <v>201800.96085625654</v>
      </c>
      <c r="F135">
        <f t="shared" si="20"/>
        <v>0.90111630357129513</v>
      </c>
      <c r="G135">
        <f t="shared" si="21"/>
        <v>181846.13590392552</v>
      </c>
      <c r="H135">
        <f t="shared" si="22"/>
        <v>7213.8640960744815</v>
      </c>
      <c r="I135">
        <f t="shared" si="23"/>
        <v>7213.8640960744815</v>
      </c>
      <c r="J135">
        <f t="shared" si="24"/>
        <v>52039835.196632497</v>
      </c>
      <c r="K135" s="4">
        <f t="shared" si="25"/>
        <v>3.8156479932690585E-2</v>
      </c>
    </row>
    <row r="136" spans="1:11" x14ac:dyDescent="0.25">
      <c r="A136" s="1" t="s">
        <v>136</v>
      </c>
      <c r="B136" s="29">
        <v>135</v>
      </c>
      <c r="C136" s="28">
        <v>3</v>
      </c>
      <c r="D136" s="2">
        <v>195181</v>
      </c>
      <c r="E136">
        <f t="shared" si="19"/>
        <v>201155.7245045194</v>
      </c>
      <c r="F136">
        <f t="shared" si="20"/>
        <v>1.0318803669716561</v>
      </c>
      <c r="G136">
        <f t="shared" si="21"/>
        <v>207568.64282017283</v>
      </c>
      <c r="H136">
        <f t="shared" si="22"/>
        <v>-12387.642820172827</v>
      </c>
      <c r="I136">
        <f t="shared" si="23"/>
        <v>12387.642820172827</v>
      </c>
      <c r="J136">
        <f t="shared" si="24"/>
        <v>153453694.6401794</v>
      </c>
      <c r="K136" s="4">
        <f t="shared" si="25"/>
        <v>6.3467462612512626E-2</v>
      </c>
    </row>
    <row r="137" spans="1:11" x14ac:dyDescent="0.25">
      <c r="A137" s="1" t="s">
        <v>137</v>
      </c>
      <c r="B137" s="28">
        <v>136</v>
      </c>
      <c r="C137" s="28">
        <v>4</v>
      </c>
      <c r="D137" s="2">
        <v>165586</v>
      </c>
      <c r="E137">
        <f t="shared" si="19"/>
        <v>200510.48815278226</v>
      </c>
      <c r="F137">
        <f t="shared" si="20"/>
        <v>0.98919096515192839</v>
      </c>
      <c r="G137">
        <f t="shared" si="21"/>
        <v>198343.16329893499</v>
      </c>
      <c r="H137">
        <f t="shared" si="22"/>
        <v>-32757.163298934989</v>
      </c>
      <c r="I137">
        <f t="shared" si="23"/>
        <v>32757.163298934989</v>
      </c>
      <c r="J137">
        <f t="shared" si="24"/>
        <v>1073031747.3930935</v>
      </c>
      <c r="K137" s="4">
        <f t="shared" si="25"/>
        <v>0.19782568151253724</v>
      </c>
    </row>
    <row r="138" spans="1:11" x14ac:dyDescent="0.25">
      <c r="A138" s="1" t="s">
        <v>138</v>
      </c>
      <c r="B138" s="28">
        <v>137</v>
      </c>
      <c r="C138" s="28">
        <v>5</v>
      </c>
      <c r="D138" s="2">
        <v>188693</v>
      </c>
      <c r="E138">
        <f t="shared" si="19"/>
        <v>199865.25180104512</v>
      </c>
      <c r="F138">
        <f t="shared" si="20"/>
        <v>1.0295836693414431</v>
      </c>
      <c r="G138">
        <f t="shared" si="21"/>
        <v>205777.99932317151</v>
      </c>
      <c r="H138">
        <f t="shared" si="22"/>
        <v>-17084.999323171505</v>
      </c>
      <c r="I138">
        <f t="shared" si="23"/>
        <v>17084.999323171505</v>
      </c>
      <c r="J138">
        <f t="shared" si="24"/>
        <v>291897201.87277079</v>
      </c>
      <c r="K138" s="4">
        <f t="shared" si="25"/>
        <v>9.0543895762807872E-2</v>
      </c>
    </row>
    <row r="139" spans="1:11" x14ac:dyDescent="0.25">
      <c r="A139" s="1" t="s">
        <v>139</v>
      </c>
      <c r="B139" s="28">
        <v>138</v>
      </c>
      <c r="C139" s="28">
        <v>6</v>
      </c>
      <c r="D139" s="2">
        <v>191919</v>
      </c>
      <c r="E139">
        <f t="shared" si="19"/>
        <v>199220.01544930798</v>
      </c>
      <c r="F139">
        <f t="shared" si="20"/>
        <v>1.0182564274283079</v>
      </c>
      <c r="G139">
        <f t="shared" si="21"/>
        <v>202857.06120362465</v>
      </c>
      <c r="H139">
        <f t="shared" si="22"/>
        <v>-10938.061203624646</v>
      </c>
      <c r="I139">
        <f t="shared" si="23"/>
        <v>10938.061203624646</v>
      </c>
      <c r="J139">
        <f t="shared" si="24"/>
        <v>119641182.89423864</v>
      </c>
      <c r="K139" s="4">
        <f t="shared" si="25"/>
        <v>5.6993112738314838E-2</v>
      </c>
    </row>
    <row r="140" spans="1:11" x14ac:dyDescent="0.25">
      <c r="A140" s="1" t="s">
        <v>140</v>
      </c>
      <c r="B140" s="29">
        <v>139</v>
      </c>
      <c r="C140" s="28">
        <v>7</v>
      </c>
      <c r="D140" s="2">
        <v>183087</v>
      </c>
      <c r="E140">
        <f t="shared" si="19"/>
        <v>198574.7790975708</v>
      </c>
      <c r="F140">
        <f t="shared" si="20"/>
        <v>1.0446998825244065</v>
      </c>
      <c r="G140">
        <f t="shared" si="21"/>
        <v>207451.0483955422</v>
      </c>
      <c r="H140">
        <f t="shared" si="22"/>
        <v>-24364.048395542195</v>
      </c>
      <c r="I140">
        <f t="shared" si="23"/>
        <v>24364.048395542195</v>
      </c>
      <c r="J140">
        <f t="shared" si="24"/>
        <v>593606854.22032225</v>
      </c>
      <c r="K140" s="4">
        <f t="shared" si="25"/>
        <v>0.13307361197431927</v>
      </c>
    </row>
    <row r="141" spans="1:11" x14ac:dyDescent="0.25">
      <c r="A141" s="1" t="s">
        <v>141</v>
      </c>
      <c r="B141" s="29">
        <v>140</v>
      </c>
      <c r="C141" s="28">
        <v>8</v>
      </c>
      <c r="D141" s="2">
        <v>168406</v>
      </c>
      <c r="E141">
        <f t="shared" si="19"/>
        <v>197929.54274583369</v>
      </c>
      <c r="F141">
        <f t="shared" si="20"/>
        <v>1.0304540097136683</v>
      </c>
      <c r="G141">
        <f t="shared" si="21"/>
        <v>203957.29096323723</v>
      </c>
      <c r="H141">
        <f t="shared" si="22"/>
        <v>-35551.290963237232</v>
      </c>
      <c r="I141">
        <f t="shared" si="23"/>
        <v>35551.290963237232</v>
      </c>
      <c r="J141">
        <f t="shared" si="24"/>
        <v>1263894289.1527534</v>
      </c>
      <c r="K141" s="4">
        <f t="shared" si="25"/>
        <v>0.21110465757299166</v>
      </c>
    </row>
    <row r="142" spans="1:11" x14ac:dyDescent="0.25">
      <c r="A142" s="1" t="s">
        <v>142</v>
      </c>
      <c r="B142" s="28">
        <v>141</v>
      </c>
      <c r="C142" s="28">
        <v>9</v>
      </c>
      <c r="D142" s="2">
        <v>161926</v>
      </c>
      <c r="E142">
        <f t="shared" si="19"/>
        <v>197284.30639409652</v>
      </c>
      <c r="F142">
        <f t="shared" si="20"/>
        <v>0.97834833071112637</v>
      </c>
      <c r="G142">
        <f t="shared" si="21"/>
        <v>193012.77183616674</v>
      </c>
      <c r="H142">
        <f t="shared" si="22"/>
        <v>-31086.771836166736</v>
      </c>
      <c r="I142">
        <f t="shared" si="23"/>
        <v>31086.771836166736</v>
      </c>
      <c r="J142">
        <f t="shared" si="24"/>
        <v>966387383.19388938</v>
      </c>
      <c r="K142" s="4">
        <f t="shared" si="25"/>
        <v>0.19198134849355097</v>
      </c>
    </row>
    <row r="143" spans="1:11" x14ac:dyDescent="0.25">
      <c r="A143" s="1" t="s">
        <v>143</v>
      </c>
      <c r="B143" s="28">
        <v>142</v>
      </c>
      <c r="C143" s="28">
        <v>10</v>
      </c>
      <c r="D143" s="2">
        <v>164494</v>
      </c>
      <c r="E143">
        <f t="shared" si="19"/>
        <v>196639.07004235938</v>
      </c>
      <c r="F143">
        <f t="shared" si="20"/>
        <v>0.97341986051076168</v>
      </c>
      <c r="G143">
        <f t="shared" si="21"/>
        <v>191412.37613159936</v>
      </c>
      <c r="H143">
        <f t="shared" si="22"/>
        <v>-26918.376131599362</v>
      </c>
      <c r="I143">
        <f t="shared" si="23"/>
        <v>26918.376131599362</v>
      </c>
      <c r="J143">
        <f t="shared" si="24"/>
        <v>724598973.56225824</v>
      </c>
      <c r="K143" s="4">
        <f t="shared" si="25"/>
        <v>0.16364351363332014</v>
      </c>
    </row>
    <row r="144" spans="1:11" x14ac:dyDescent="0.25">
      <c r="A144" s="1" t="s">
        <v>144</v>
      </c>
      <c r="B144" s="28">
        <v>143</v>
      </c>
      <c r="C144" s="28">
        <v>11</v>
      </c>
      <c r="D144" s="2">
        <v>168655</v>
      </c>
      <c r="E144">
        <f t="shared" si="19"/>
        <v>195993.83369062224</v>
      </c>
      <c r="F144">
        <f t="shared" si="20"/>
        <v>0.95746351863048529</v>
      </c>
      <c r="G144">
        <f t="shared" si="21"/>
        <v>187656.94563530132</v>
      </c>
      <c r="H144">
        <f t="shared" si="22"/>
        <v>-19001.945635301323</v>
      </c>
      <c r="I144">
        <f t="shared" si="23"/>
        <v>19001.945635301323</v>
      </c>
      <c r="J144">
        <f t="shared" si="24"/>
        <v>361073937.926947</v>
      </c>
      <c r="K144" s="4">
        <f t="shared" si="25"/>
        <v>0.11266754994101166</v>
      </c>
    </row>
    <row r="145" spans="1:11" x14ac:dyDescent="0.25">
      <c r="A145" s="1" t="s">
        <v>145</v>
      </c>
      <c r="B145" s="29">
        <v>144</v>
      </c>
      <c r="C145" s="28">
        <v>12</v>
      </c>
      <c r="D145" s="2">
        <v>178597</v>
      </c>
      <c r="E145">
        <f t="shared" si="19"/>
        <v>195348.5973388851</v>
      </c>
      <c r="F145">
        <f t="shared" si="20"/>
        <v>1.0059999945842792</v>
      </c>
      <c r="G145">
        <f t="shared" si="21"/>
        <v>196520.68786496494</v>
      </c>
      <c r="H145">
        <f t="shared" si="22"/>
        <v>-17923.687864964944</v>
      </c>
      <c r="I145">
        <f t="shared" si="23"/>
        <v>17923.687864964944</v>
      </c>
      <c r="J145">
        <f t="shared" si="24"/>
        <v>321258586.6806916</v>
      </c>
      <c r="K145" s="4">
        <f t="shared" si="25"/>
        <v>0.100358280738002</v>
      </c>
    </row>
    <row r="146" spans="1:11" x14ac:dyDescent="0.25">
      <c r="A146" s="1" t="s">
        <v>146</v>
      </c>
      <c r="B146" s="29">
        <v>145</v>
      </c>
      <c r="C146" s="28">
        <v>1</v>
      </c>
      <c r="D146" s="2">
        <v>181197</v>
      </c>
      <c r="E146">
        <f t="shared" si="19"/>
        <v>194703.36098714796</v>
      </c>
      <c r="F146">
        <f t="shared" si="20"/>
        <v>1.0400152419023756</v>
      </c>
      <c r="G146">
        <f t="shared" si="21"/>
        <v>202494.46307625424</v>
      </c>
      <c r="H146">
        <f t="shared" si="22"/>
        <v>-21297.463076254237</v>
      </c>
      <c r="I146">
        <f t="shared" si="23"/>
        <v>21297.463076254237</v>
      </c>
      <c r="J146">
        <f t="shared" si="24"/>
        <v>453581933.48441255</v>
      </c>
      <c r="K146" s="4">
        <f t="shared" si="25"/>
        <v>0.11753761417823826</v>
      </c>
    </row>
    <row r="147" spans="1:11" x14ac:dyDescent="0.25">
      <c r="A147" s="1" t="s">
        <v>147</v>
      </c>
      <c r="B147" s="28">
        <v>146</v>
      </c>
      <c r="C147" s="28">
        <v>2</v>
      </c>
      <c r="D147" s="2">
        <v>156503</v>
      </c>
      <c r="E147">
        <f t="shared" si="19"/>
        <v>194058.12463541079</v>
      </c>
      <c r="F147">
        <f t="shared" si="20"/>
        <v>0.90111630357129513</v>
      </c>
      <c r="G147">
        <f t="shared" si="21"/>
        <v>174868.93994943905</v>
      </c>
      <c r="H147">
        <f t="shared" si="22"/>
        <v>-18365.939949439053</v>
      </c>
      <c r="I147">
        <f t="shared" si="23"/>
        <v>18365.939949439053</v>
      </c>
      <c r="J147">
        <f t="shared" si="24"/>
        <v>337307750.22640133</v>
      </c>
      <c r="K147" s="4">
        <f t="shared" si="25"/>
        <v>0.11735199931911243</v>
      </c>
    </row>
    <row r="148" spans="1:11" x14ac:dyDescent="0.25">
      <c r="A148" s="1" t="s">
        <v>148</v>
      </c>
      <c r="B148" s="28">
        <v>147</v>
      </c>
      <c r="C148" s="28">
        <v>3</v>
      </c>
      <c r="D148" s="2">
        <v>180396</v>
      </c>
      <c r="E148">
        <f t="shared" si="19"/>
        <v>193412.88828367367</v>
      </c>
      <c r="F148">
        <f t="shared" si="20"/>
        <v>1.0318803669716561</v>
      </c>
      <c r="G148">
        <f t="shared" si="21"/>
        <v>199578.9621392051</v>
      </c>
      <c r="H148">
        <f t="shared" si="22"/>
        <v>-19182.962139205105</v>
      </c>
      <c r="I148">
        <f t="shared" si="23"/>
        <v>19182.962139205105</v>
      </c>
      <c r="J148">
        <f t="shared" si="24"/>
        <v>367986036.4341765</v>
      </c>
      <c r="K148" s="4">
        <f t="shared" si="25"/>
        <v>0.10633806813457673</v>
      </c>
    </row>
    <row r="149" spans="1:11" x14ac:dyDescent="0.25">
      <c r="A149" s="1" t="s">
        <v>149</v>
      </c>
      <c r="B149" s="28">
        <v>148</v>
      </c>
      <c r="C149" s="28">
        <v>4</v>
      </c>
      <c r="D149" s="2">
        <v>174563</v>
      </c>
      <c r="E149">
        <f t="shared" si="19"/>
        <v>192767.6519319365</v>
      </c>
      <c r="F149">
        <f t="shared" si="20"/>
        <v>0.98919096515192839</v>
      </c>
      <c r="G149">
        <f t="shared" si="21"/>
        <v>190684.01966462325</v>
      </c>
      <c r="H149">
        <f t="shared" si="22"/>
        <v>-16121.019664623251</v>
      </c>
      <c r="I149">
        <f t="shared" si="23"/>
        <v>16121.019664623251</v>
      </c>
      <c r="J149">
        <f t="shared" si="24"/>
        <v>259887275.02716956</v>
      </c>
      <c r="K149" s="4">
        <f t="shared" si="25"/>
        <v>9.2350725323368937E-2</v>
      </c>
    </row>
    <row r="150" spans="1:11" x14ac:dyDescent="0.25">
      <c r="A150" s="1" t="s">
        <v>150</v>
      </c>
      <c r="B150" s="29">
        <v>149</v>
      </c>
      <c r="C150" s="28">
        <v>5</v>
      </c>
      <c r="D150" s="2">
        <v>180654</v>
      </c>
      <c r="E150">
        <f t="shared" si="19"/>
        <v>192122.41558019936</v>
      </c>
      <c r="F150">
        <f t="shared" si="20"/>
        <v>1.0295836693414431</v>
      </c>
      <c r="G150">
        <f t="shared" si="21"/>
        <v>197806.10159580328</v>
      </c>
      <c r="H150">
        <f t="shared" si="22"/>
        <v>-17152.10159580328</v>
      </c>
      <c r="I150">
        <f t="shared" si="23"/>
        <v>17152.10159580328</v>
      </c>
      <c r="J150">
        <f t="shared" si="24"/>
        <v>294194589.15275747</v>
      </c>
      <c r="K150" s="4">
        <f t="shared" si="25"/>
        <v>9.4944488335731728E-2</v>
      </c>
    </row>
    <row r="151" spans="1:11" x14ac:dyDescent="0.25">
      <c r="A151" s="1" t="s">
        <v>151</v>
      </c>
      <c r="B151" s="29">
        <v>150</v>
      </c>
      <c r="C151" s="28">
        <v>6</v>
      </c>
      <c r="D151" s="2">
        <v>198207</v>
      </c>
      <c r="E151">
        <f t="shared" si="19"/>
        <v>191477.17922846222</v>
      </c>
      <c r="F151">
        <f t="shared" si="20"/>
        <v>1.0182564274283079</v>
      </c>
      <c r="G151">
        <f t="shared" si="21"/>
        <v>194972.86845522374</v>
      </c>
      <c r="H151">
        <f t="shared" si="22"/>
        <v>3234.1315447762609</v>
      </c>
      <c r="I151">
        <f t="shared" si="23"/>
        <v>3234.1315447762609</v>
      </c>
      <c r="J151">
        <f t="shared" si="24"/>
        <v>10459606.848916883</v>
      </c>
      <c r="K151" s="4">
        <f t="shared" si="25"/>
        <v>1.6316939082758233E-2</v>
      </c>
    </row>
    <row r="152" spans="1:11" x14ac:dyDescent="0.25">
      <c r="A152" s="1" t="s">
        <v>152</v>
      </c>
      <c r="B152" s="28">
        <v>151</v>
      </c>
      <c r="C152" s="28">
        <v>7</v>
      </c>
      <c r="D152" s="2">
        <v>198342</v>
      </c>
      <c r="E152">
        <f t="shared" si="19"/>
        <v>190831.94287672508</v>
      </c>
      <c r="F152">
        <f t="shared" si="20"/>
        <v>1.0446998825244065</v>
      </c>
      <c r="G152">
        <f t="shared" si="21"/>
        <v>199362.10830521895</v>
      </c>
      <c r="H152">
        <f t="shared" si="22"/>
        <v>-1020.1083052189497</v>
      </c>
      <c r="I152">
        <f t="shared" si="23"/>
        <v>1020.1083052189497</v>
      </c>
      <c r="J152">
        <f t="shared" si="24"/>
        <v>1040620.9543766777</v>
      </c>
      <c r="K152" s="4">
        <f t="shared" si="25"/>
        <v>5.1431784756579531E-3</v>
      </c>
    </row>
    <row r="153" spans="1:11" x14ac:dyDescent="0.25">
      <c r="A153" s="1" t="s">
        <v>153</v>
      </c>
      <c r="B153" s="28">
        <v>152</v>
      </c>
      <c r="C153" s="28">
        <v>8</v>
      </c>
      <c r="D153" s="2">
        <v>193331</v>
      </c>
      <c r="E153">
        <f t="shared" si="19"/>
        <v>190186.70652498794</v>
      </c>
      <c r="F153">
        <f t="shared" si="20"/>
        <v>1.0304540097136683</v>
      </c>
      <c r="G153">
        <f t="shared" si="21"/>
        <v>195978.65433291049</v>
      </c>
      <c r="H153">
        <f t="shared" si="22"/>
        <v>-2647.6543329104898</v>
      </c>
      <c r="I153">
        <f t="shared" si="23"/>
        <v>2647.6543329104898</v>
      </c>
      <c r="J153">
        <f t="shared" si="24"/>
        <v>7010073.4665796906</v>
      </c>
      <c r="K153" s="4">
        <f t="shared" si="25"/>
        <v>1.3694929074543088E-2</v>
      </c>
    </row>
    <row r="154" spans="1:11" x14ac:dyDescent="0.25">
      <c r="A154" s="1" t="s">
        <v>154</v>
      </c>
      <c r="B154" s="28">
        <v>153</v>
      </c>
      <c r="C154" s="28">
        <v>9</v>
      </c>
      <c r="D154" s="2">
        <v>195755</v>
      </c>
      <c r="E154">
        <f t="shared" si="19"/>
        <v>189541.47017325077</v>
      </c>
      <c r="F154">
        <f t="shared" si="20"/>
        <v>0.97834833071112637</v>
      </c>
      <c r="G154">
        <f t="shared" si="21"/>
        <v>185437.58094453264</v>
      </c>
      <c r="H154">
        <f t="shared" si="22"/>
        <v>10317.419055467355</v>
      </c>
      <c r="I154">
        <f t="shared" si="23"/>
        <v>10317.419055467355</v>
      </c>
      <c r="J154">
        <f t="shared" si="24"/>
        <v>106449135.96612088</v>
      </c>
      <c r="K154" s="4">
        <f t="shared" si="25"/>
        <v>5.2705775359338743E-2</v>
      </c>
    </row>
    <row r="155" spans="1:11" x14ac:dyDescent="0.25">
      <c r="A155" s="1" t="s">
        <v>155</v>
      </c>
      <c r="B155" s="29">
        <v>154</v>
      </c>
      <c r="C155" s="28">
        <v>10</v>
      </c>
      <c r="D155" s="2">
        <v>185112</v>
      </c>
      <c r="E155">
        <f t="shared" si="19"/>
        <v>188896.23382151366</v>
      </c>
      <c r="F155">
        <f t="shared" si="20"/>
        <v>0.97341986051076168</v>
      </c>
      <c r="G155">
        <f t="shared" si="21"/>
        <v>183875.34557754605</v>
      </c>
      <c r="H155">
        <f t="shared" si="22"/>
        <v>1236.6544224539539</v>
      </c>
      <c r="I155">
        <f t="shared" si="23"/>
        <v>1236.6544224539539</v>
      </c>
      <c r="J155">
        <f t="shared" si="24"/>
        <v>1529314.1605749223</v>
      </c>
      <c r="K155" s="4">
        <f t="shared" si="25"/>
        <v>6.6805740441135851E-3</v>
      </c>
    </row>
    <row r="156" spans="1:11" x14ac:dyDescent="0.25">
      <c r="A156" s="1" t="s">
        <v>156</v>
      </c>
      <c r="B156" s="29">
        <v>155</v>
      </c>
      <c r="C156" s="28">
        <v>11</v>
      </c>
      <c r="D156" s="2">
        <v>190010</v>
      </c>
      <c r="E156">
        <f t="shared" si="19"/>
        <v>188250.99746977648</v>
      </c>
      <c r="F156">
        <f t="shared" si="20"/>
        <v>0.95746351863048529</v>
      </c>
      <c r="G156">
        <f t="shared" si="21"/>
        <v>180243.46242311079</v>
      </c>
      <c r="H156">
        <f t="shared" si="22"/>
        <v>9766.5375768892118</v>
      </c>
      <c r="I156">
        <f t="shared" si="23"/>
        <v>9766.5375768892118</v>
      </c>
      <c r="J156">
        <f t="shared" si="24"/>
        <v>95385256.240788996</v>
      </c>
      <c r="K156" s="4">
        <f t="shared" si="25"/>
        <v>5.1400124082359937E-2</v>
      </c>
    </row>
    <row r="157" spans="1:11" x14ac:dyDescent="0.25">
      <c r="A157" s="1" t="s">
        <v>157</v>
      </c>
      <c r="B157" s="28">
        <v>156</v>
      </c>
      <c r="C157" s="28">
        <v>12</v>
      </c>
      <c r="D157" s="2">
        <v>199289</v>
      </c>
      <c r="E157">
        <f t="shared" si="19"/>
        <v>187605.76111803937</v>
      </c>
      <c r="F157">
        <f t="shared" si="20"/>
        <v>1.0059999945842792</v>
      </c>
      <c r="G157">
        <f t="shared" si="21"/>
        <v>188731.39466872718</v>
      </c>
      <c r="H157">
        <f t="shared" si="22"/>
        <v>10557.605331272818</v>
      </c>
      <c r="I157">
        <f t="shared" si="23"/>
        <v>10557.605331272818</v>
      </c>
      <c r="J157">
        <f t="shared" si="24"/>
        <v>111463030.33092023</v>
      </c>
      <c r="K157" s="4">
        <f t="shared" si="25"/>
        <v>5.297635760765932E-2</v>
      </c>
    </row>
    <row r="158" spans="1:11" x14ac:dyDescent="0.25">
      <c r="A158" s="1" t="s">
        <v>158</v>
      </c>
      <c r="B158" s="28">
        <v>157</v>
      </c>
      <c r="C158" s="28">
        <v>1</v>
      </c>
      <c r="D158" s="2">
        <v>197873</v>
      </c>
      <c r="E158">
        <f t="shared" si="19"/>
        <v>186960.5247663022</v>
      </c>
      <c r="F158">
        <f t="shared" si="20"/>
        <v>1.0400152419023756</v>
      </c>
      <c r="G158">
        <f t="shared" si="21"/>
        <v>194441.79539102086</v>
      </c>
      <c r="H158">
        <f t="shared" si="22"/>
        <v>3431.2046089791402</v>
      </c>
      <c r="I158">
        <f t="shared" si="23"/>
        <v>3431.2046089791402</v>
      </c>
      <c r="J158">
        <f t="shared" si="24"/>
        <v>11773165.068679694</v>
      </c>
      <c r="K158" s="4">
        <f t="shared" si="25"/>
        <v>1.7340438609507815E-2</v>
      </c>
    </row>
    <row r="159" spans="1:11" x14ac:dyDescent="0.25">
      <c r="A159" s="1" t="s">
        <v>159</v>
      </c>
      <c r="B159" s="28">
        <v>158</v>
      </c>
      <c r="C159" s="28">
        <v>2</v>
      </c>
      <c r="D159" s="2">
        <v>172325</v>
      </c>
      <c r="E159">
        <f t="shared" si="19"/>
        <v>186315.28841456506</v>
      </c>
      <c r="F159">
        <f t="shared" si="20"/>
        <v>0.90111630357129513</v>
      </c>
      <c r="G159">
        <f t="shared" si="21"/>
        <v>167891.74399495262</v>
      </c>
      <c r="H159">
        <f t="shared" si="22"/>
        <v>4433.256005047384</v>
      </c>
      <c r="I159">
        <f t="shared" si="23"/>
        <v>4433.256005047384</v>
      </c>
      <c r="J159">
        <f t="shared" si="24"/>
        <v>19653758.806288689</v>
      </c>
      <c r="K159" s="4">
        <f t="shared" si="25"/>
        <v>2.5726133788175738E-2</v>
      </c>
    </row>
    <row r="160" spans="1:11" x14ac:dyDescent="0.25">
      <c r="A160" s="1" t="s">
        <v>160</v>
      </c>
      <c r="B160" s="29">
        <v>159</v>
      </c>
      <c r="C160" s="28">
        <v>3</v>
      </c>
      <c r="D160" s="2">
        <v>198883</v>
      </c>
      <c r="E160">
        <f t="shared" si="19"/>
        <v>185670.05206282792</v>
      </c>
      <c r="F160">
        <f t="shared" si="20"/>
        <v>1.0318803669716561</v>
      </c>
      <c r="G160">
        <f t="shared" si="21"/>
        <v>191589.28145823735</v>
      </c>
      <c r="H160">
        <f t="shared" si="22"/>
        <v>7293.7185417626461</v>
      </c>
      <c r="I160">
        <f t="shared" si="23"/>
        <v>7293.7185417626461</v>
      </c>
      <c r="J160">
        <f t="shared" si="24"/>
        <v>53198330.166452222</v>
      </c>
      <c r="K160" s="4">
        <f t="shared" si="25"/>
        <v>3.6673413724464365E-2</v>
      </c>
    </row>
    <row r="161" spans="1:11" x14ac:dyDescent="0.25">
      <c r="A161" s="1" t="s">
        <v>161</v>
      </c>
      <c r="B161" s="29">
        <v>160</v>
      </c>
      <c r="C161" s="28">
        <v>4</v>
      </c>
      <c r="D161" s="2">
        <v>181770</v>
      </c>
      <c r="E161">
        <f t="shared" si="19"/>
        <v>185024.81571109078</v>
      </c>
      <c r="F161">
        <f t="shared" si="20"/>
        <v>0.98919096515192839</v>
      </c>
      <c r="G161">
        <f t="shared" si="21"/>
        <v>183024.87603031157</v>
      </c>
      <c r="H161">
        <f t="shared" si="22"/>
        <v>-1254.8760303115705</v>
      </c>
      <c r="I161">
        <f t="shared" si="23"/>
        <v>1254.8760303115705</v>
      </c>
      <c r="J161">
        <f t="shared" si="24"/>
        <v>1574713.8514505257</v>
      </c>
      <c r="K161" s="4">
        <f t="shared" si="25"/>
        <v>6.9036476333364715E-3</v>
      </c>
    </row>
    <row r="162" spans="1:11" x14ac:dyDescent="0.25">
      <c r="A162" s="1" t="s">
        <v>162</v>
      </c>
      <c r="B162" s="28">
        <v>161</v>
      </c>
      <c r="C162" s="28">
        <v>5</v>
      </c>
      <c r="D162" s="2">
        <v>191050</v>
      </c>
      <c r="E162">
        <f t="shared" ref="E162:E168" si="26">_xlfn.FORECAST.LINEAR(B162,$D$2:$D$168,$B$2:$B$168)</f>
        <v>184379.57935935364</v>
      </c>
      <c r="F162">
        <f t="shared" si="20"/>
        <v>1.0295836693414431</v>
      </c>
      <c r="G162">
        <f t="shared" si="21"/>
        <v>189834.20386843511</v>
      </c>
      <c r="H162">
        <f t="shared" si="22"/>
        <v>1215.7961315648863</v>
      </c>
      <c r="I162">
        <f t="shared" si="23"/>
        <v>1215.7961315648863</v>
      </c>
      <c r="J162">
        <f t="shared" si="24"/>
        <v>1478160.2335281423</v>
      </c>
      <c r="K162" s="4">
        <f t="shared" si="25"/>
        <v>6.3637588671284287E-3</v>
      </c>
    </row>
    <row r="163" spans="1:11" x14ac:dyDescent="0.25">
      <c r="A163" s="1" t="s">
        <v>163</v>
      </c>
      <c r="B163" s="28">
        <v>162</v>
      </c>
      <c r="C163" s="28">
        <v>6</v>
      </c>
      <c r="D163" s="2">
        <v>194195</v>
      </c>
      <c r="E163">
        <f t="shared" si="26"/>
        <v>183734.34300761647</v>
      </c>
      <c r="F163">
        <f t="shared" si="20"/>
        <v>1.0182564274283079</v>
      </c>
      <c r="G163">
        <f t="shared" si="21"/>
        <v>187088.67570682286</v>
      </c>
      <c r="H163">
        <f t="shared" si="22"/>
        <v>7106.3242931771383</v>
      </c>
      <c r="I163">
        <f t="shared" si="23"/>
        <v>7106.3242931771383</v>
      </c>
      <c r="J163">
        <f t="shared" si="24"/>
        <v>50499844.959799558</v>
      </c>
      <c r="K163" s="4">
        <f t="shared" si="25"/>
        <v>3.6593755210881526E-2</v>
      </c>
    </row>
    <row r="164" spans="1:11" x14ac:dyDescent="0.25">
      <c r="A164" s="1" t="s">
        <v>164</v>
      </c>
      <c r="B164" s="28">
        <v>163</v>
      </c>
      <c r="C164" s="28">
        <v>7</v>
      </c>
      <c r="D164" s="2">
        <v>204719</v>
      </c>
      <c r="E164">
        <f t="shared" si="26"/>
        <v>183089.10665587935</v>
      </c>
      <c r="F164">
        <f t="shared" si="20"/>
        <v>1.0446998825244065</v>
      </c>
      <c r="G164">
        <f t="shared" si="21"/>
        <v>191273.1682148957</v>
      </c>
      <c r="H164">
        <f t="shared" si="22"/>
        <v>13445.831785104296</v>
      </c>
      <c r="I164">
        <f t="shared" si="23"/>
        <v>13445.831785104296</v>
      </c>
      <c r="J164">
        <f t="shared" si="24"/>
        <v>180790392.39332098</v>
      </c>
      <c r="K164" s="4">
        <f t="shared" si="25"/>
        <v>6.5679452249690046E-2</v>
      </c>
    </row>
    <row r="165" spans="1:11" x14ac:dyDescent="0.25">
      <c r="A165" s="1" t="s">
        <v>165</v>
      </c>
      <c r="B165" s="29">
        <v>164</v>
      </c>
      <c r="C165" s="28">
        <v>8</v>
      </c>
      <c r="D165" s="2">
        <v>196232</v>
      </c>
      <c r="E165">
        <f t="shared" si="26"/>
        <v>182443.87030414218</v>
      </c>
      <c r="F165">
        <f t="shared" si="20"/>
        <v>1.0304540097136683</v>
      </c>
      <c r="G165">
        <f t="shared" si="21"/>
        <v>188000.01770258378</v>
      </c>
      <c r="H165">
        <f t="shared" si="22"/>
        <v>8231.9822974162234</v>
      </c>
      <c r="I165">
        <f t="shared" si="23"/>
        <v>8231.9822974162234</v>
      </c>
      <c r="J165">
        <f t="shared" si="24"/>
        <v>67765532.544974089</v>
      </c>
      <c r="K165" s="4">
        <f t="shared" si="25"/>
        <v>4.1950254277672468E-2</v>
      </c>
    </row>
    <row r="166" spans="1:11" x14ac:dyDescent="0.25">
      <c r="A166" s="1" t="s">
        <v>166</v>
      </c>
      <c r="B166" s="29">
        <v>165</v>
      </c>
      <c r="C166" s="28">
        <v>9</v>
      </c>
      <c r="D166" s="2">
        <v>188048</v>
      </c>
      <c r="E166">
        <f t="shared" si="26"/>
        <v>181798.63395240504</v>
      </c>
      <c r="F166">
        <f t="shared" si="20"/>
        <v>0.97834833071112637</v>
      </c>
      <c r="G166">
        <f t="shared" si="21"/>
        <v>177862.39005289858</v>
      </c>
      <c r="H166">
        <f t="shared" si="22"/>
        <v>10185.609947101417</v>
      </c>
      <c r="I166">
        <f t="shared" si="23"/>
        <v>10185.609947101417</v>
      </c>
      <c r="J166">
        <f t="shared" si="24"/>
        <v>103746649.99449132</v>
      </c>
      <c r="K166" s="4">
        <f t="shared" si="25"/>
        <v>5.4164946966207654E-2</v>
      </c>
    </row>
    <row r="167" spans="1:11" x14ac:dyDescent="0.25">
      <c r="A167" s="1" t="s">
        <v>167</v>
      </c>
      <c r="B167" s="28">
        <v>166</v>
      </c>
      <c r="C167" s="28">
        <v>10</v>
      </c>
      <c r="D167" s="2">
        <v>193347</v>
      </c>
      <c r="E167">
        <f t="shared" si="26"/>
        <v>181153.3976006679</v>
      </c>
      <c r="F167">
        <f t="shared" si="20"/>
        <v>0.97341986051076168</v>
      </c>
      <c r="G167">
        <f t="shared" si="21"/>
        <v>176338.3150234927</v>
      </c>
      <c r="H167">
        <f t="shared" si="22"/>
        <v>17008.684976507298</v>
      </c>
      <c r="I167">
        <f t="shared" si="23"/>
        <v>17008.684976507298</v>
      </c>
      <c r="J167">
        <f t="shared" si="24"/>
        <v>289295364.63006508</v>
      </c>
      <c r="K167" s="4">
        <f t="shared" si="25"/>
        <v>8.7969738224577043E-2</v>
      </c>
    </row>
    <row r="168" spans="1:11" x14ac:dyDescent="0.25">
      <c r="A168" s="1" t="s">
        <v>168</v>
      </c>
      <c r="B168" s="28">
        <v>167</v>
      </c>
      <c r="C168" s="28">
        <v>11</v>
      </c>
      <c r="D168" s="2">
        <v>187292</v>
      </c>
      <c r="E168">
        <f t="shared" si="26"/>
        <v>180508.16124893076</v>
      </c>
      <c r="F168">
        <f t="shared" si="20"/>
        <v>0.95746351863048529</v>
      </c>
      <c r="G168">
        <f t="shared" si="21"/>
        <v>172829.97921092025</v>
      </c>
      <c r="H168">
        <f t="shared" si="22"/>
        <v>14462.020789079746</v>
      </c>
      <c r="I168">
        <f t="shared" si="23"/>
        <v>14462.020789079746</v>
      </c>
      <c r="J168">
        <f t="shared" si="24"/>
        <v>209150045.30377477</v>
      </c>
      <c r="K168" s="4">
        <f t="shared" si="25"/>
        <v>7.7216436308436803E-2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Results</vt:lpstr>
      <vt:lpstr>Naive</vt:lpstr>
      <vt:lpstr>Moving Average</vt:lpstr>
      <vt:lpstr>Exponential Smoothening</vt:lpstr>
      <vt:lpstr>Linear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Somuyiwa</dc:creator>
  <cp:lastModifiedBy>Samuel Somuyiwa</cp:lastModifiedBy>
  <dcterms:created xsi:type="dcterms:W3CDTF">2024-02-02T13:23:44Z</dcterms:created>
  <dcterms:modified xsi:type="dcterms:W3CDTF">2026-09-07T08:30:05Z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2024-02-02T13:24:07Z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04d84ad8-578f-4db1-bd56-02da9ecf3636</vt:lpwstr>
  </property>
  <property fmtid="{D5CDD505-2E9C-101B-9397-08002B2CF9AE}" pid="7" name="MSIP_Label_defa4170-0d19-0005-0004-bc88714345d2_ActionId">
    <vt:lpwstr>2154cb7d-ee58-424e-8555-e96d917f9557</vt:lpwstr>
  </property>
  <property fmtid="{D5CDD505-2E9C-101B-9397-08002B2CF9AE}" pid="8" name="MSIP_Label_defa4170-0d19-0005-0004-bc88714345d2_ContentBits">
    <vt:lpwstr>0</vt:lpwstr>
  </property>
</Properties>
</file>