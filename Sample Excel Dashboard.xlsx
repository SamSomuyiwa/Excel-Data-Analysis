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b64220f70064ec2c/Github files/"/>
    </mc:Choice>
  </mc:AlternateContent>
  <xr:revisionPtr revIDLastSave="0" documentId="8_{266502FB-12FF-46C4-B47A-E84BAA9DFBBF}" xr6:coauthVersionLast="47" xr6:coauthVersionMax="47" xr10:uidLastSave="{00000000-0000-0000-0000-000000000000}"/>
  <bookViews>
    <workbookView xWindow="28680" yWindow="-120" windowWidth="29040" windowHeight="15720" tabRatio="500" firstSheet="1" activeTab="1" xr2:uid="{00000000-000D-0000-FFFF-FFFF00000000}"/>
  </bookViews>
  <sheets>
    <sheet name="Wrangler" sheetId="6" state="hidden" r:id="rId1"/>
    <sheet name="Dashboard" sheetId="7" r:id="rId2"/>
    <sheet name="RAW_DATA" sheetId="1" state="hidden" r:id="rId3"/>
    <sheet name="Data" sheetId="5" state="hidden" r:id="rId4"/>
  </sheets>
  <definedNames>
    <definedName name="_xlnm._FilterDatabase" localSheetId="2" hidden="1">RAW_DATA!$A$1:$V$2001</definedName>
    <definedName name="NativeTimeline_Date_of_Admission">#N/A</definedName>
    <definedName name="Slicer_Admission_Type">#N/A</definedName>
    <definedName name="Slicer_Age_Group">#N/A</definedName>
    <definedName name="Slicer_Gender">#N/A</definedName>
    <definedName name="Slicer_Insurance_Provider">#N/A</definedName>
    <definedName name="Slicer_Readmitted_Within_30Days">#N/A</definedName>
    <definedName name="Slicer_Region">#N/A</definedName>
  </definedNames>
  <calcPr calcId="191029" iterateDelta="1E-4"/>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C11" i="6" l="1"/>
  <c r="AB11" i="6"/>
  <c r="AA11" i="6"/>
</calcChain>
</file>

<file path=xl/sharedStrings.xml><?xml version="1.0" encoding="utf-8"?>
<sst xmlns="http://schemas.openxmlformats.org/spreadsheetml/2006/main" count="28149" uniqueCount="3734">
  <si>
    <t>Patient_ID</t>
  </si>
  <si>
    <t>Age</t>
  </si>
  <si>
    <t>Age_Group</t>
  </si>
  <si>
    <t>Gender</t>
  </si>
  <si>
    <t>Condition</t>
  </si>
  <si>
    <t>Admission_Type</t>
  </si>
  <si>
    <t>Date_of_Admission</t>
  </si>
  <si>
    <t>Date_of_Discharge</t>
  </si>
  <si>
    <t>Length_of_Stay</t>
  </si>
  <si>
    <t>Hospital</t>
  </si>
  <si>
    <t>Region</t>
  </si>
  <si>
    <t>Doctor</t>
  </si>
  <si>
    <t>Insurance_Provider</t>
  </si>
  <si>
    <t>Billing_Amount</t>
  </si>
  <si>
    <t>Medication</t>
  </si>
  <si>
    <t>Num_Medications</t>
  </si>
  <si>
    <t>Room_Number</t>
  </si>
  <si>
    <t>BMI</t>
  </si>
  <si>
    <t>Test_Result</t>
  </si>
  <si>
    <t>Readmitted_Within_30Days</t>
  </si>
  <si>
    <t>PT-1001</t>
  </si>
  <si>
    <t>Adewale Fashola</t>
  </si>
  <si>
    <t>0-17</t>
  </si>
  <si>
    <t>Male</t>
  </si>
  <si>
    <t>AB-</t>
  </si>
  <si>
    <t>Oncology</t>
  </si>
  <si>
    <t>Emergency</t>
  </si>
  <si>
    <t>University of Calabar Teaching Hospital</t>
  </si>
  <si>
    <t>South-South</t>
  </si>
  <si>
    <t>Dr. Babatunde Fashola</t>
  </si>
  <si>
    <t>Medicare</t>
  </si>
  <si>
    <t>Carboplatin</t>
  </si>
  <si>
    <t>Normal</t>
  </si>
  <si>
    <t>No</t>
  </si>
  <si>
    <t>PT-1002</t>
  </si>
  <si>
    <t>Uche Wilson</t>
  </si>
  <si>
    <t>75+</t>
  </si>
  <si>
    <t>B+</t>
  </si>
  <si>
    <t>Diabetes</t>
  </si>
  <si>
    <t>Bowen University Teaching Hospital</t>
  </si>
  <si>
    <t>South-West</t>
  </si>
  <si>
    <t>Dr. Taiwo Adeleke</t>
  </si>
  <si>
    <t>Private</t>
  </si>
  <si>
    <t>Insulin Glargine</t>
  </si>
  <si>
    <t>Abnormal</t>
  </si>
  <si>
    <t>Yes</t>
  </si>
  <si>
    <t>PT-1003</t>
  </si>
  <si>
    <t>18-34</t>
  </si>
  <si>
    <t>Female</t>
  </si>
  <si>
    <t>A-</t>
  </si>
  <si>
    <t>Neurology</t>
  </si>
  <si>
    <t>Elective</t>
  </si>
  <si>
    <t>Federal Medical Centre Birnin Kebbi</t>
  </si>
  <si>
    <t>North-West</t>
  </si>
  <si>
    <t>Dr. Olumide Abiodun</t>
  </si>
  <si>
    <t>Blue Cross</t>
  </si>
  <si>
    <t>Gabapentin</t>
  </si>
  <si>
    <t>PT-1004</t>
  </si>
  <si>
    <t>Adaeze Anderson</t>
  </si>
  <si>
    <t>55-64</t>
  </si>
  <si>
    <t>General Surgery</t>
  </si>
  <si>
    <t>Dr. Kemi Adeyemi</t>
  </si>
  <si>
    <t>Enoxaparin</t>
  </si>
  <si>
    <t>PT-1005</t>
  </si>
  <si>
    <t>O-negative</t>
  </si>
  <si>
    <t>Dr. Amara Osei</t>
  </si>
  <si>
    <t>Uninsured</t>
  </si>
  <si>
    <t>Rituximab</t>
  </si>
  <si>
    <t>PT-1006</t>
  </si>
  <si>
    <t>Aisha Taylor</t>
  </si>
  <si>
    <t>O+</t>
  </si>
  <si>
    <t>Gastroenterology</t>
  </si>
  <si>
    <t>Dr. Nnamdi Okafor</t>
  </si>
  <si>
    <t>Omeprazole</t>
  </si>
  <si>
    <t>PT-1007</t>
  </si>
  <si>
    <t>Emeka Eze</t>
  </si>
  <si>
    <t>O-</t>
  </si>
  <si>
    <t>Cardiac</t>
  </si>
  <si>
    <t>Urgent</t>
  </si>
  <si>
    <t>Dr. Emeka Okorie</t>
  </si>
  <si>
    <t>Digoxin</t>
  </si>
  <si>
    <t>PT-1008</t>
  </si>
  <si>
    <t>65-74</t>
  </si>
  <si>
    <t>B-</t>
  </si>
  <si>
    <t>Dr. Adewale Ogundimu</t>
  </si>
  <si>
    <t>Aspirin</t>
  </si>
  <si>
    <t>Inconclusive</t>
  </si>
  <si>
    <t>PT-1009</t>
  </si>
  <si>
    <t>Chioma Oni</t>
  </si>
  <si>
    <t>Federal Medical Centre Owerri</t>
  </si>
  <si>
    <t>South-East</t>
  </si>
  <si>
    <t>Atorvastatin</t>
  </si>
  <si>
    <t>PT-1010</t>
  </si>
  <si>
    <t>Femi Obi</t>
  </si>
  <si>
    <t>Dr. Fatima Al-Hassan</t>
  </si>
  <si>
    <t>Metoprolol</t>
  </si>
  <si>
    <t>PT-1011</t>
  </si>
  <si>
    <t>Ngozi Usman</t>
  </si>
  <si>
    <t>35-54</t>
  </si>
  <si>
    <t>AB+</t>
  </si>
  <si>
    <t>Furosemide</t>
  </si>
  <si>
    <t>PT-1012</t>
  </si>
  <si>
    <t>Federal Medical Centre Asaba</t>
  </si>
  <si>
    <t>Dr. Precious Obi</t>
  </si>
  <si>
    <t>Medicaid</t>
  </si>
  <si>
    <t>Ondansetron</t>
  </si>
  <si>
    <t>PT-1013</t>
  </si>
  <si>
    <t>Zainab Davis</t>
  </si>
  <si>
    <t>Pvt</t>
  </si>
  <si>
    <t>Amlodipine</t>
  </si>
  <si>
    <t>PT-1014</t>
  </si>
  <si>
    <t>Bashir Dauda</t>
  </si>
  <si>
    <t>University College Hospital Ibadan</t>
  </si>
  <si>
    <t>Private Insurance</t>
  </si>
  <si>
    <t>PT-1015</t>
  </si>
  <si>
    <t>Yusuf Thompson</t>
  </si>
  <si>
    <t>Dr. Zainab Sule</t>
  </si>
  <si>
    <t>PT-1016</t>
  </si>
  <si>
    <t>Bukola Dauda</t>
  </si>
  <si>
    <t>Liraglutide</t>
  </si>
  <si>
    <t>PT-1017</t>
  </si>
  <si>
    <t>Perpetua Akintola</t>
  </si>
  <si>
    <t>Lagos University Teaching Hospital</t>
  </si>
  <si>
    <t>Lisinopril</t>
  </si>
  <si>
    <t>PT-1018</t>
  </si>
  <si>
    <t>Fatima Igwe</t>
  </si>
  <si>
    <t>Dr. Rotimi Fashola</t>
  </si>
  <si>
    <t>Memantine</t>
  </si>
  <si>
    <t>PT-1019</t>
  </si>
  <si>
    <t>PT-1020</t>
  </si>
  <si>
    <t>Segun Okeke</t>
  </si>
  <si>
    <t>Respiratory</t>
  </si>
  <si>
    <t>Aminu Kano Teaching Hospital</t>
  </si>
  <si>
    <t>Dr. Yusuf Danjuma</t>
  </si>
  <si>
    <t>Azithromycin</t>
  </si>
  <si>
    <t>PT-1021</t>
  </si>
  <si>
    <t>Yusuf Yakubu</t>
  </si>
  <si>
    <t>Morphine</t>
  </si>
  <si>
    <t>PT-1022</t>
  </si>
  <si>
    <t>PT-1023</t>
  </si>
  <si>
    <t>PT-1024</t>
  </si>
  <si>
    <t>James Lawan</t>
  </si>
  <si>
    <t>PT-1025</t>
  </si>
  <si>
    <t>Nneka Dauda</t>
  </si>
  <si>
    <t>Valproate</t>
  </si>
  <si>
    <t>PT-1026</t>
  </si>
  <si>
    <t>Funke Johnson</t>
  </si>
  <si>
    <t>Dr. Halima Usman</t>
  </si>
  <si>
    <t>Salbutamol</t>
  </si>
  <si>
    <t>PT-1027</t>
  </si>
  <si>
    <t>Suleiman Wilson</t>
  </si>
  <si>
    <t>BlueCross</t>
  </si>
  <si>
    <t>Montelukast</t>
  </si>
  <si>
    <t>PT-1028</t>
  </si>
  <si>
    <t>Esther Okonkwo</t>
  </si>
  <si>
    <t>A+</t>
  </si>
  <si>
    <t>Maternity</t>
  </si>
  <si>
    <t>Dr. Ngozi Eze-Williams</t>
  </si>
  <si>
    <t>Ipratropium</t>
  </si>
  <si>
    <t>PT-1029</t>
  </si>
  <si>
    <t>Chiamaka Anderson</t>
  </si>
  <si>
    <t>PT-1030</t>
  </si>
  <si>
    <t>Josephine Nwosu</t>
  </si>
  <si>
    <t>Orthopaedics</t>
  </si>
  <si>
    <t>Dr. Musa Aliyu</t>
  </si>
  <si>
    <t>Calcium</t>
  </si>
  <si>
    <t>PT-1031</t>
  </si>
  <si>
    <t>Samuel Adebayo</t>
  </si>
  <si>
    <t>PT-1032</t>
  </si>
  <si>
    <t>Adewale Johnson</t>
  </si>
  <si>
    <t>Metronidazole</t>
  </si>
  <si>
    <t>PT-1033</t>
  </si>
  <si>
    <t>Oluwaseun Taylor</t>
  </si>
  <si>
    <t>Dr. Chioma Nwankwo</t>
  </si>
  <si>
    <t>Linagliptin</t>
  </si>
  <si>
    <t>PT-1034</t>
  </si>
  <si>
    <t>Emeka Abubakar</t>
  </si>
  <si>
    <t>Dr. Segun Banke</t>
  </si>
  <si>
    <t>Mesalazine</t>
  </si>
  <si>
    <t>PT-1035</t>
  </si>
  <si>
    <t>Abdullahi Johnson</t>
  </si>
  <si>
    <t>Amiodarone</t>
  </si>
  <si>
    <t>PT-1036</t>
  </si>
  <si>
    <t>DR. ADEWALE OGUNDIMU</t>
  </si>
  <si>
    <t>PT-1037</t>
  </si>
  <si>
    <t>National Hospital Abuja</t>
  </si>
  <si>
    <t>North-Central</t>
  </si>
  <si>
    <t>PT-1038</t>
  </si>
  <si>
    <t>CARDIAC</t>
  </si>
  <si>
    <t>Fatima Al-Hassan</t>
  </si>
  <si>
    <t>PT-1039</t>
  </si>
  <si>
    <t>Rebecca Ogbonna</t>
  </si>
  <si>
    <t>PT-1040</t>
  </si>
  <si>
    <t>Bashir Okonkwo</t>
  </si>
  <si>
    <t>Donepezil</t>
  </si>
  <si>
    <t>PT-1041</t>
  </si>
  <si>
    <t>PT-1042</t>
  </si>
  <si>
    <t>Rebecca Ajala</t>
  </si>
  <si>
    <t>Tamoxifen</t>
  </si>
  <si>
    <t>PT-1043</t>
  </si>
  <si>
    <t>Emeka Thompson</t>
  </si>
  <si>
    <t>PT-1044</t>
  </si>
  <si>
    <t>Nneka Okonkwo</t>
  </si>
  <si>
    <t>Dr. Ibrahim Musa</t>
  </si>
  <si>
    <t>Metformin</t>
  </si>
  <si>
    <t>PT-1045</t>
  </si>
  <si>
    <t>Femi Moore</t>
  </si>
  <si>
    <t>PT-1046</t>
  </si>
  <si>
    <t>Daniel Adebayo</t>
  </si>
  <si>
    <t>general surgery</t>
  </si>
  <si>
    <t>Dr. Lanre Ogundele</t>
  </si>
  <si>
    <t>PT-1047</t>
  </si>
  <si>
    <t>Taiwo Adeyemi</t>
  </si>
  <si>
    <t>Dr. Chukwuemeka Nwosu</t>
  </si>
  <si>
    <t>PT-1048</t>
  </si>
  <si>
    <t>Adewale Ibrahim</t>
  </si>
  <si>
    <t>dr. emeka okorie</t>
  </si>
  <si>
    <t>PT-1049</t>
  </si>
  <si>
    <t>Joseph Ajala</t>
  </si>
  <si>
    <t>PT-1050</t>
  </si>
  <si>
    <t>Kayode Brown</t>
  </si>
  <si>
    <t>PT-1051</t>
  </si>
  <si>
    <t>Perpetua Yakubu</t>
  </si>
  <si>
    <t>Spironolactone</t>
  </si>
  <si>
    <t>PT-1052</t>
  </si>
  <si>
    <t>Ruth Okonkwo</t>
  </si>
  <si>
    <t>cardiac</t>
  </si>
  <si>
    <t>PT-1053</t>
  </si>
  <si>
    <t>Chidi Smith</t>
  </si>
  <si>
    <t>PT-1054</t>
  </si>
  <si>
    <t>Mariam Danjuma</t>
  </si>
  <si>
    <t>Ahmadu Bello University Teaching Hospital</t>
  </si>
  <si>
    <t>PT-1055</t>
  </si>
  <si>
    <t>Ifeoma Chukwu</t>
  </si>
  <si>
    <t>Celecoxib</t>
  </si>
  <si>
    <t>PT-1056</t>
  </si>
  <si>
    <t>Empagliflozin</t>
  </si>
  <si>
    <t>PT-1057</t>
  </si>
  <si>
    <t>Segun Musa</t>
  </si>
  <si>
    <t>PT-1058</t>
  </si>
  <si>
    <t>PT-1059</t>
  </si>
  <si>
    <t>Joseph Oni</t>
  </si>
  <si>
    <t>PT-1060</t>
  </si>
  <si>
    <t>Chukwuemeka Aliyu</t>
  </si>
  <si>
    <t>PT-1061</t>
  </si>
  <si>
    <t>Kunle Chukwu</t>
  </si>
  <si>
    <t>PT-1062</t>
  </si>
  <si>
    <t>Chidi Taylor</t>
  </si>
  <si>
    <t>Dr. Grace Oduya</t>
  </si>
  <si>
    <t>Filgrastim</t>
  </si>
  <si>
    <t>PT-1063</t>
  </si>
  <si>
    <t>Nnamdi Aliyu</t>
  </si>
  <si>
    <t>PT-1064</t>
  </si>
  <si>
    <t>Tolulope Ogbonna</t>
  </si>
  <si>
    <t>PT-1065</t>
  </si>
  <si>
    <t>Deborah Abiodun</t>
  </si>
  <si>
    <t>ORTHOPAEDICS</t>
  </si>
  <si>
    <t>Tramadol</t>
  </si>
  <si>
    <t>PT-1066</t>
  </si>
  <si>
    <t>Vitamin D</t>
  </si>
  <si>
    <t>PT-1067</t>
  </si>
  <si>
    <t>Miriam Johnson</t>
  </si>
  <si>
    <t>PT-1068</t>
  </si>
  <si>
    <t>PT-1069</t>
  </si>
  <si>
    <t>PT-1070</t>
  </si>
  <si>
    <t>Mariam Salami</t>
  </si>
  <si>
    <t>Prednisolone</t>
  </si>
  <si>
    <t>PT-1071</t>
  </si>
  <si>
    <t>Hauwa Hassan</t>
  </si>
  <si>
    <t>Letrozole</t>
  </si>
  <si>
    <t>PT-1072</t>
  </si>
  <si>
    <t>James Salami</t>
  </si>
  <si>
    <t>PT-1073</t>
  </si>
  <si>
    <t>PT-1074</t>
  </si>
  <si>
    <t>Segun Adebayo</t>
  </si>
  <si>
    <t>PT-1075</t>
  </si>
  <si>
    <t>Daniel Wilson</t>
  </si>
  <si>
    <t>PT-1076</t>
  </si>
  <si>
    <t>Blessing Johnson</t>
  </si>
  <si>
    <t>Levetiracetam</t>
  </si>
  <si>
    <t>PT-1077</t>
  </si>
  <si>
    <t>Adewale Aliyu</t>
  </si>
  <si>
    <t>PT-1078</t>
  </si>
  <si>
    <t>Halima Abiodun</t>
  </si>
  <si>
    <t>unknown</t>
  </si>
  <si>
    <t>PT-1079</t>
  </si>
  <si>
    <t>Abdullahi Nwosu</t>
  </si>
  <si>
    <t>PT-1080</t>
  </si>
  <si>
    <t>Grace Moore</t>
  </si>
  <si>
    <t>PT-1081</t>
  </si>
  <si>
    <t>Rukayat Aliyu</t>
  </si>
  <si>
    <t>Theophylline</t>
  </si>
  <si>
    <t>PT-1082</t>
  </si>
  <si>
    <t>Halima Wilson</t>
  </si>
  <si>
    <t>PT-1083</t>
  </si>
  <si>
    <t>Lanre Ajala</t>
  </si>
  <si>
    <t>PT-1084</t>
  </si>
  <si>
    <t>Michael Akintola</t>
  </si>
  <si>
    <t>PT-1085</t>
  </si>
  <si>
    <t>Lanre Wilson</t>
  </si>
  <si>
    <t xml:space="preserve">Uninsured </t>
  </si>
  <si>
    <t>PT-1086</t>
  </si>
  <si>
    <t>Stella Abubakar</t>
  </si>
  <si>
    <t>PT-1087</t>
  </si>
  <si>
    <t>Zainab Adeyemi</t>
  </si>
  <si>
    <t>Sitagliptin</t>
  </si>
  <si>
    <t>PT-1088</t>
  </si>
  <si>
    <t>Mariam Anderson</t>
  </si>
  <si>
    <t>PT-1089</t>
  </si>
  <si>
    <t>Suleiman Smith</t>
  </si>
  <si>
    <t>Dexamethasone</t>
  </si>
  <si>
    <t>PT-1090</t>
  </si>
  <si>
    <t>Dr. Aisha Bello</t>
  </si>
  <si>
    <t>PT-1091</t>
  </si>
  <si>
    <t>Lanre Akintola</t>
  </si>
  <si>
    <t>PT-1092</t>
  </si>
  <si>
    <t>Yusuf Igwe</t>
  </si>
  <si>
    <t>PT-1093</t>
  </si>
  <si>
    <t>PT-1094</t>
  </si>
  <si>
    <t>Chiamaka Nwosu</t>
  </si>
  <si>
    <t>PT-1095</t>
  </si>
  <si>
    <t>Oluwaseun Lawan</t>
  </si>
  <si>
    <t>Trastuzumab</t>
  </si>
  <si>
    <t>PT-1096</t>
  </si>
  <si>
    <t>Amaka Fashola</t>
  </si>
  <si>
    <t>PT-1097</t>
  </si>
  <si>
    <t>Bukola Obi</t>
  </si>
  <si>
    <t>PT-1098</t>
  </si>
  <si>
    <t>PT-1099</t>
  </si>
  <si>
    <t>Mariam Igwe</t>
  </si>
  <si>
    <t>PT-1100</t>
  </si>
  <si>
    <t>Grace Adeyemi</t>
  </si>
  <si>
    <t>PT-1101</t>
  </si>
  <si>
    <t>Gbenga Osagie</t>
  </si>
  <si>
    <t>PT-1102</t>
  </si>
  <si>
    <t>Biodun Bankole</t>
  </si>
  <si>
    <t>PT-1103</t>
  </si>
  <si>
    <t>Miriam Garba</t>
  </si>
  <si>
    <t>PT-1104</t>
  </si>
  <si>
    <t>Lydia Adeleke</t>
  </si>
  <si>
    <t>PT-1105</t>
  </si>
  <si>
    <t>PT-1106</t>
  </si>
  <si>
    <t>Bashir Martin</t>
  </si>
  <si>
    <t>B-pos</t>
  </si>
  <si>
    <t>PT-1107</t>
  </si>
  <si>
    <t>Emeka Garba</t>
  </si>
  <si>
    <t>Dr. Sarah Adeyemi</t>
  </si>
  <si>
    <t>PT-1108</t>
  </si>
  <si>
    <t>Michael Musa</t>
  </si>
  <si>
    <t>Paracetamol</t>
  </si>
  <si>
    <t>PT-1109</t>
  </si>
  <si>
    <t>Phenytoin</t>
  </si>
  <si>
    <t>PT-1110</t>
  </si>
  <si>
    <t>Zainab Martin</t>
  </si>
  <si>
    <t>PT-1111</t>
  </si>
  <si>
    <t>Grace Thompson</t>
  </si>
  <si>
    <t>PT-1112</t>
  </si>
  <si>
    <t>Kunle Moore</t>
  </si>
  <si>
    <t>PT-1113</t>
  </si>
  <si>
    <t>Yusuf Usman</t>
  </si>
  <si>
    <t xml:space="preserve">Medicare </t>
  </si>
  <si>
    <t>PT-1114</t>
  </si>
  <si>
    <t>Lydia Onuoha</t>
  </si>
  <si>
    <t>PT-1115</t>
  </si>
  <si>
    <t>Hauwa Oni</t>
  </si>
  <si>
    <t>PT-1116</t>
  </si>
  <si>
    <t>Babatunde Onuoha</t>
  </si>
  <si>
    <t>PT-1117</t>
  </si>
  <si>
    <t>Chioma Okonkwo</t>
  </si>
  <si>
    <t>PT-1118</t>
  </si>
  <si>
    <t>Esther Hassan</t>
  </si>
  <si>
    <t>PT-1119</t>
  </si>
  <si>
    <t>Adenike Adebayo</t>
  </si>
  <si>
    <t>gastroenterology</t>
  </si>
  <si>
    <t>Ciprofloxacin</t>
  </si>
  <si>
    <t>PT-1120</t>
  </si>
  <si>
    <t>Aisha Sule</t>
  </si>
  <si>
    <t>PT-1121</t>
  </si>
  <si>
    <t>Femi Lawal</t>
  </si>
  <si>
    <t>PT-1122</t>
  </si>
  <si>
    <t>PT-1123</t>
  </si>
  <si>
    <t>Oluwaseun Martin</t>
  </si>
  <si>
    <t>Ibuprofen</t>
  </si>
  <si>
    <t>PT-1124</t>
  </si>
  <si>
    <t>Nnamdi Sule</t>
  </si>
  <si>
    <t>PT-1125</t>
  </si>
  <si>
    <t>Kemi Bankole</t>
  </si>
  <si>
    <t>PT-1126</t>
  </si>
  <si>
    <t>Josephine Chukwu</t>
  </si>
  <si>
    <t>PT-1127</t>
  </si>
  <si>
    <t>Chiamaka Oni</t>
  </si>
  <si>
    <t>PT-1128</t>
  </si>
  <si>
    <t>Rotimi Chukwu</t>
  </si>
  <si>
    <t>PT-1129</t>
  </si>
  <si>
    <t>Lanre Yakubu</t>
  </si>
  <si>
    <t>PT-1130</t>
  </si>
  <si>
    <t>Bashir Okeke</t>
  </si>
  <si>
    <t xml:space="preserve">Medicaid </t>
  </si>
  <si>
    <t>PT-1131</t>
  </si>
  <si>
    <t>Peter Dauda</t>
  </si>
  <si>
    <t>Methotrexate</t>
  </si>
  <si>
    <t>PT-1132</t>
  </si>
  <si>
    <t>Halima Aliyu</t>
  </si>
  <si>
    <t>PT-1133</t>
  </si>
  <si>
    <t>Mary Ajala</t>
  </si>
  <si>
    <t>PT-1134</t>
  </si>
  <si>
    <t>PT-1135</t>
  </si>
  <si>
    <t>Chukwuemeka Dauda</t>
  </si>
  <si>
    <t>PT-1136</t>
  </si>
  <si>
    <t>Rukayat Abubakar</t>
  </si>
  <si>
    <t>PT-1137</t>
  </si>
  <si>
    <t>PT-1138</t>
  </si>
  <si>
    <t>Nnamdi Oni</t>
  </si>
  <si>
    <t>PT-1139</t>
  </si>
  <si>
    <t>Bashir Taylor</t>
  </si>
  <si>
    <t>PT-1140</t>
  </si>
  <si>
    <t>Samuel Martin</t>
  </si>
  <si>
    <t>DIABETES</t>
  </si>
  <si>
    <t>PT-1141</t>
  </si>
  <si>
    <t>Rukayat Okafor</t>
  </si>
  <si>
    <t>PT-1142</t>
  </si>
  <si>
    <t>Rukayat Musa</t>
  </si>
  <si>
    <t>PT-1143</t>
  </si>
  <si>
    <t>Kunle Garba</t>
  </si>
  <si>
    <t>PT-1144</t>
  </si>
  <si>
    <t>Babatunde Bello</t>
  </si>
  <si>
    <t>?</t>
  </si>
  <si>
    <t>PT-1145</t>
  </si>
  <si>
    <t>Ruth Davis</t>
  </si>
  <si>
    <t>PT-1146</t>
  </si>
  <si>
    <t>Babatunde Musa</t>
  </si>
  <si>
    <t>PT-1147</t>
  </si>
  <si>
    <t>Mary Bello</t>
  </si>
  <si>
    <t>PT-1148</t>
  </si>
  <si>
    <t>Kunle Smith</t>
  </si>
  <si>
    <t>PT-1149</t>
  </si>
  <si>
    <t>Mariam Abubakar</t>
  </si>
  <si>
    <t>Dapagliflozin</t>
  </si>
  <si>
    <t>PT-1150</t>
  </si>
  <si>
    <t>Elizabeth Nwosu</t>
  </si>
  <si>
    <t>PT-1151</t>
  </si>
  <si>
    <t>Taiwo Ogbonna</t>
  </si>
  <si>
    <t>PT-1152</t>
  </si>
  <si>
    <t>Abdullahi Davis</t>
  </si>
  <si>
    <t>diabetes</t>
  </si>
  <si>
    <t>PT-1153</t>
  </si>
  <si>
    <t>Michael Ajala</t>
  </si>
  <si>
    <t>PT-1154</t>
  </si>
  <si>
    <t>PT-1155</t>
  </si>
  <si>
    <t>Rachel Salami</t>
  </si>
  <si>
    <t>PT-1156</t>
  </si>
  <si>
    <t>Oluwaseun Okeke</t>
  </si>
  <si>
    <t>PT-1157</t>
  </si>
  <si>
    <t>Gbenga Wilson</t>
  </si>
  <si>
    <t>PT-1158</t>
  </si>
  <si>
    <t>Elizabeth Davis</t>
  </si>
  <si>
    <t>PT-1159</t>
  </si>
  <si>
    <t>Samuel Bankole</t>
  </si>
  <si>
    <t>PT-1160</t>
  </si>
  <si>
    <t>Samuel Abubakar</t>
  </si>
  <si>
    <t>PT-1161</t>
  </si>
  <si>
    <t>Gbenga Garba</t>
  </si>
  <si>
    <t>PT-1162</t>
  </si>
  <si>
    <t>Mary Davis</t>
  </si>
  <si>
    <t>PT-1163</t>
  </si>
  <si>
    <t>Musa Ajala</t>
  </si>
  <si>
    <t>PT-1164</t>
  </si>
  <si>
    <t>PT-1165</t>
  </si>
  <si>
    <t>Sarah Ogbonna</t>
  </si>
  <si>
    <t>PT-1166</t>
  </si>
  <si>
    <t>PT-1167</t>
  </si>
  <si>
    <t>Hauwa Smith</t>
  </si>
  <si>
    <t>PT-1168</t>
  </si>
  <si>
    <t>David Aliyu</t>
  </si>
  <si>
    <t>PT-1169</t>
  </si>
  <si>
    <t>Lanre Salami</t>
  </si>
  <si>
    <t>PT-1170</t>
  </si>
  <si>
    <t>Gbenga Dauda</t>
  </si>
  <si>
    <t>PT-1171</t>
  </si>
  <si>
    <t>PT-1172</t>
  </si>
  <si>
    <t>PT-1173</t>
  </si>
  <si>
    <t>Josephine Oni</t>
  </si>
  <si>
    <t>PT-1174</t>
  </si>
  <si>
    <t>Tunde Abubakar</t>
  </si>
  <si>
    <t>Bevacizumab</t>
  </si>
  <si>
    <t>PT-1175</t>
  </si>
  <si>
    <t>Taiwo Wilson</t>
  </si>
  <si>
    <t>PT-1176</t>
  </si>
  <si>
    <t>Ifeanyi Nwosu</t>
  </si>
  <si>
    <t>PT-1177</t>
  </si>
  <si>
    <t>Uche Garba</t>
  </si>
  <si>
    <t>PT-1178</t>
  </si>
  <si>
    <t>PT-1179</t>
  </si>
  <si>
    <t>Ngozi Okonkwo</t>
  </si>
  <si>
    <t>PT-1180</t>
  </si>
  <si>
    <t>PT-1181</t>
  </si>
  <si>
    <t>Rachel Lawan</t>
  </si>
  <si>
    <t>PT-1182</t>
  </si>
  <si>
    <t>Halima Lawan</t>
  </si>
  <si>
    <t>PT-1183</t>
  </si>
  <si>
    <t>Gbenga Onuoha</t>
  </si>
  <si>
    <t>PT-1184</t>
  </si>
  <si>
    <t>Funke Adeyemi</t>
  </si>
  <si>
    <t>Loperamide</t>
  </si>
  <si>
    <t>PT-1185</t>
  </si>
  <si>
    <t>John Wilson</t>
  </si>
  <si>
    <t>PT-1186</t>
  </si>
  <si>
    <t>Blessing Osagie</t>
  </si>
  <si>
    <t>PT-1187</t>
  </si>
  <si>
    <t>PT-1188</t>
  </si>
  <si>
    <t>Emeka Aliyu</t>
  </si>
  <si>
    <t>Amoxicillin</t>
  </si>
  <si>
    <t>PT-1189</t>
  </si>
  <si>
    <t>Michael Okonkwo</t>
  </si>
  <si>
    <t>Med-icare</t>
  </si>
  <si>
    <t>Paclitaxel</t>
  </si>
  <si>
    <t>PT-1190</t>
  </si>
  <si>
    <t>James Dauda</t>
  </si>
  <si>
    <t>PT-1191</t>
  </si>
  <si>
    <t>Oluwaseun Garba</t>
  </si>
  <si>
    <t>PT-1192</t>
  </si>
  <si>
    <t>PT-1193</t>
  </si>
  <si>
    <t>Ngozi Abubakar</t>
  </si>
  <si>
    <t>PT-1194</t>
  </si>
  <si>
    <t>Ruth Garba</t>
  </si>
  <si>
    <t>PT-1195</t>
  </si>
  <si>
    <t>Josephine Abiodun</t>
  </si>
  <si>
    <t>PT-1196</t>
  </si>
  <si>
    <t>Zainab Moore</t>
  </si>
  <si>
    <t>PT-1197</t>
  </si>
  <si>
    <t>PT-1198</t>
  </si>
  <si>
    <t>Blessing Oni</t>
  </si>
  <si>
    <t>PT-1199</t>
  </si>
  <si>
    <t>Michael Smith</t>
  </si>
  <si>
    <t>PT-1200</t>
  </si>
  <si>
    <t>Ifeoma Nwosu</t>
  </si>
  <si>
    <t>PT-1201</t>
  </si>
  <si>
    <t>Aisha Okonkwo</t>
  </si>
  <si>
    <t>PT-1202</t>
  </si>
  <si>
    <t>Lanre Smith</t>
  </si>
  <si>
    <t>PT-1203</t>
  </si>
  <si>
    <t>Chiamaka Ajala</t>
  </si>
  <si>
    <t>PT-1204</t>
  </si>
  <si>
    <t>Aisha Johnson</t>
  </si>
  <si>
    <t>PT-1205</t>
  </si>
  <si>
    <t>Oluwaseun Moore</t>
  </si>
  <si>
    <t>PT-1206</t>
  </si>
  <si>
    <t>Rebecca Okeke</t>
  </si>
  <si>
    <t>PT-1207</t>
  </si>
  <si>
    <t>PT-1208</t>
  </si>
  <si>
    <t>PT-1209</t>
  </si>
  <si>
    <t>Kayode Danjuma</t>
  </si>
  <si>
    <t>Topiramate</t>
  </si>
  <si>
    <t>PT-1210</t>
  </si>
  <si>
    <t>Mary Johnson</t>
  </si>
  <si>
    <t>PT-1211</t>
  </si>
  <si>
    <t>Taiwo Davis</t>
  </si>
  <si>
    <t>PT-1212</t>
  </si>
  <si>
    <t>PT-1213</t>
  </si>
  <si>
    <t>Michael Okafor</t>
  </si>
  <si>
    <t>PT-1214</t>
  </si>
  <si>
    <t>PT-1215</t>
  </si>
  <si>
    <t>RESPIRATORY</t>
  </si>
  <si>
    <t>PT-1216</t>
  </si>
  <si>
    <t>Rachel Smith</t>
  </si>
  <si>
    <t>PT-1217</t>
  </si>
  <si>
    <t>Mary Hassan</t>
  </si>
  <si>
    <t>Glibenclamide</t>
  </si>
  <si>
    <t>PT-1218</t>
  </si>
  <si>
    <t>Nneka Brown</t>
  </si>
  <si>
    <t>PT-1219</t>
  </si>
  <si>
    <t>PT-1220</t>
  </si>
  <si>
    <t>Suleiman Yakubu</t>
  </si>
  <si>
    <t>PT-1221</t>
  </si>
  <si>
    <t>Ifeanyi Smith</t>
  </si>
  <si>
    <t>PT-1222</t>
  </si>
  <si>
    <t>Tolulope Moore</t>
  </si>
  <si>
    <t>PT-1223</t>
  </si>
  <si>
    <t>Elizabeth Adeleke</t>
  </si>
  <si>
    <t>PT-1224</t>
  </si>
  <si>
    <t>Chukwudi Okeke</t>
  </si>
  <si>
    <t>PT-1225</t>
  </si>
  <si>
    <t>Kunle Ajala</t>
  </si>
  <si>
    <t>PT-1226</t>
  </si>
  <si>
    <t>Babatunde Akintola</t>
  </si>
  <si>
    <t>PT-1227</t>
  </si>
  <si>
    <t>Fatima Ogbonna</t>
  </si>
  <si>
    <t>oncology</t>
  </si>
  <si>
    <t>PT-1228</t>
  </si>
  <si>
    <t>Peter Sule</t>
  </si>
  <si>
    <t>PT-1229</t>
  </si>
  <si>
    <t>Joseph Martin</t>
  </si>
  <si>
    <t>Warfarin</t>
  </si>
  <si>
    <t>PT-1230</t>
  </si>
  <si>
    <t>Babatunde Okeke</t>
  </si>
  <si>
    <t>PT-1231</t>
  </si>
  <si>
    <t>Ifeoma Oni</t>
  </si>
  <si>
    <t>PT-1232</t>
  </si>
  <si>
    <t>Elizabeth Chukwu</t>
  </si>
  <si>
    <t>DR. BABATUNDE FASHOLA</t>
  </si>
  <si>
    <t>PT-1233</t>
  </si>
  <si>
    <t>Musa Adeleke</t>
  </si>
  <si>
    <t>PT-1234</t>
  </si>
  <si>
    <t>Hauwa Onuoha</t>
  </si>
  <si>
    <t>PT-1235</t>
  </si>
  <si>
    <t>Oluwaseun Obi</t>
  </si>
  <si>
    <t>PT-1236</t>
  </si>
  <si>
    <t>Michael Yakubu</t>
  </si>
  <si>
    <t>PT-1237</t>
  </si>
  <si>
    <t>Samuel Igwe</t>
  </si>
  <si>
    <t>PT-1238</t>
  </si>
  <si>
    <t>Kayode Sule</t>
  </si>
  <si>
    <t>PT-1239</t>
  </si>
  <si>
    <t>Nneka Hassan</t>
  </si>
  <si>
    <t>PT-1240</t>
  </si>
  <si>
    <t>PT-1241</t>
  </si>
  <si>
    <t>Amaka Thompson</t>
  </si>
  <si>
    <t>PT-1242</t>
  </si>
  <si>
    <t>Chidi Ogbonna</t>
  </si>
  <si>
    <t>PT-1243</t>
  </si>
  <si>
    <t>Rotimi Eze</t>
  </si>
  <si>
    <t>PT-1244</t>
  </si>
  <si>
    <t>Mary Nwosu</t>
  </si>
  <si>
    <t>Clopidogrel</t>
  </si>
  <si>
    <t>PT-1245</t>
  </si>
  <si>
    <t>Blessing Ogbonna</t>
  </si>
  <si>
    <t>PT-1246</t>
  </si>
  <si>
    <t>Halima Ajala</t>
  </si>
  <si>
    <t>PT-1247</t>
  </si>
  <si>
    <t>Segun Thompson</t>
  </si>
  <si>
    <t>PT-1248</t>
  </si>
  <si>
    <t>John Okafor</t>
  </si>
  <si>
    <t>PT-1249</t>
  </si>
  <si>
    <t>Joseph Lawan</t>
  </si>
  <si>
    <t>PT-1250</t>
  </si>
  <si>
    <t>Daniel Nwosu</t>
  </si>
  <si>
    <t>PT-1251</t>
  </si>
  <si>
    <t>Chioma Moore</t>
  </si>
  <si>
    <t>PT-1252</t>
  </si>
  <si>
    <t>Chukwuemeka Oni</t>
  </si>
  <si>
    <t>PT-1253</t>
  </si>
  <si>
    <t>Zainab Dauda</t>
  </si>
  <si>
    <t>PT-1254</t>
  </si>
  <si>
    <t>PT-1255</t>
  </si>
  <si>
    <t>PT-1256</t>
  </si>
  <si>
    <t>Hauwa Taylor</t>
  </si>
  <si>
    <t>PT-1257</t>
  </si>
  <si>
    <t>Daniel Martin</t>
  </si>
  <si>
    <t>PT-1258</t>
  </si>
  <si>
    <t>Ifeoma Thompson</t>
  </si>
  <si>
    <t>PT-1259</t>
  </si>
  <si>
    <t>Lanre Martin</t>
  </si>
  <si>
    <t>PT-1260</t>
  </si>
  <si>
    <t>Samuel Usman</t>
  </si>
  <si>
    <t>PT-1261</t>
  </si>
  <si>
    <t>Adenike Okafor</t>
  </si>
  <si>
    <t>PT-1262</t>
  </si>
  <si>
    <t>James Aliyu</t>
  </si>
  <si>
    <t>PT-1263</t>
  </si>
  <si>
    <t>Emmanuel Taylor</t>
  </si>
  <si>
    <t>PT-1264</t>
  </si>
  <si>
    <t>Chukwuemeka Garba</t>
  </si>
  <si>
    <t>PT-1265</t>
  </si>
  <si>
    <t>Rotimi Nwosu</t>
  </si>
  <si>
    <t>PT-1266</t>
  </si>
  <si>
    <t>neurology</t>
  </si>
  <si>
    <t>PT-1267</t>
  </si>
  <si>
    <t>Taiwo Smith</t>
  </si>
  <si>
    <t>PT-1268</t>
  </si>
  <si>
    <t>PT-1269</t>
  </si>
  <si>
    <t>Babatunde Oni</t>
  </si>
  <si>
    <t>PT-1270</t>
  </si>
  <si>
    <t>Chidi Ibrahim</t>
  </si>
  <si>
    <t>PT-1271</t>
  </si>
  <si>
    <t>Rukayat Salami</t>
  </si>
  <si>
    <t>PT-1272</t>
  </si>
  <si>
    <t>Zainab Garba</t>
  </si>
  <si>
    <t>PT-1273</t>
  </si>
  <si>
    <t>Suleiman Obi</t>
  </si>
  <si>
    <t>PT-1274</t>
  </si>
  <si>
    <t>Chidi Williams</t>
  </si>
  <si>
    <t>PT-1275</t>
  </si>
  <si>
    <t>Femi Hassan</t>
  </si>
  <si>
    <t>PT-1276</t>
  </si>
  <si>
    <t>Yusuf Martin</t>
  </si>
  <si>
    <t>PT-1277</t>
  </si>
  <si>
    <t>PT-1278</t>
  </si>
  <si>
    <t>PT-1279</t>
  </si>
  <si>
    <t>Kayode Okonkwo</t>
  </si>
  <si>
    <t>PT-1280</t>
  </si>
  <si>
    <t>Kemi Chukwu</t>
  </si>
  <si>
    <t>PT-1281</t>
  </si>
  <si>
    <t>Chidi Onuoha</t>
  </si>
  <si>
    <t>PT-1282</t>
  </si>
  <si>
    <t>Kayode Martin</t>
  </si>
  <si>
    <t>Tiotropium</t>
  </si>
  <si>
    <t>PT-1283</t>
  </si>
  <si>
    <t>Hauwa Igwe</t>
  </si>
  <si>
    <t>PT-1284</t>
  </si>
  <si>
    <t>Amaka Nwosu</t>
  </si>
  <si>
    <t>PT-1285</t>
  </si>
  <si>
    <t>Chiamaka Bello</t>
  </si>
  <si>
    <t>PT-1286</t>
  </si>
  <si>
    <t>Taiwo Abubakar</t>
  </si>
  <si>
    <t>PT-1287</t>
  </si>
  <si>
    <t>Blessing Fashola</t>
  </si>
  <si>
    <t>Cyclophosphamide</t>
  </si>
  <si>
    <t>PT-1288</t>
  </si>
  <si>
    <t>Adaeze Bankole</t>
  </si>
  <si>
    <t>PT-1289</t>
  </si>
  <si>
    <t>Biodun Dauda</t>
  </si>
  <si>
    <t>PT-1290</t>
  </si>
  <si>
    <t>PT-1291</t>
  </si>
  <si>
    <t>Mariam Chukwu</t>
  </si>
  <si>
    <t>PT-1292</t>
  </si>
  <si>
    <t>Amaka Adeyemi</t>
  </si>
  <si>
    <t>PT-1293</t>
  </si>
  <si>
    <t>Sarah Wilson</t>
  </si>
  <si>
    <t>A +</t>
  </si>
  <si>
    <t>PT-1294</t>
  </si>
  <si>
    <t>Rukayat Thompson</t>
  </si>
  <si>
    <t>PT-1295</t>
  </si>
  <si>
    <t>Chidi Yakubu</t>
  </si>
  <si>
    <t>PT-1296</t>
  </si>
  <si>
    <t>Kayode Aliyu</t>
  </si>
  <si>
    <t>PT-1297</t>
  </si>
  <si>
    <t>Lydia Lawan</t>
  </si>
  <si>
    <t>PT-1298</t>
  </si>
  <si>
    <t>Aisha Wilson</t>
  </si>
  <si>
    <t>PT-1299</t>
  </si>
  <si>
    <t>PT-1300</t>
  </si>
  <si>
    <t>Rukayat Smith</t>
  </si>
  <si>
    <t>PT-1301</t>
  </si>
  <si>
    <t>PT-1302</t>
  </si>
  <si>
    <t>Kemi Martin</t>
  </si>
  <si>
    <t>PT-1303</t>
  </si>
  <si>
    <t>Blessing Garba</t>
  </si>
  <si>
    <t>PT-1304</t>
  </si>
  <si>
    <t>Esther Abiodun</t>
  </si>
  <si>
    <t>PT-1305</t>
  </si>
  <si>
    <t>Suleiman Brown</t>
  </si>
  <si>
    <t>PT-1306</t>
  </si>
  <si>
    <t>Stella Fashola</t>
  </si>
  <si>
    <t>PT-1307</t>
  </si>
  <si>
    <t>Lanre Davis</t>
  </si>
  <si>
    <t>PT-1308</t>
  </si>
  <si>
    <t>PT-1309</t>
  </si>
  <si>
    <t>Ngozi Williams</t>
  </si>
  <si>
    <t>PT-1310</t>
  </si>
  <si>
    <t>Ifeanyi Okonkwo</t>
  </si>
  <si>
    <t>PT-1311</t>
  </si>
  <si>
    <t>Biodun Lawal</t>
  </si>
  <si>
    <t>PT-1312</t>
  </si>
  <si>
    <t>Babatunde Salami</t>
  </si>
  <si>
    <t>PT-1313</t>
  </si>
  <si>
    <t>Fatima Davis</t>
  </si>
  <si>
    <t>PT-1314</t>
  </si>
  <si>
    <t>Ibrahim Akintola</t>
  </si>
  <si>
    <t>PT-1315</t>
  </si>
  <si>
    <t>Michael Moore</t>
  </si>
  <si>
    <t>PT-1316</t>
  </si>
  <si>
    <t>John Ajala</t>
  </si>
  <si>
    <t>PT-1317</t>
  </si>
  <si>
    <t>Uche Salami</t>
  </si>
  <si>
    <t>PT-1318</t>
  </si>
  <si>
    <t>Femi Brown</t>
  </si>
  <si>
    <t>PT-1319</t>
  </si>
  <si>
    <t>PT-1320</t>
  </si>
  <si>
    <t>Rachel Oni</t>
  </si>
  <si>
    <t>PT-1321</t>
  </si>
  <si>
    <t>Femi Adeleke</t>
  </si>
  <si>
    <t>PT-1322</t>
  </si>
  <si>
    <t>Yusuf Dauda</t>
  </si>
  <si>
    <t>PT-1323</t>
  </si>
  <si>
    <t>James Thompson</t>
  </si>
  <si>
    <t>PT-1324</t>
  </si>
  <si>
    <t>Miriam Obi</t>
  </si>
  <si>
    <t>PT-1325</t>
  </si>
  <si>
    <t>Fatima Bankole</t>
  </si>
  <si>
    <t>PT-1326</t>
  </si>
  <si>
    <t>Joseph Ogbonna</t>
  </si>
  <si>
    <t>PT-1327</t>
  </si>
  <si>
    <t>PT-1328</t>
  </si>
  <si>
    <t>Tunde Musa</t>
  </si>
  <si>
    <t>PT-1329</t>
  </si>
  <si>
    <t>Joseph Okafor</t>
  </si>
  <si>
    <t>PT-1330</t>
  </si>
  <si>
    <t>Amaka Aliyu</t>
  </si>
  <si>
    <t>PT-1331</t>
  </si>
  <si>
    <t>Peter Lawal</t>
  </si>
  <si>
    <t>PT-1332</t>
  </si>
  <si>
    <t>Ifeoma Ogbonna</t>
  </si>
  <si>
    <t>PT-1333</t>
  </si>
  <si>
    <t>PT-1334</t>
  </si>
  <si>
    <t>Peter Danjuma</t>
  </si>
  <si>
    <t>PT-1335</t>
  </si>
  <si>
    <t>Funke Bello</t>
  </si>
  <si>
    <t>PT-1336</t>
  </si>
  <si>
    <t>Uche Aliyu</t>
  </si>
  <si>
    <t>PT-1337</t>
  </si>
  <si>
    <t>Ngozi Hassan</t>
  </si>
  <si>
    <t>PT-1338</t>
  </si>
  <si>
    <t>Esther Yakubu</t>
  </si>
  <si>
    <t>PT-1339</t>
  </si>
  <si>
    <t>Suleiman Okonkwo</t>
  </si>
  <si>
    <t>PT-1340</t>
  </si>
  <si>
    <t>John Fashola</t>
  </si>
  <si>
    <t>PT-1341</t>
  </si>
  <si>
    <t>PT-1342</t>
  </si>
  <si>
    <t>Mary Adeleke</t>
  </si>
  <si>
    <t>PT-1343</t>
  </si>
  <si>
    <t>Gbenga Davis</t>
  </si>
  <si>
    <t>PT-1344</t>
  </si>
  <si>
    <t>Miriam Oni</t>
  </si>
  <si>
    <t>PT-1345</t>
  </si>
  <si>
    <t>Babatunde Okonkwo</t>
  </si>
  <si>
    <t>PT-1346</t>
  </si>
  <si>
    <t>PT-1347</t>
  </si>
  <si>
    <t>Funke Usman</t>
  </si>
  <si>
    <t>PT-1348</t>
  </si>
  <si>
    <t>Rachel Lawal</t>
  </si>
  <si>
    <t>PT-1349</t>
  </si>
  <si>
    <t>Chioma Abiodun</t>
  </si>
  <si>
    <t>PT-1350</t>
  </si>
  <si>
    <t>Kunle Adeyemi</t>
  </si>
  <si>
    <t>PT-1351</t>
  </si>
  <si>
    <t>Perpetua Dauda</t>
  </si>
  <si>
    <t>PT-1352</t>
  </si>
  <si>
    <t>Aisha Williams</t>
  </si>
  <si>
    <t>PT-1353</t>
  </si>
  <si>
    <t>Elizabeth Moore</t>
  </si>
  <si>
    <t>PT-1354</t>
  </si>
  <si>
    <t>PT-1355</t>
  </si>
  <si>
    <t>Femi Igwe</t>
  </si>
  <si>
    <t>PT-1356</t>
  </si>
  <si>
    <t>Joseph Brown</t>
  </si>
  <si>
    <t>PT-1357</t>
  </si>
  <si>
    <t>PT-1358</t>
  </si>
  <si>
    <t>Stella Oni</t>
  </si>
  <si>
    <t>PT-1359</t>
  </si>
  <si>
    <t>Kunle Abubakar</t>
  </si>
  <si>
    <t>PT-1360</t>
  </si>
  <si>
    <t>Emmanuel Lawal</t>
  </si>
  <si>
    <t>PT-1361</t>
  </si>
  <si>
    <t>Bashir Osagie</t>
  </si>
  <si>
    <t>PT-1362</t>
  </si>
  <si>
    <t>PT-1363</t>
  </si>
  <si>
    <t>Rachel Hassan</t>
  </si>
  <si>
    <t>PT-1364</t>
  </si>
  <si>
    <t>Lydia Ajala</t>
  </si>
  <si>
    <t>PT-1365</t>
  </si>
  <si>
    <t>Segun Sule</t>
  </si>
  <si>
    <t>PT-1366</t>
  </si>
  <si>
    <t>Chidi Johnson</t>
  </si>
  <si>
    <t>AB (positive)</t>
  </si>
  <si>
    <t>PT-1367</t>
  </si>
  <si>
    <t>Gbenga Aliyu</t>
  </si>
  <si>
    <t>PT-1368</t>
  </si>
  <si>
    <t>Emmanuel Bello</t>
  </si>
  <si>
    <t>PT-1369</t>
  </si>
  <si>
    <t>PT-1370</t>
  </si>
  <si>
    <t>Emmanuel Abiodun</t>
  </si>
  <si>
    <t>PT-1371</t>
  </si>
  <si>
    <t>Perpetua Usman</t>
  </si>
  <si>
    <t>PT-1372</t>
  </si>
  <si>
    <t>James Davis</t>
  </si>
  <si>
    <t>PT-1373</t>
  </si>
  <si>
    <t>Kunle Hassan</t>
  </si>
  <si>
    <t>PT-1374</t>
  </si>
  <si>
    <t>Grace Fashola</t>
  </si>
  <si>
    <t>respiratory</t>
  </si>
  <si>
    <t>PT-1375</t>
  </si>
  <si>
    <t>Ngozi Thompson</t>
  </si>
  <si>
    <t>PT-1376</t>
  </si>
  <si>
    <t>Ngozi Moore</t>
  </si>
  <si>
    <t>PT-1377</t>
  </si>
  <si>
    <t>PT-1378</t>
  </si>
  <si>
    <t>Femi Abiodun</t>
  </si>
  <si>
    <t>PT-1379</t>
  </si>
  <si>
    <t>Adewale Hassan</t>
  </si>
  <si>
    <t>PT-1380</t>
  </si>
  <si>
    <t>Mary Lawan</t>
  </si>
  <si>
    <t>PT-1381</t>
  </si>
  <si>
    <t>Mary Anderson</t>
  </si>
  <si>
    <t>PT-1382</t>
  </si>
  <si>
    <t>Uche Okonkwo</t>
  </si>
  <si>
    <t>PT-1383</t>
  </si>
  <si>
    <t>Chukwuemeka Danjuma</t>
  </si>
  <si>
    <t>PT-1384</t>
  </si>
  <si>
    <t>Emeka Anderson</t>
  </si>
  <si>
    <t>PT-1385</t>
  </si>
  <si>
    <t>Josephine Adeyemi</t>
  </si>
  <si>
    <t>PT-1386</t>
  </si>
  <si>
    <t>Hauwa Yakubu</t>
  </si>
  <si>
    <t>PT-1387</t>
  </si>
  <si>
    <t>PT-1388</t>
  </si>
  <si>
    <t>Ruth Martin</t>
  </si>
  <si>
    <t>PT-1389</t>
  </si>
  <si>
    <t>Stella Okonkwo</t>
  </si>
  <si>
    <t>PT-1390</t>
  </si>
  <si>
    <t>PT-1391</t>
  </si>
  <si>
    <t>PT-1392</t>
  </si>
  <si>
    <t>Kemi Hassan</t>
  </si>
  <si>
    <t>PT-1393</t>
  </si>
  <si>
    <t>PT-1394</t>
  </si>
  <si>
    <t>Adenike Abiodun</t>
  </si>
  <si>
    <t>PT-1395</t>
  </si>
  <si>
    <t>Daniel Smith</t>
  </si>
  <si>
    <t>PT-1396</t>
  </si>
  <si>
    <t>Chioma Adeyemi</t>
  </si>
  <si>
    <t>PT-1397</t>
  </si>
  <si>
    <t>PT-1398</t>
  </si>
  <si>
    <t>Peter Okonkwo</t>
  </si>
  <si>
    <t>PT-1399</t>
  </si>
  <si>
    <t>PT-1400</t>
  </si>
  <si>
    <t>Ibrahim Ajala</t>
  </si>
  <si>
    <t>PT-1401</t>
  </si>
  <si>
    <t>Fatima Okeke</t>
  </si>
  <si>
    <t>PT-1402</t>
  </si>
  <si>
    <t>Hauwa Usman</t>
  </si>
  <si>
    <t>PT-1403</t>
  </si>
  <si>
    <t>Taiwo Dauda</t>
  </si>
  <si>
    <t>PT-1404</t>
  </si>
  <si>
    <t>PT-1405</t>
  </si>
  <si>
    <t>Abdullahi Okeke</t>
  </si>
  <si>
    <t>PT-1406</t>
  </si>
  <si>
    <t>Deborah Anderson</t>
  </si>
  <si>
    <t>PT-1407</t>
  </si>
  <si>
    <t>Kayode Akintola</t>
  </si>
  <si>
    <t>PT-1408</t>
  </si>
  <si>
    <t>PT-1409</t>
  </si>
  <si>
    <t>Perpetua Anderson</t>
  </si>
  <si>
    <t>PT-1410</t>
  </si>
  <si>
    <t>Segun Abiodun</t>
  </si>
  <si>
    <t>PT-1411</t>
  </si>
  <si>
    <t>Femi Anderson</t>
  </si>
  <si>
    <t>PT-1412</t>
  </si>
  <si>
    <t>PT-1413</t>
  </si>
  <si>
    <t>Ruth Aliyu</t>
  </si>
  <si>
    <t>PT-1414</t>
  </si>
  <si>
    <t>Kunle Obi</t>
  </si>
  <si>
    <t>PT-1415</t>
  </si>
  <si>
    <t>Adewale Onuoha</t>
  </si>
  <si>
    <t>PT-1416</t>
  </si>
  <si>
    <t>Lydia Usman</t>
  </si>
  <si>
    <t>PT-1417</t>
  </si>
  <si>
    <t>Aisha Lawan</t>
  </si>
  <si>
    <t>PT-1418</t>
  </si>
  <si>
    <t>Abdullahi Williams</t>
  </si>
  <si>
    <t>PT-1419</t>
  </si>
  <si>
    <t>Elizabeth Aliyu</t>
  </si>
  <si>
    <t>PT-1420</t>
  </si>
  <si>
    <t>Ruth Adeyemi</t>
  </si>
  <si>
    <t>PT-1421</t>
  </si>
  <si>
    <t>Halima Thompson</t>
  </si>
  <si>
    <t>PT-1422</t>
  </si>
  <si>
    <t>Segun Oni</t>
  </si>
  <si>
    <t>PT-1423</t>
  </si>
  <si>
    <t>Chioma Ogbonna</t>
  </si>
  <si>
    <t>PT-1424</t>
  </si>
  <si>
    <t>Hauwa Garba</t>
  </si>
  <si>
    <t>PT-1425</t>
  </si>
  <si>
    <t>PT-1426</t>
  </si>
  <si>
    <t>Dr Amara Osei</t>
  </si>
  <si>
    <t>PT-1427</t>
  </si>
  <si>
    <t>PT-1428</t>
  </si>
  <si>
    <t>PT-1429</t>
  </si>
  <si>
    <t>Adenike Garba</t>
  </si>
  <si>
    <t>PT-1430</t>
  </si>
  <si>
    <t>Adaeze Okeke</t>
  </si>
  <si>
    <t>PT-1431</t>
  </si>
  <si>
    <t>Rukayat Taylor</t>
  </si>
  <si>
    <t>PT-1432</t>
  </si>
  <si>
    <t>Daniel Abiodun</t>
  </si>
  <si>
    <t>PT-1433</t>
  </si>
  <si>
    <t>Chidi Salami</t>
  </si>
  <si>
    <t>PT-1434</t>
  </si>
  <si>
    <t>Chiamaka Yakubu</t>
  </si>
  <si>
    <t>PT-1435</t>
  </si>
  <si>
    <t>Mariam Williams</t>
  </si>
  <si>
    <t>PT-1436</t>
  </si>
  <si>
    <t>Chioma Adeleke</t>
  </si>
  <si>
    <t>PT-1437</t>
  </si>
  <si>
    <t>PT-1438</t>
  </si>
  <si>
    <t>Emeka Smith</t>
  </si>
  <si>
    <t>PT-1439</t>
  </si>
  <si>
    <t>PT-1440</t>
  </si>
  <si>
    <t>PT-1441</t>
  </si>
  <si>
    <t>PT-1442</t>
  </si>
  <si>
    <t>Hauwa Thompson</t>
  </si>
  <si>
    <t>PT-1443</t>
  </si>
  <si>
    <t>Ibrahim Abiodun</t>
  </si>
  <si>
    <t>PT-1444</t>
  </si>
  <si>
    <t>Emeka Adeleke</t>
  </si>
  <si>
    <t>PT-1445</t>
  </si>
  <si>
    <t>Mary Sule</t>
  </si>
  <si>
    <t>PT-1446</t>
  </si>
  <si>
    <t>Adewale Akintola</t>
  </si>
  <si>
    <t>PT-1447</t>
  </si>
  <si>
    <t>David Martin</t>
  </si>
  <si>
    <t>PT-1448</t>
  </si>
  <si>
    <t>PT-1449</t>
  </si>
  <si>
    <t>Bukola Martin</t>
  </si>
  <si>
    <t>PT-1450</t>
  </si>
  <si>
    <t>PT-1451</t>
  </si>
  <si>
    <t>PT-1452</t>
  </si>
  <si>
    <t>Ibrahim Adebayo</t>
  </si>
  <si>
    <t>PT-1453</t>
  </si>
  <si>
    <t>Chiamaka Moore</t>
  </si>
  <si>
    <t>PT-1454</t>
  </si>
  <si>
    <t>Nnamdi Nwosu</t>
  </si>
  <si>
    <t>PT-1455</t>
  </si>
  <si>
    <t>Peter Ajala</t>
  </si>
  <si>
    <t>PT-1456</t>
  </si>
  <si>
    <t>PT-1457</t>
  </si>
  <si>
    <t>Lydia Okafor</t>
  </si>
  <si>
    <t>PT-1458</t>
  </si>
  <si>
    <t>PT-1459</t>
  </si>
  <si>
    <t>Biodun Adebayo</t>
  </si>
  <si>
    <t>PT-1460</t>
  </si>
  <si>
    <t>PT-1461</t>
  </si>
  <si>
    <t>Taiwo Yakubu</t>
  </si>
  <si>
    <t>PT-1462</t>
  </si>
  <si>
    <t>Amaka Usman</t>
  </si>
  <si>
    <t>PT-1463</t>
  </si>
  <si>
    <t>Funke Ajala</t>
  </si>
  <si>
    <t>PT-1464</t>
  </si>
  <si>
    <t>Lydia Abubakar</t>
  </si>
  <si>
    <t>PT-1465</t>
  </si>
  <si>
    <t>PT-1466</t>
  </si>
  <si>
    <t>Sarah Taylor</t>
  </si>
  <si>
    <t>PT-1467</t>
  </si>
  <si>
    <t>Adenike Fashola</t>
  </si>
  <si>
    <t>orthopaedics</t>
  </si>
  <si>
    <t>PT-1468</t>
  </si>
  <si>
    <t>James Okonkwo</t>
  </si>
  <si>
    <t>PT-1469</t>
  </si>
  <si>
    <t>Femi Dauda</t>
  </si>
  <si>
    <t>PT-1470</t>
  </si>
  <si>
    <t>Adaeze Adebayo</t>
  </si>
  <si>
    <t>PT-1471</t>
  </si>
  <si>
    <t>Aisha Chukwu</t>
  </si>
  <si>
    <t>PT-1472</t>
  </si>
  <si>
    <t>Rotimi Oni</t>
  </si>
  <si>
    <t>PT-1473</t>
  </si>
  <si>
    <t>PT-1474</t>
  </si>
  <si>
    <t>Adenike Akintola</t>
  </si>
  <si>
    <t>PT-1475</t>
  </si>
  <si>
    <t>Daniel Ajala</t>
  </si>
  <si>
    <t>PT-1476</t>
  </si>
  <si>
    <t>PT-1477</t>
  </si>
  <si>
    <t>Ibrahim Smith</t>
  </si>
  <si>
    <t>PT-1478</t>
  </si>
  <si>
    <t>Miriam Brown</t>
  </si>
  <si>
    <t>PT-1479</t>
  </si>
  <si>
    <t>PT-1480</t>
  </si>
  <si>
    <t>Tolulope Aliyu</t>
  </si>
  <si>
    <t>PT-1481</t>
  </si>
  <si>
    <t>Musa Taylor</t>
  </si>
  <si>
    <t>PT-1482</t>
  </si>
  <si>
    <t>PT-1483</t>
  </si>
  <si>
    <t>Babatunde Johnson</t>
  </si>
  <si>
    <t>PT-1484</t>
  </si>
  <si>
    <t>Amaka Obi</t>
  </si>
  <si>
    <t>PT-1485</t>
  </si>
  <si>
    <t>PT-1486</t>
  </si>
  <si>
    <t>Blessing Aliyu</t>
  </si>
  <si>
    <t>PT-1487</t>
  </si>
  <si>
    <t>Amaka Danjuma</t>
  </si>
  <si>
    <t>PT-1488</t>
  </si>
  <si>
    <t>Ngozi Fashola</t>
  </si>
  <si>
    <t>PT-1489</t>
  </si>
  <si>
    <t>Ngozi Osagie</t>
  </si>
  <si>
    <t>PT-1490</t>
  </si>
  <si>
    <t>David Usman</t>
  </si>
  <si>
    <t>PT-1491</t>
  </si>
  <si>
    <t>PT-1492</t>
  </si>
  <si>
    <t>Emmanuel Sule</t>
  </si>
  <si>
    <t>PT-1493</t>
  </si>
  <si>
    <t>PT-1494</t>
  </si>
  <si>
    <t>Amaka Osagie</t>
  </si>
  <si>
    <t>PT-1495</t>
  </si>
  <si>
    <t>Samuel Eze</t>
  </si>
  <si>
    <t>PT-1496</t>
  </si>
  <si>
    <t>Rebecca Adeyemi</t>
  </si>
  <si>
    <t>PT-1497</t>
  </si>
  <si>
    <t>PT-1498</t>
  </si>
  <si>
    <t>Kunle Salami</t>
  </si>
  <si>
    <t>PT-1499</t>
  </si>
  <si>
    <t>Sarah Adeleke</t>
  </si>
  <si>
    <t>PT-1500</t>
  </si>
  <si>
    <t>PT-1501</t>
  </si>
  <si>
    <t>Sarah Yakubu</t>
  </si>
  <si>
    <t>PT-1502</t>
  </si>
  <si>
    <t>Adenike Martin</t>
  </si>
  <si>
    <t>PT-1503</t>
  </si>
  <si>
    <t>Suleiman Chukwu</t>
  </si>
  <si>
    <t>PT-1504</t>
  </si>
  <si>
    <t>Bukola Okeke</t>
  </si>
  <si>
    <t>PT-1505</t>
  </si>
  <si>
    <t>PT-1506</t>
  </si>
  <si>
    <t>Aisha Hassan</t>
  </si>
  <si>
    <t>PT-1507</t>
  </si>
  <si>
    <t>PT-1508</t>
  </si>
  <si>
    <t>Bashir Anderson</t>
  </si>
  <si>
    <t>PT-1509</t>
  </si>
  <si>
    <t>James Hassan</t>
  </si>
  <si>
    <t>PT-1510</t>
  </si>
  <si>
    <t>Rebecca Lawan</t>
  </si>
  <si>
    <t>PT-1511</t>
  </si>
  <si>
    <t>Elizabeth Bankole</t>
  </si>
  <si>
    <t>PT-1512</t>
  </si>
  <si>
    <t>Blessing Okafor</t>
  </si>
  <si>
    <t>PT-1513</t>
  </si>
  <si>
    <t>PT-1514</t>
  </si>
  <si>
    <t>PT-1515</t>
  </si>
  <si>
    <t>Samuel Ibrahim</t>
  </si>
  <si>
    <t>PT-1516</t>
  </si>
  <si>
    <t>Grace Dauda</t>
  </si>
  <si>
    <t>PT-1517</t>
  </si>
  <si>
    <t>Chidi Obi</t>
  </si>
  <si>
    <t>PT-1518</t>
  </si>
  <si>
    <t>Michael Ibrahim</t>
  </si>
  <si>
    <t>PT-1519</t>
  </si>
  <si>
    <t>Chukwuemeka Okafor</t>
  </si>
  <si>
    <t>PT-1520</t>
  </si>
  <si>
    <t>Ifeoma Bello</t>
  </si>
  <si>
    <t>PT-1521</t>
  </si>
  <si>
    <t>Kunle Thompson</t>
  </si>
  <si>
    <t>PT-1522</t>
  </si>
  <si>
    <t>PT-1523</t>
  </si>
  <si>
    <t>Halima Taylor</t>
  </si>
  <si>
    <t>PT-1524</t>
  </si>
  <si>
    <t>PT-1525</t>
  </si>
  <si>
    <t>Miriam Davis</t>
  </si>
  <si>
    <t>PT-1526</t>
  </si>
  <si>
    <t>Tolulope Bello</t>
  </si>
  <si>
    <t>PT-1527</t>
  </si>
  <si>
    <t>PT-1528</t>
  </si>
  <si>
    <t>Ifeanyi Osagie</t>
  </si>
  <si>
    <t>PT-1529</t>
  </si>
  <si>
    <t>Lydia Johnson</t>
  </si>
  <si>
    <t>PT-1530</t>
  </si>
  <si>
    <t>Ruth Usman</t>
  </si>
  <si>
    <t>PT-1531</t>
  </si>
  <si>
    <t>Josephine Johnson</t>
  </si>
  <si>
    <t>PT-1532</t>
  </si>
  <si>
    <t>PT-1533</t>
  </si>
  <si>
    <t>Chukwudi Osagie</t>
  </si>
  <si>
    <t>PT-1534</t>
  </si>
  <si>
    <t>Kayode Ogbonna</t>
  </si>
  <si>
    <t>PT-1535</t>
  </si>
  <si>
    <t>Rotimi Williams</t>
  </si>
  <si>
    <t>PT-1536</t>
  </si>
  <si>
    <t>Abdullahi Wilson</t>
  </si>
  <si>
    <t>PT-1537</t>
  </si>
  <si>
    <t>Adenike Bello</t>
  </si>
  <si>
    <t>PT-1538</t>
  </si>
  <si>
    <t>PT-1539</t>
  </si>
  <si>
    <t>Taiwo Moore</t>
  </si>
  <si>
    <t>PT-1540</t>
  </si>
  <si>
    <t>ONCOLOGY</t>
  </si>
  <si>
    <t>PT-1541</t>
  </si>
  <si>
    <t>Perpetua Obi</t>
  </si>
  <si>
    <t>PT-1542</t>
  </si>
  <si>
    <t>Segun Ogbonna</t>
  </si>
  <si>
    <t>PT-1543</t>
  </si>
  <si>
    <t>Kayode Thompson</t>
  </si>
  <si>
    <t>PT-1544</t>
  </si>
  <si>
    <t>James Anderson</t>
  </si>
  <si>
    <t>PT-1545</t>
  </si>
  <si>
    <t>PT-1546</t>
  </si>
  <si>
    <t>PT-1547</t>
  </si>
  <si>
    <t>Musa Wilson</t>
  </si>
  <si>
    <t>PT-1548</t>
  </si>
  <si>
    <t>Emmanuel Brown</t>
  </si>
  <si>
    <t>PT-1549</t>
  </si>
  <si>
    <t>Mariam Akintola</t>
  </si>
  <si>
    <t>PT-1550</t>
  </si>
  <si>
    <t>PT-1551</t>
  </si>
  <si>
    <t>Lydia Brown</t>
  </si>
  <si>
    <t>PT-1552</t>
  </si>
  <si>
    <t>PT-1553</t>
  </si>
  <si>
    <t>PT-1554</t>
  </si>
  <si>
    <t>Nneka Johnson</t>
  </si>
  <si>
    <t>PT-1555</t>
  </si>
  <si>
    <t>Chidi Davis</t>
  </si>
  <si>
    <t>PT-1556</t>
  </si>
  <si>
    <t>Chiamaka Dauda</t>
  </si>
  <si>
    <t>PT-1557</t>
  </si>
  <si>
    <t>PT-1558</t>
  </si>
  <si>
    <t>Elizabeth Johnson</t>
  </si>
  <si>
    <t>PT-1559</t>
  </si>
  <si>
    <t>PT-1560</t>
  </si>
  <si>
    <t>Ngozi Bello</t>
  </si>
  <si>
    <t>PT-1561</t>
  </si>
  <si>
    <t>Kayode Bankole</t>
  </si>
  <si>
    <t>PT-1562</t>
  </si>
  <si>
    <t>Tolulope Taylor</t>
  </si>
  <si>
    <t>PT-1563</t>
  </si>
  <si>
    <t>Uche Lawan</t>
  </si>
  <si>
    <t>PT-1564</t>
  </si>
  <si>
    <t>Blessing Smith</t>
  </si>
  <si>
    <t>PT-1565</t>
  </si>
  <si>
    <t>Sarah Brown</t>
  </si>
  <si>
    <t>PT-1566</t>
  </si>
  <si>
    <t>Funke Williams</t>
  </si>
  <si>
    <t>PT-1567</t>
  </si>
  <si>
    <t>PT-1568</t>
  </si>
  <si>
    <t>Joseph Dauda</t>
  </si>
  <si>
    <t>PT-1569</t>
  </si>
  <si>
    <t>PT-1570</t>
  </si>
  <si>
    <t>Nneka Davis</t>
  </si>
  <si>
    <t>PT-1571</t>
  </si>
  <si>
    <t>Emeka Ogbonna</t>
  </si>
  <si>
    <t>PT-1572</t>
  </si>
  <si>
    <t>Fatima Salami</t>
  </si>
  <si>
    <t>PT-1573</t>
  </si>
  <si>
    <t>Emeka Williams</t>
  </si>
  <si>
    <t>PT-1574</t>
  </si>
  <si>
    <t>PT-1575</t>
  </si>
  <si>
    <t>PT-1576</t>
  </si>
  <si>
    <t>Funke Davis</t>
  </si>
  <si>
    <t>PT-1577</t>
  </si>
  <si>
    <t>John Okonkwo</t>
  </si>
  <si>
    <t>PT-1578</t>
  </si>
  <si>
    <t>PT-1579</t>
  </si>
  <si>
    <t>Adenike Brown</t>
  </si>
  <si>
    <t>PT-1580</t>
  </si>
  <si>
    <t>Uche Bankole</t>
  </si>
  <si>
    <t>PT-1581</t>
  </si>
  <si>
    <t>Chioma Obi</t>
  </si>
  <si>
    <t>PT-1582</t>
  </si>
  <si>
    <t>Blessing Nwosu</t>
  </si>
  <si>
    <t>PT-1583</t>
  </si>
  <si>
    <t>Stella Lawan</t>
  </si>
  <si>
    <t>PT-1584</t>
  </si>
  <si>
    <t>Suleiman Eze</t>
  </si>
  <si>
    <t>PT-1585</t>
  </si>
  <si>
    <t>Tolulope Hassan</t>
  </si>
  <si>
    <t>PT-1586</t>
  </si>
  <si>
    <t>Musa Ogbonna</t>
  </si>
  <si>
    <t>PT-1587</t>
  </si>
  <si>
    <t>Chiamaka Wilson</t>
  </si>
  <si>
    <t>PT-1588</t>
  </si>
  <si>
    <t>Esther Obi</t>
  </si>
  <si>
    <t>PT-1589</t>
  </si>
  <si>
    <t>Perpetua Okeke</t>
  </si>
  <si>
    <t>PT-1590</t>
  </si>
  <si>
    <t>Nneka Danjuma</t>
  </si>
  <si>
    <t>PT-1591</t>
  </si>
  <si>
    <t>Hauwa Eze</t>
  </si>
  <si>
    <t>PT-1592</t>
  </si>
  <si>
    <t>PT-1593</t>
  </si>
  <si>
    <t>Rukayat Okonkwo</t>
  </si>
  <si>
    <t>PT-1594</t>
  </si>
  <si>
    <t>Grace Adeleke</t>
  </si>
  <si>
    <t>PT-1595</t>
  </si>
  <si>
    <t>Adaeze Lawan</t>
  </si>
  <si>
    <t>PT-1596</t>
  </si>
  <si>
    <t>Sarah Abubakar</t>
  </si>
  <si>
    <t>PT-1597</t>
  </si>
  <si>
    <t>Blessing Sule</t>
  </si>
  <si>
    <t>PT-1598</t>
  </si>
  <si>
    <t>Funke Garba</t>
  </si>
  <si>
    <t>PT-1599</t>
  </si>
  <si>
    <t>Abdullahi Yakubu</t>
  </si>
  <si>
    <t>PT-1600</t>
  </si>
  <si>
    <t>Kunle Igwe</t>
  </si>
  <si>
    <t>PT-1601</t>
  </si>
  <si>
    <t>PT-1602</t>
  </si>
  <si>
    <t>Rukayat Dauda</t>
  </si>
  <si>
    <t>PT-1603</t>
  </si>
  <si>
    <t>Sarah Oni</t>
  </si>
  <si>
    <t>PT-1604</t>
  </si>
  <si>
    <t>Perpetua Bankole</t>
  </si>
  <si>
    <t>PT-1605</t>
  </si>
  <si>
    <t>Babatunde Igwe</t>
  </si>
  <si>
    <t>PT-1606</t>
  </si>
  <si>
    <t>Emmanuel Williams</t>
  </si>
  <si>
    <t>PT-1607</t>
  </si>
  <si>
    <t>Kemi Lawan</t>
  </si>
  <si>
    <t>PT-1608</t>
  </si>
  <si>
    <t>Babatunde Williams</t>
  </si>
  <si>
    <t>PT-1609</t>
  </si>
  <si>
    <t>PT-1610</t>
  </si>
  <si>
    <t>Nneka Nwosu</t>
  </si>
  <si>
    <t>PT-1611</t>
  </si>
  <si>
    <t>Chioma Okafor</t>
  </si>
  <si>
    <t>PT-1612</t>
  </si>
  <si>
    <t>Blessing Abubakar</t>
  </si>
  <si>
    <t>PT-1613</t>
  </si>
  <si>
    <t>Mary Abiodun</t>
  </si>
  <si>
    <t>PT-1614</t>
  </si>
  <si>
    <t>Kayode Johnson</t>
  </si>
  <si>
    <t>PT-1615</t>
  </si>
  <si>
    <t>John Garba</t>
  </si>
  <si>
    <t>PT-1616</t>
  </si>
  <si>
    <t>Stella Okeke</t>
  </si>
  <si>
    <t>PT-1617</t>
  </si>
  <si>
    <t>Yusuf Abiodun</t>
  </si>
  <si>
    <t>PT-1618</t>
  </si>
  <si>
    <t>Yusuf Eze</t>
  </si>
  <si>
    <t>PT-1619</t>
  </si>
  <si>
    <t>PT-1620</t>
  </si>
  <si>
    <t>Biodun Brown</t>
  </si>
  <si>
    <t>PT-1621</t>
  </si>
  <si>
    <t>PT-1622</t>
  </si>
  <si>
    <t>Kunle Lawal</t>
  </si>
  <si>
    <t>PT-1623</t>
  </si>
  <si>
    <t>PT-1624</t>
  </si>
  <si>
    <t>PT-1625</t>
  </si>
  <si>
    <t>PT-1626</t>
  </si>
  <si>
    <t>Lydia Okeke</t>
  </si>
  <si>
    <t>PT-1627</t>
  </si>
  <si>
    <t>Gbenga Hassan</t>
  </si>
  <si>
    <t>PT-1628</t>
  </si>
  <si>
    <t>Fatima Adeyemi</t>
  </si>
  <si>
    <t>PT-1629</t>
  </si>
  <si>
    <t>Kemi Onuoha</t>
  </si>
  <si>
    <t>PT-1630</t>
  </si>
  <si>
    <t>Rotimi Abiodun</t>
  </si>
  <si>
    <t>PT-1631</t>
  </si>
  <si>
    <t>PT-1632</t>
  </si>
  <si>
    <t>PT-1633</t>
  </si>
  <si>
    <t>Chiamaka Osagie</t>
  </si>
  <si>
    <t>PT-1634</t>
  </si>
  <si>
    <t>Mary Musa</t>
  </si>
  <si>
    <t>PT-1635</t>
  </si>
  <si>
    <t>Peter Salami</t>
  </si>
  <si>
    <t>PT-1636</t>
  </si>
  <si>
    <t>Adenike Anderson</t>
  </si>
  <si>
    <t>PT-1637</t>
  </si>
  <si>
    <t>PT-1638</t>
  </si>
  <si>
    <t>PT-1639</t>
  </si>
  <si>
    <t>Chukwuemeka Okeke</t>
  </si>
  <si>
    <t>PT-1640</t>
  </si>
  <si>
    <t>Mariam Lawal</t>
  </si>
  <si>
    <t>PT-1641</t>
  </si>
  <si>
    <t>PT-1642</t>
  </si>
  <si>
    <t>Musa Martin</t>
  </si>
  <si>
    <t>PT-1643</t>
  </si>
  <si>
    <t>Yusuf Obi</t>
  </si>
  <si>
    <t>PT-1644</t>
  </si>
  <si>
    <t>Suleiman Williams</t>
  </si>
  <si>
    <t>PT-1645</t>
  </si>
  <si>
    <t>Yusuf Okonkwo</t>
  </si>
  <si>
    <t>PT-1646</t>
  </si>
  <si>
    <t>Chukwuemeka Salami</t>
  </si>
  <si>
    <t>PT-1647</t>
  </si>
  <si>
    <t>PT-1648</t>
  </si>
  <si>
    <t>Chioma Brown</t>
  </si>
  <si>
    <t>PT-1649</t>
  </si>
  <si>
    <t>Perpetua Nwosu</t>
  </si>
  <si>
    <t>PT-1650</t>
  </si>
  <si>
    <t>Ifeanyi Okafor</t>
  </si>
  <si>
    <t>PT-1651</t>
  </si>
  <si>
    <t>Halima Ogbonna</t>
  </si>
  <si>
    <t>PT-1652</t>
  </si>
  <si>
    <t>Nneka Ogbonna</t>
  </si>
  <si>
    <t>PT-1653</t>
  </si>
  <si>
    <t>Grace Wilson</t>
  </si>
  <si>
    <t>PT-1654</t>
  </si>
  <si>
    <t>Oluwaseun Yakubu</t>
  </si>
  <si>
    <t>PT-1655</t>
  </si>
  <si>
    <t>Chukwudi Akintola</t>
  </si>
  <si>
    <t>PT-1656</t>
  </si>
  <si>
    <t>PT-1657</t>
  </si>
  <si>
    <t>PT-1658</t>
  </si>
  <si>
    <t>Samuel Lawal</t>
  </si>
  <si>
    <t>PT-1659</t>
  </si>
  <si>
    <t>PT-1660</t>
  </si>
  <si>
    <t>Emmanuel Onuoha</t>
  </si>
  <si>
    <t>PT-1661</t>
  </si>
  <si>
    <t>Suleiman Nwosu</t>
  </si>
  <si>
    <t>PT-1662</t>
  </si>
  <si>
    <t>PT-1663</t>
  </si>
  <si>
    <t>Samuel Osagie</t>
  </si>
  <si>
    <t>PT-1664</t>
  </si>
  <si>
    <t>PT-1665</t>
  </si>
  <si>
    <t>Kayode Obi</t>
  </si>
  <si>
    <t>PT-1666</t>
  </si>
  <si>
    <t>Chiamaka Johnson</t>
  </si>
  <si>
    <t>PT-1667</t>
  </si>
  <si>
    <t>Michael Abubakar</t>
  </si>
  <si>
    <t>PT-1668</t>
  </si>
  <si>
    <t>Chiamaka Ibrahim</t>
  </si>
  <si>
    <t>PT-1669</t>
  </si>
  <si>
    <t>Rachel Davis</t>
  </si>
  <si>
    <t>PT-1670</t>
  </si>
  <si>
    <t>Deborah Bello</t>
  </si>
  <si>
    <t>PT-1671</t>
  </si>
  <si>
    <t>PT-1672</t>
  </si>
  <si>
    <t>Chukwudi Williams</t>
  </si>
  <si>
    <t>PT-1673</t>
  </si>
  <si>
    <t>PT-1674</t>
  </si>
  <si>
    <t>Oluwaseun Hassan</t>
  </si>
  <si>
    <t>PT-1675</t>
  </si>
  <si>
    <t>Ngozi Wilson</t>
  </si>
  <si>
    <t>PT-1676</t>
  </si>
  <si>
    <t>Esther Musa</t>
  </si>
  <si>
    <t>PT-1677</t>
  </si>
  <si>
    <t>PT-1678</t>
  </si>
  <si>
    <t>Rachel Eze</t>
  </si>
  <si>
    <t>PT-1679</t>
  </si>
  <si>
    <t>Bukola Fashola</t>
  </si>
  <si>
    <t>PT-1680</t>
  </si>
  <si>
    <t>Tunde Igwe</t>
  </si>
  <si>
    <t>PT-1681</t>
  </si>
  <si>
    <t>Grace Brown</t>
  </si>
  <si>
    <t>PT-1682</t>
  </si>
  <si>
    <t>Kunle Adeleke</t>
  </si>
  <si>
    <t>PT-1683</t>
  </si>
  <si>
    <t>Grace Ogbonna</t>
  </si>
  <si>
    <t>PT-1684</t>
  </si>
  <si>
    <t>Segun Salami</t>
  </si>
  <si>
    <t>PT-1685</t>
  </si>
  <si>
    <t>Nnamdi Martin</t>
  </si>
  <si>
    <t>PT-1686</t>
  </si>
  <si>
    <t>Yusuf Williams</t>
  </si>
  <si>
    <t>PT-1687</t>
  </si>
  <si>
    <t>PT-1688</t>
  </si>
  <si>
    <t>Babatunde Fashola</t>
  </si>
  <si>
    <t>PT-1689</t>
  </si>
  <si>
    <t>Mary Okafor</t>
  </si>
  <si>
    <t>PT-1690</t>
  </si>
  <si>
    <t>Bashir Bankole</t>
  </si>
  <si>
    <t>PT-1691</t>
  </si>
  <si>
    <t>Funke Danjuma</t>
  </si>
  <si>
    <t>PT-1692</t>
  </si>
  <si>
    <t>PT-1693</t>
  </si>
  <si>
    <t>Hauwa Lawal</t>
  </si>
  <si>
    <t>PT-1694</t>
  </si>
  <si>
    <t>Blessing Usman</t>
  </si>
  <si>
    <t>PT-1695</t>
  </si>
  <si>
    <t>Abdullahi Aliyu</t>
  </si>
  <si>
    <t>PT-1696</t>
  </si>
  <si>
    <t>Taiwo Musa</t>
  </si>
  <si>
    <t>PT-1697</t>
  </si>
  <si>
    <t>PT-1698</t>
  </si>
  <si>
    <t>David Onuoha</t>
  </si>
  <si>
    <t>PT-1699</t>
  </si>
  <si>
    <t>PT-1700</t>
  </si>
  <si>
    <t>PT-1701</t>
  </si>
  <si>
    <t>PT-1702</t>
  </si>
  <si>
    <t>Abdullahi Hassan</t>
  </si>
  <si>
    <t>PT-1703</t>
  </si>
  <si>
    <t>Yusuf Adeyemi</t>
  </si>
  <si>
    <t>PT-1704</t>
  </si>
  <si>
    <t>Tunde Taylor</t>
  </si>
  <si>
    <t>PT-1705</t>
  </si>
  <si>
    <t>David Okafor</t>
  </si>
  <si>
    <t>PT-1706</t>
  </si>
  <si>
    <t>Daniel Usman</t>
  </si>
  <si>
    <t>PT-1707</t>
  </si>
  <si>
    <t>PT-1708</t>
  </si>
  <si>
    <t>James Ogbonna</t>
  </si>
  <si>
    <t>PT-1709</t>
  </si>
  <si>
    <t>PT-1710</t>
  </si>
  <si>
    <t>PT-1711</t>
  </si>
  <si>
    <t>Elizabeth Adeyemi</t>
  </si>
  <si>
    <t>PT-1712</t>
  </si>
  <si>
    <t>Chioma Aliyu</t>
  </si>
  <si>
    <t>PT-1713</t>
  </si>
  <si>
    <t>David Yakubu</t>
  </si>
  <si>
    <t>PT-1714</t>
  </si>
  <si>
    <t>Michael Brown</t>
  </si>
  <si>
    <t>PT-1715</t>
  </si>
  <si>
    <t>Rotimi Okonkwo</t>
  </si>
  <si>
    <t>PT-1716</t>
  </si>
  <si>
    <t>Adenike Dauda</t>
  </si>
  <si>
    <t>PT-1717</t>
  </si>
  <si>
    <t>Mariam Adeyemi</t>
  </si>
  <si>
    <t>PT-1718</t>
  </si>
  <si>
    <t>Femi Okonkwo</t>
  </si>
  <si>
    <t>PT-1719</t>
  </si>
  <si>
    <t>Biodun Onuoha</t>
  </si>
  <si>
    <t>PT-1720</t>
  </si>
  <si>
    <t>Bashir Garba</t>
  </si>
  <si>
    <t>PT-1721</t>
  </si>
  <si>
    <t>Chukwudi Chukwu</t>
  </si>
  <si>
    <t>PT-1722</t>
  </si>
  <si>
    <t>Bukola Sule</t>
  </si>
  <si>
    <t>PT-1723</t>
  </si>
  <si>
    <t>PT-1724</t>
  </si>
  <si>
    <t>Ruth Fashola</t>
  </si>
  <si>
    <t>PT-1725</t>
  </si>
  <si>
    <t>PT-1726</t>
  </si>
  <si>
    <t>Hauwa Akintola</t>
  </si>
  <si>
    <t>PT-1727</t>
  </si>
  <si>
    <t>Chidi Ajala</t>
  </si>
  <si>
    <t>PT-1728</t>
  </si>
  <si>
    <t>Stella Osagie</t>
  </si>
  <si>
    <t>PT-1729</t>
  </si>
  <si>
    <t>Segun Davis</t>
  </si>
  <si>
    <t>PT-1730</t>
  </si>
  <si>
    <t>Hauwa Anderson</t>
  </si>
  <si>
    <t>PT-1731</t>
  </si>
  <si>
    <t>Adewale Taylor</t>
  </si>
  <si>
    <t>PT-1732</t>
  </si>
  <si>
    <t>Uche Brown</t>
  </si>
  <si>
    <t>PT-1733</t>
  </si>
  <si>
    <t>NEUROLOGY</t>
  </si>
  <si>
    <t>PT-1734</t>
  </si>
  <si>
    <t>PT-1735</t>
  </si>
  <si>
    <t>Stella Dauda</t>
  </si>
  <si>
    <t>PT-1736</t>
  </si>
  <si>
    <t>Mary Wilson</t>
  </si>
  <si>
    <t>PT-1737</t>
  </si>
  <si>
    <t>PT-1738</t>
  </si>
  <si>
    <t>Babatunde Ibrahim</t>
  </si>
  <si>
    <t>PT-1739</t>
  </si>
  <si>
    <t>Ngozi Adeleke</t>
  </si>
  <si>
    <t>PT-1740</t>
  </si>
  <si>
    <t>Rukayat Igwe</t>
  </si>
  <si>
    <t>PT-1741</t>
  </si>
  <si>
    <t>Ngozi Lawan</t>
  </si>
  <si>
    <t>PT-1742</t>
  </si>
  <si>
    <t>PT-1743</t>
  </si>
  <si>
    <t>PT-1744</t>
  </si>
  <si>
    <t>Rebecca Lawal</t>
  </si>
  <si>
    <t>PT-1745</t>
  </si>
  <si>
    <t>Halima Adebayo</t>
  </si>
  <si>
    <t>PT-1746</t>
  </si>
  <si>
    <t>Nneka Chukwu</t>
  </si>
  <si>
    <t>PT-1747</t>
  </si>
  <si>
    <t>Chukwuemeka Chukwu</t>
  </si>
  <si>
    <t>PT-1748</t>
  </si>
  <si>
    <t>Tunde Brown</t>
  </si>
  <si>
    <t>PT-1749</t>
  </si>
  <si>
    <t>Ngozi Adebayo</t>
  </si>
  <si>
    <t>PT-1750</t>
  </si>
  <si>
    <t>PT-1751</t>
  </si>
  <si>
    <t>Segun Danjuma</t>
  </si>
  <si>
    <t>PT-1752</t>
  </si>
  <si>
    <t>PT-1753</t>
  </si>
  <si>
    <t>Emeka Bankole</t>
  </si>
  <si>
    <t>PT-1754</t>
  </si>
  <si>
    <t>Kayode Lawal</t>
  </si>
  <si>
    <t>PT-1755</t>
  </si>
  <si>
    <t>PT-1756</t>
  </si>
  <si>
    <t>Chiamaka Abubakar</t>
  </si>
  <si>
    <t>PT-1757</t>
  </si>
  <si>
    <t>Musa Osagie</t>
  </si>
  <si>
    <t>PT-1758</t>
  </si>
  <si>
    <t>PT-1759</t>
  </si>
  <si>
    <t>Daniel Igwe</t>
  </si>
  <si>
    <t>PT-1760</t>
  </si>
  <si>
    <t>Bashir Thompson</t>
  </si>
  <si>
    <t>PT-1761</t>
  </si>
  <si>
    <t>Gbenga Anderson</t>
  </si>
  <si>
    <t>PT-1762</t>
  </si>
  <si>
    <t>Lydia Davis</t>
  </si>
  <si>
    <t>PT-1763</t>
  </si>
  <si>
    <t>Adenike Taylor</t>
  </si>
  <si>
    <t>PT-1764</t>
  </si>
  <si>
    <t>PT-1765</t>
  </si>
  <si>
    <t>PT-1766</t>
  </si>
  <si>
    <t>Sarah Williams</t>
  </si>
  <si>
    <t>PT-1767</t>
  </si>
  <si>
    <t>Hauwa Sule</t>
  </si>
  <si>
    <t>PT-1768</t>
  </si>
  <si>
    <t>PT-1769</t>
  </si>
  <si>
    <t>PT-1770</t>
  </si>
  <si>
    <t>PT-1771</t>
  </si>
  <si>
    <t>PT-1772</t>
  </si>
  <si>
    <t>Yusuf Adeleke</t>
  </si>
  <si>
    <t>PT-1773</t>
  </si>
  <si>
    <t>Gbenga Bello</t>
  </si>
  <si>
    <t>PT-1774</t>
  </si>
  <si>
    <t>Rachel Nwosu</t>
  </si>
  <si>
    <t>PT-1775</t>
  </si>
  <si>
    <t>Gbenga Oni</t>
  </si>
  <si>
    <t>PT-1776</t>
  </si>
  <si>
    <t>PT-1777</t>
  </si>
  <si>
    <t>Michael Davis</t>
  </si>
  <si>
    <t>PT-1778</t>
  </si>
  <si>
    <t>PT-1779</t>
  </si>
  <si>
    <t>PT-1780</t>
  </si>
  <si>
    <t>Deborah Ajala</t>
  </si>
  <si>
    <t>PT-1781</t>
  </si>
  <si>
    <t>Babatunde Aliyu</t>
  </si>
  <si>
    <t>PT-1782</t>
  </si>
  <si>
    <t>Nnamdi Lawan</t>
  </si>
  <si>
    <t>PT-1783</t>
  </si>
  <si>
    <t>Michael Wilson</t>
  </si>
  <si>
    <t>PT-1784</t>
  </si>
  <si>
    <t>Tolulope Ajala</t>
  </si>
  <si>
    <t>PT-1785</t>
  </si>
  <si>
    <t>Zainab Eze</t>
  </si>
  <si>
    <t>PT-1786</t>
  </si>
  <si>
    <t>Adaeze Ibrahim</t>
  </si>
  <si>
    <t>PT-1787</t>
  </si>
  <si>
    <t>Chioma Fashola</t>
  </si>
  <si>
    <t>PT-1788</t>
  </si>
  <si>
    <t>James Okafor</t>
  </si>
  <si>
    <t>PT-1789</t>
  </si>
  <si>
    <t>Femi Taylor</t>
  </si>
  <si>
    <t>PT-1790</t>
  </si>
  <si>
    <t>PT-1791</t>
  </si>
  <si>
    <t>James Oni</t>
  </si>
  <si>
    <t>PT-1792</t>
  </si>
  <si>
    <t>Biodun Moore</t>
  </si>
  <si>
    <t>PT-1793</t>
  </si>
  <si>
    <t>Samuel Adeyemi</t>
  </si>
  <si>
    <t>PT-1794</t>
  </si>
  <si>
    <t>PT-1795</t>
  </si>
  <si>
    <t>Bukola Abubakar</t>
  </si>
  <si>
    <t>PT-1796</t>
  </si>
  <si>
    <t>PT-1797</t>
  </si>
  <si>
    <t>Chukwudi Martin</t>
  </si>
  <si>
    <t>PT-1798</t>
  </si>
  <si>
    <t>Yusuf Sule</t>
  </si>
  <si>
    <t>PT-1799</t>
  </si>
  <si>
    <t>PT-1800</t>
  </si>
  <si>
    <t>Mariam Sule</t>
  </si>
  <si>
    <t>PT-1801</t>
  </si>
  <si>
    <t>Adenike Obi</t>
  </si>
  <si>
    <t>PT-1802</t>
  </si>
  <si>
    <t>Ruth Bello</t>
  </si>
  <si>
    <t>PT-1803</t>
  </si>
  <si>
    <t>Lanre Osagie</t>
  </si>
  <si>
    <t>PT-1804</t>
  </si>
  <si>
    <t>Esther Anderson</t>
  </si>
  <si>
    <t>PT-1805</t>
  </si>
  <si>
    <t>PT-1806</t>
  </si>
  <si>
    <t>PT-1807</t>
  </si>
  <si>
    <t>Elizabeth Smith</t>
  </si>
  <si>
    <t>PT-1808</t>
  </si>
  <si>
    <t>Ifeanyi Eze</t>
  </si>
  <si>
    <t>PT-1809</t>
  </si>
  <si>
    <t>Joseph Salami</t>
  </si>
  <si>
    <t>PT-1810</t>
  </si>
  <si>
    <t>Fatima Nwosu</t>
  </si>
  <si>
    <t>PT-1811</t>
  </si>
  <si>
    <t>PT-1812</t>
  </si>
  <si>
    <t>PT-1813</t>
  </si>
  <si>
    <t>PT-1814</t>
  </si>
  <si>
    <t>Blessing Ibrahim</t>
  </si>
  <si>
    <t>PT-1815</t>
  </si>
  <si>
    <t>Ruth Hassan</t>
  </si>
  <si>
    <t>PT-1816</t>
  </si>
  <si>
    <t>Grace Okonkwo</t>
  </si>
  <si>
    <t>PT-1817</t>
  </si>
  <si>
    <t>Nneka Abiodun</t>
  </si>
  <si>
    <t>PT-1818</t>
  </si>
  <si>
    <t>Ruth Onuoha</t>
  </si>
  <si>
    <t>PT-1819</t>
  </si>
  <si>
    <t>Ibrahim Thompson</t>
  </si>
  <si>
    <t>PT-1820</t>
  </si>
  <si>
    <t>PT-1821</t>
  </si>
  <si>
    <t>Josephine Igwe</t>
  </si>
  <si>
    <t>PT-1822</t>
  </si>
  <si>
    <t>Kunle Martin</t>
  </si>
  <si>
    <t>PT-1823</t>
  </si>
  <si>
    <t>PT-1824</t>
  </si>
  <si>
    <t>PT-1825</t>
  </si>
  <si>
    <t>Oluwaseun Okafor</t>
  </si>
  <si>
    <t>PT-1826</t>
  </si>
  <si>
    <t>PT-1827</t>
  </si>
  <si>
    <t>Joseph Thompson</t>
  </si>
  <si>
    <t>PT-1828</t>
  </si>
  <si>
    <t>Deborah Yakubu</t>
  </si>
  <si>
    <t>PT-1829</t>
  </si>
  <si>
    <t>Abdullahi Osagie</t>
  </si>
  <si>
    <t>PT-1830</t>
  </si>
  <si>
    <t>Taiwo Lawan</t>
  </si>
  <si>
    <t>PT-1831</t>
  </si>
  <si>
    <t>PT-1832</t>
  </si>
  <si>
    <t>PT-1833</t>
  </si>
  <si>
    <t>Emmanuel Musa</t>
  </si>
  <si>
    <t>PT-1834</t>
  </si>
  <si>
    <t>PT-1835</t>
  </si>
  <si>
    <t>PT-1836</t>
  </si>
  <si>
    <t>Stella Johnson</t>
  </si>
  <si>
    <t>PT-1837</t>
  </si>
  <si>
    <t>Miriam Adebayo</t>
  </si>
  <si>
    <t>PT-1838</t>
  </si>
  <si>
    <t>Nneka Adeleke</t>
  </si>
  <si>
    <t>PT-1839</t>
  </si>
  <si>
    <t>Emeka Onuoha</t>
  </si>
  <si>
    <t>PT-1840</t>
  </si>
  <si>
    <t>PT-1841</t>
  </si>
  <si>
    <t>PT-1842</t>
  </si>
  <si>
    <t>Grace Ibrahim</t>
  </si>
  <si>
    <t>PT-1843</t>
  </si>
  <si>
    <t>Samuel Garba</t>
  </si>
  <si>
    <t>PT-1844</t>
  </si>
  <si>
    <t>PT-1845</t>
  </si>
  <si>
    <t>Tunde Osagie</t>
  </si>
  <si>
    <t>PT-1846</t>
  </si>
  <si>
    <t>Chioma Ibrahim</t>
  </si>
  <si>
    <t>PT-1847</t>
  </si>
  <si>
    <t>Joseph Anderson</t>
  </si>
  <si>
    <t>PT-1848</t>
  </si>
  <si>
    <t>Musa Anderson</t>
  </si>
  <si>
    <t>PT-1849</t>
  </si>
  <si>
    <t>David Johnson</t>
  </si>
  <si>
    <t>PT-1850</t>
  </si>
  <si>
    <t>Michael Martin</t>
  </si>
  <si>
    <t>PT-1851</t>
  </si>
  <si>
    <t>Abdullahi Eze</t>
  </si>
  <si>
    <t>PT-1852</t>
  </si>
  <si>
    <t>Rebecca Okafor</t>
  </si>
  <si>
    <t>PT-1853</t>
  </si>
  <si>
    <t>Elizabeth Brown</t>
  </si>
  <si>
    <t>PT-1854</t>
  </si>
  <si>
    <t>PT-1855</t>
  </si>
  <si>
    <t>Deborah Oni</t>
  </si>
  <si>
    <t>PT-1856</t>
  </si>
  <si>
    <t>Rukayat Adeleke</t>
  </si>
  <si>
    <t>PT-1857</t>
  </si>
  <si>
    <t>Esther Smith</t>
  </si>
  <si>
    <t>PT-1858</t>
  </si>
  <si>
    <t>Babatunde Moore</t>
  </si>
  <si>
    <t>PT-1859</t>
  </si>
  <si>
    <t>Tolulope Davis</t>
  </si>
  <si>
    <t>PT-1860</t>
  </si>
  <si>
    <t>PT-1861</t>
  </si>
  <si>
    <t>Daniel Oni</t>
  </si>
  <si>
    <t>PT-1862</t>
  </si>
  <si>
    <t>PT-1863</t>
  </si>
  <si>
    <t>PT-1864</t>
  </si>
  <si>
    <t>Taiwo Osagie</t>
  </si>
  <si>
    <t>PT-1865</t>
  </si>
  <si>
    <t>Ruth Dauda</t>
  </si>
  <si>
    <t>PT-1866</t>
  </si>
  <si>
    <t>Daniel Ibrahim</t>
  </si>
  <si>
    <t>PT-1867</t>
  </si>
  <si>
    <t>Ngozi Nwosu</t>
  </si>
  <si>
    <t>PT-1868</t>
  </si>
  <si>
    <t>Halima Musa</t>
  </si>
  <si>
    <t>PT-1869</t>
  </si>
  <si>
    <t>Samuel Anderson</t>
  </si>
  <si>
    <t>PT-1870</t>
  </si>
  <si>
    <t>Elizabeth Garba</t>
  </si>
  <si>
    <t>PT-1871</t>
  </si>
  <si>
    <t>Oluwaseun Anderson</t>
  </si>
  <si>
    <t>PT-1872</t>
  </si>
  <si>
    <t>Ifeoma Moore</t>
  </si>
  <si>
    <t>PT-1873</t>
  </si>
  <si>
    <t>Rachel Adeleke</t>
  </si>
  <si>
    <t>PT-1874</t>
  </si>
  <si>
    <t>John Abiodun</t>
  </si>
  <si>
    <t>PT-1875</t>
  </si>
  <si>
    <t>Ifeanyi Garba</t>
  </si>
  <si>
    <t>PT-1876</t>
  </si>
  <si>
    <t>Deborah Ibrahim</t>
  </si>
  <si>
    <t>PT-1877</t>
  </si>
  <si>
    <t>Tolulope Nwosu</t>
  </si>
  <si>
    <t>PT-1878</t>
  </si>
  <si>
    <t>Esther Nwosu</t>
  </si>
  <si>
    <t>PT-1879</t>
  </si>
  <si>
    <t>Self-Pay</t>
  </si>
  <si>
    <t>PT-1880</t>
  </si>
  <si>
    <t>Grace Bankole</t>
  </si>
  <si>
    <t>PT-1881</t>
  </si>
  <si>
    <t>Samuel Akintola</t>
  </si>
  <si>
    <t>PT-1882</t>
  </si>
  <si>
    <t>PT-1883</t>
  </si>
  <si>
    <t>Emmanuel Dauda</t>
  </si>
  <si>
    <t>PT-1884</t>
  </si>
  <si>
    <t>Bukola Davis</t>
  </si>
  <si>
    <t>PT-1885</t>
  </si>
  <si>
    <t>Chiamaka Abiodun</t>
  </si>
  <si>
    <t>PT-1886</t>
  </si>
  <si>
    <t>Taiwo Igwe</t>
  </si>
  <si>
    <t>PT-1887</t>
  </si>
  <si>
    <t>PT-1888</t>
  </si>
  <si>
    <t>Taiwo Okeke</t>
  </si>
  <si>
    <t>PT-1889</t>
  </si>
  <si>
    <t>Halima Davis</t>
  </si>
  <si>
    <t>PT-1890</t>
  </si>
  <si>
    <t>PT-1891</t>
  </si>
  <si>
    <t>Stella Ajala</t>
  </si>
  <si>
    <t>PT-1892</t>
  </si>
  <si>
    <t>Nneka Anderson</t>
  </si>
  <si>
    <t>PT-1893</t>
  </si>
  <si>
    <t>PT-1894</t>
  </si>
  <si>
    <t>Gbenga Ogbonna</t>
  </si>
  <si>
    <t>Blue-Cross</t>
  </si>
  <si>
    <t>PT-1895</t>
  </si>
  <si>
    <t>Femi Johnson</t>
  </si>
  <si>
    <t>PT-1896</t>
  </si>
  <si>
    <t>PT-1897</t>
  </si>
  <si>
    <t>Mariam Garba</t>
  </si>
  <si>
    <t>PT-1898</t>
  </si>
  <si>
    <t>Peter Smith</t>
  </si>
  <si>
    <t>PT-1899</t>
  </si>
  <si>
    <t>Rachel Okeke</t>
  </si>
  <si>
    <t>PT-1900</t>
  </si>
  <si>
    <t>Tunde Lawal</t>
  </si>
  <si>
    <t>PT-1901</t>
  </si>
  <si>
    <t>Joseph Williams</t>
  </si>
  <si>
    <t>PT-1902</t>
  </si>
  <si>
    <t>PT-1903</t>
  </si>
  <si>
    <t>Mary Dauda</t>
  </si>
  <si>
    <t>PT-1904</t>
  </si>
  <si>
    <t>PT-1905</t>
  </si>
  <si>
    <t>Joseph Adebayo</t>
  </si>
  <si>
    <t>PT-1906</t>
  </si>
  <si>
    <t>Kemi Okafor</t>
  </si>
  <si>
    <t>PT-1907</t>
  </si>
  <si>
    <t>Blessing Onuoha</t>
  </si>
  <si>
    <t>PT-1908</t>
  </si>
  <si>
    <t>Adewale Ajala</t>
  </si>
  <si>
    <t>PT-1909</t>
  </si>
  <si>
    <t>Lydia Yakubu</t>
  </si>
  <si>
    <t>PT-1910</t>
  </si>
  <si>
    <t>Sarah Akintola</t>
  </si>
  <si>
    <t>PT-1911</t>
  </si>
  <si>
    <t>Kayode Igwe</t>
  </si>
  <si>
    <t>PT-1912</t>
  </si>
  <si>
    <t>Ifeoma Taylor</t>
  </si>
  <si>
    <t>PT-1913</t>
  </si>
  <si>
    <t>Bukola Oni</t>
  </si>
  <si>
    <t>PT-1914</t>
  </si>
  <si>
    <t>Ifeanyi Musa</t>
  </si>
  <si>
    <t>PT-1915</t>
  </si>
  <si>
    <t>Kemi Aliyu</t>
  </si>
  <si>
    <t>PT-1916</t>
  </si>
  <si>
    <t>Michael Thompson</t>
  </si>
  <si>
    <t>PT-1917</t>
  </si>
  <si>
    <t>Blessing Okeke</t>
  </si>
  <si>
    <t>PT-1918</t>
  </si>
  <si>
    <t>Lanre Bankole</t>
  </si>
  <si>
    <t>PT-1919</t>
  </si>
  <si>
    <t>David Eze</t>
  </si>
  <si>
    <t>PT-1920</t>
  </si>
  <si>
    <t>PT-1921</t>
  </si>
  <si>
    <t>Adewale Martin</t>
  </si>
  <si>
    <t>PT-1922</t>
  </si>
  <si>
    <t>PT-1923</t>
  </si>
  <si>
    <t>PT-1924</t>
  </si>
  <si>
    <t>PT-1925</t>
  </si>
  <si>
    <t>Nnamdi Akintola</t>
  </si>
  <si>
    <t>PT-1926</t>
  </si>
  <si>
    <t>Chukwuemeka Musa</t>
  </si>
  <si>
    <t>PT-1927</t>
  </si>
  <si>
    <t>Uche Usman</t>
  </si>
  <si>
    <t>PT-1928</t>
  </si>
  <si>
    <t>Adewale Eze</t>
  </si>
  <si>
    <t>PT-1929</t>
  </si>
  <si>
    <t>Bashir Bello</t>
  </si>
  <si>
    <t>PT-1930</t>
  </si>
  <si>
    <t>Ruth Lawan</t>
  </si>
  <si>
    <t>PT-1931</t>
  </si>
  <si>
    <t>James Williams</t>
  </si>
  <si>
    <t>PT-1932</t>
  </si>
  <si>
    <t>Nnamdi Thompson</t>
  </si>
  <si>
    <t>PT-1933</t>
  </si>
  <si>
    <t>PT-1934</t>
  </si>
  <si>
    <t>PT-1935</t>
  </si>
  <si>
    <t>PT-1936</t>
  </si>
  <si>
    <t>Bashir Abiodun</t>
  </si>
  <si>
    <t>PT-1937</t>
  </si>
  <si>
    <t>Tunde Anderson</t>
  </si>
  <si>
    <t>PT-1938</t>
  </si>
  <si>
    <t>Daniel Eze</t>
  </si>
  <si>
    <t>PT-1939</t>
  </si>
  <si>
    <t>PT-1940</t>
  </si>
  <si>
    <t>PT-1941</t>
  </si>
  <si>
    <t>James Garba</t>
  </si>
  <si>
    <t>PT-1942</t>
  </si>
  <si>
    <t>PT-1943</t>
  </si>
  <si>
    <t>James Fashola</t>
  </si>
  <si>
    <t>PT-1944</t>
  </si>
  <si>
    <t>Aisha Musa</t>
  </si>
  <si>
    <t>PT-1945</t>
  </si>
  <si>
    <t>Rebecca Chukwu</t>
  </si>
  <si>
    <t>PT-1946</t>
  </si>
  <si>
    <t>PT-1947</t>
  </si>
  <si>
    <t>PT-1948</t>
  </si>
  <si>
    <t>PT-1949</t>
  </si>
  <si>
    <t>PT-1950</t>
  </si>
  <si>
    <t>Chukwudi Igwe</t>
  </si>
  <si>
    <t>PT-1951</t>
  </si>
  <si>
    <t>PT-1952</t>
  </si>
  <si>
    <t>PT-1953</t>
  </si>
  <si>
    <t>PT-1954</t>
  </si>
  <si>
    <t>John Lawan</t>
  </si>
  <si>
    <t>PT-1955</t>
  </si>
  <si>
    <t>Hauwa Ajala</t>
  </si>
  <si>
    <t>PT-1956</t>
  </si>
  <si>
    <t>Mary Osagie</t>
  </si>
  <si>
    <t>PT-1957</t>
  </si>
  <si>
    <t>Adaeze Williams</t>
  </si>
  <si>
    <t>PT-1958</t>
  </si>
  <si>
    <t>PT-1959</t>
  </si>
  <si>
    <t>David Igwe</t>
  </si>
  <si>
    <t>PT-1960</t>
  </si>
  <si>
    <t>Rebecca Onuoha</t>
  </si>
  <si>
    <t>PT-1961</t>
  </si>
  <si>
    <t>PT-1962</t>
  </si>
  <si>
    <t>Chidi Musa</t>
  </si>
  <si>
    <t>PT-1963</t>
  </si>
  <si>
    <t>PT-1964</t>
  </si>
  <si>
    <t>Sarah Salami</t>
  </si>
  <si>
    <t>PT-1965</t>
  </si>
  <si>
    <t>James Adebayo</t>
  </si>
  <si>
    <t>PT-1966</t>
  </si>
  <si>
    <t>Kunle Aliyu</t>
  </si>
  <si>
    <t>PT-1967</t>
  </si>
  <si>
    <t>Biodun Ogbonna</t>
  </si>
  <si>
    <t>PT-1968</t>
  </si>
  <si>
    <t>PT-1969</t>
  </si>
  <si>
    <t>Daniel Dauda</t>
  </si>
  <si>
    <t>PT-1970</t>
  </si>
  <si>
    <t>Josephine Yakubu</t>
  </si>
  <si>
    <t>PT-1971</t>
  </si>
  <si>
    <t>PT-1972</t>
  </si>
  <si>
    <t>Kayode Eze</t>
  </si>
  <si>
    <t>PT-1973</t>
  </si>
  <si>
    <t>Kemi Abubakar</t>
  </si>
  <si>
    <t>PT-1974</t>
  </si>
  <si>
    <t>Sarah Usman</t>
  </si>
  <si>
    <t>PT-1975</t>
  </si>
  <si>
    <t>John Ibrahim</t>
  </si>
  <si>
    <t>PT-1976</t>
  </si>
  <si>
    <t>Gbenga Salami</t>
  </si>
  <si>
    <t>PT-1977</t>
  </si>
  <si>
    <t>PT-1978</t>
  </si>
  <si>
    <t>Rotimi Aliyu</t>
  </si>
  <si>
    <t>PT-1979</t>
  </si>
  <si>
    <t>Tolulope Lawal</t>
  </si>
  <si>
    <t>PT-1980</t>
  </si>
  <si>
    <t>Segun Smith</t>
  </si>
  <si>
    <t>PT-1981</t>
  </si>
  <si>
    <t>Funke Okonkwo</t>
  </si>
  <si>
    <t>PT-1982</t>
  </si>
  <si>
    <t>Deborah Wilson</t>
  </si>
  <si>
    <t>PT-1983</t>
  </si>
  <si>
    <t>Segun Garba</t>
  </si>
  <si>
    <t>PT-1984</t>
  </si>
  <si>
    <t>Oluwaseun Adeleke</t>
  </si>
  <si>
    <t>PT-1985</t>
  </si>
  <si>
    <t>Rukayat Johnson</t>
  </si>
  <si>
    <t>PT-1986</t>
  </si>
  <si>
    <t>PT-1987</t>
  </si>
  <si>
    <t>PT-1988</t>
  </si>
  <si>
    <t>PT-1989</t>
  </si>
  <si>
    <t>PT-1990</t>
  </si>
  <si>
    <t>PT-1991</t>
  </si>
  <si>
    <t>Deborah Thompson</t>
  </si>
  <si>
    <t>PT-1992</t>
  </si>
  <si>
    <t>Esther Akintola</t>
  </si>
  <si>
    <t>PT-1993</t>
  </si>
  <si>
    <t>PT-1994</t>
  </si>
  <si>
    <t>PT-1995</t>
  </si>
  <si>
    <t>Michael Sule</t>
  </si>
  <si>
    <t>PT-1996</t>
  </si>
  <si>
    <t>Chiamaka Smith</t>
  </si>
  <si>
    <t>PT-1997</t>
  </si>
  <si>
    <t>Nnamdi Igwe</t>
  </si>
  <si>
    <t>PT-1998</t>
  </si>
  <si>
    <t>Yusuf Lawal</t>
  </si>
  <si>
    <t>PT-1999</t>
  </si>
  <si>
    <t>PT-2000</t>
  </si>
  <si>
    <t>Miriam Moore</t>
  </si>
  <si>
    <t>PT-2001</t>
  </si>
  <si>
    <t>Grace Taylor</t>
  </si>
  <si>
    <t>PT-2002</t>
  </si>
  <si>
    <t>PT-2003</t>
  </si>
  <si>
    <t>Chiamaka Salami</t>
  </si>
  <si>
    <t>PT-2004</t>
  </si>
  <si>
    <t>PT-2005</t>
  </si>
  <si>
    <t>Michael Dauda</t>
  </si>
  <si>
    <t>PT-2006</t>
  </si>
  <si>
    <t>Lydia Ogbonna</t>
  </si>
  <si>
    <t>PT-2007</t>
  </si>
  <si>
    <t>PT-2008</t>
  </si>
  <si>
    <t>Esther Igwe</t>
  </si>
  <si>
    <t>PT-2009</t>
  </si>
  <si>
    <t>PT-2010</t>
  </si>
  <si>
    <t>Ifeoma Johnson</t>
  </si>
  <si>
    <t>PT-2011</t>
  </si>
  <si>
    <t>Emmanuel Oni</t>
  </si>
  <si>
    <t>PT-2012</t>
  </si>
  <si>
    <t>PT-2013</t>
  </si>
  <si>
    <t>Rachel Aliyu</t>
  </si>
  <si>
    <t>PT-2014</t>
  </si>
  <si>
    <t>PT-2015</t>
  </si>
  <si>
    <t>PT-2016</t>
  </si>
  <si>
    <t>Abdullahi Lawan</t>
  </si>
  <si>
    <t>PT-2017</t>
  </si>
  <si>
    <t>PT-2018</t>
  </si>
  <si>
    <t>Rachel Abiodun</t>
  </si>
  <si>
    <t>PT-2019</t>
  </si>
  <si>
    <t>Suleiman Salami</t>
  </si>
  <si>
    <t>PT-2020</t>
  </si>
  <si>
    <t>Rachel Thompson</t>
  </si>
  <si>
    <t>PT-2021</t>
  </si>
  <si>
    <t>John Adebayo</t>
  </si>
  <si>
    <t>PT-2022</t>
  </si>
  <si>
    <t>PT-2023</t>
  </si>
  <si>
    <t>Chukwudi Okafor</t>
  </si>
  <si>
    <t>PT-2024</t>
  </si>
  <si>
    <t>Emeka Usman</t>
  </si>
  <si>
    <t>PT-2025</t>
  </si>
  <si>
    <t>Tunde Martin</t>
  </si>
  <si>
    <t>PT-2026</t>
  </si>
  <si>
    <t>PT-2027</t>
  </si>
  <si>
    <t>Hauwa Wilson</t>
  </si>
  <si>
    <t>PT-2028</t>
  </si>
  <si>
    <t>Michael Okeke</t>
  </si>
  <si>
    <t>PT-2029</t>
  </si>
  <si>
    <t>Kayode Usman</t>
  </si>
  <si>
    <t>PT-2030</t>
  </si>
  <si>
    <t>Nneka Bello</t>
  </si>
  <si>
    <t>PT-2031</t>
  </si>
  <si>
    <t>Rukayat Bello</t>
  </si>
  <si>
    <t>PT-2032</t>
  </si>
  <si>
    <t>Taiwo Onuoha</t>
  </si>
  <si>
    <t>PT-2033</t>
  </si>
  <si>
    <t>Chiamaka Adeyemi</t>
  </si>
  <si>
    <t>PT-2034</t>
  </si>
  <si>
    <t>Halima Anderson</t>
  </si>
  <si>
    <t>PT-2035</t>
  </si>
  <si>
    <t>PT-2036</t>
  </si>
  <si>
    <t>PT-2037</t>
  </si>
  <si>
    <t>Lanre Usman</t>
  </si>
  <si>
    <t>PT-2038</t>
  </si>
  <si>
    <t>Femi Okeke</t>
  </si>
  <si>
    <t>PT-2039</t>
  </si>
  <si>
    <t>PT-2040</t>
  </si>
  <si>
    <t>Emeka Nwosu</t>
  </si>
  <si>
    <t>PT-2041</t>
  </si>
  <si>
    <t>Rebecca Williams</t>
  </si>
  <si>
    <t>PT-2042</t>
  </si>
  <si>
    <t>PT-2043</t>
  </si>
  <si>
    <t>Joseph Chukwu</t>
  </si>
  <si>
    <t>PT-2044</t>
  </si>
  <si>
    <t>PT-2045</t>
  </si>
  <si>
    <t>Oluwaseun Okonkwo</t>
  </si>
  <si>
    <t>PT-2046</t>
  </si>
  <si>
    <t>Zainab Sule</t>
  </si>
  <si>
    <t>PT-2047</t>
  </si>
  <si>
    <t>Samuel Williams</t>
  </si>
  <si>
    <t>PT-2048</t>
  </si>
  <si>
    <t>Funke Hassan</t>
  </si>
  <si>
    <t>PT-2049</t>
  </si>
  <si>
    <t>Ruth Bankole</t>
  </si>
  <si>
    <t>PT-2050</t>
  </si>
  <si>
    <t>Chukwuemeka Moore</t>
  </si>
  <si>
    <t>PT-2051</t>
  </si>
  <si>
    <t>Hauwa Ogbonna</t>
  </si>
  <si>
    <t>PT-2052</t>
  </si>
  <si>
    <t>PT-2053</t>
  </si>
  <si>
    <t>Emmanuel Osagie</t>
  </si>
  <si>
    <t>PT-2054</t>
  </si>
  <si>
    <t>PT-2055</t>
  </si>
  <si>
    <t>PT-2056</t>
  </si>
  <si>
    <t>Ifeanyi Okeke</t>
  </si>
  <si>
    <t>PT-2057</t>
  </si>
  <si>
    <t>Samuel Ogbonna</t>
  </si>
  <si>
    <t>PT-2058</t>
  </si>
  <si>
    <t>Yusuf Bello</t>
  </si>
  <si>
    <t>PT-2059</t>
  </si>
  <si>
    <t>Ibrahim Usman</t>
  </si>
  <si>
    <t>PT-2060</t>
  </si>
  <si>
    <t>James Taylor</t>
  </si>
  <si>
    <t>PT-2061</t>
  </si>
  <si>
    <t>Chidi Moore</t>
  </si>
  <si>
    <t>PT-2062</t>
  </si>
  <si>
    <t>PT-2063</t>
  </si>
  <si>
    <t>PT-2064</t>
  </si>
  <si>
    <t>PT-2065</t>
  </si>
  <si>
    <t>Babatunde Ajala</t>
  </si>
  <si>
    <t>PT-2066</t>
  </si>
  <si>
    <t>Bashir Aliyu</t>
  </si>
  <si>
    <t>PT-2067</t>
  </si>
  <si>
    <t>Mary Ogbonna</t>
  </si>
  <si>
    <t>PT-2068</t>
  </si>
  <si>
    <t>PT-2069</t>
  </si>
  <si>
    <t>Funke Lawan</t>
  </si>
  <si>
    <t>PT-2070</t>
  </si>
  <si>
    <t>Chiamaka Brown</t>
  </si>
  <si>
    <t>PT-2071</t>
  </si>
  <si>
    <t>PT-2072</t>
  </si>
  <si>
    <t>PT-2073</t>
  </si>
  <si>
    <t>PT-2074</t>
  </si>
  <si>
    <t>PT-2075</t>
  </si>
  <si>
    <t>Chukwuemeka Igwe</t>
  </si>
  <si>
    <t>PT-2076</t>
  </si>
  <si>
    <t>Esther Ogbonna</t>
  </si>
  <si>
    <t>PT-2077</t>
  </si>
  <si>
    <t>Kayode Okafor</t>
  </si>
  <si>
    <t>PT-2078</t>
  </si>
  <si>
    <t>PT-2079</t>
  </si>
  <si>
    <t>PT-2080</t>
  </si>
  <si>
    <t>PT-2081</t>
  </si>
  <si>
    <t>Aisha Anderson</t>
  </si>
  <si>
    <t>PT-2082</t>
  </si>
  <si>
    <t>Nneka Usman</t>
  </si>
  <si>
    <t>PT-2083</t>
  </si>
  <si>
    <t>Kayode Lawan</t>
  </si>
  <si>
    <t>PT-2084</t>
  </si>
  <si>
    <t>Kayode Adebayo</t>
  </si>
  <si>
    <t>PT-2085</t>
  </si>
  <si>
    <t>Deborah Okonkwo</t>
  </si>
  <si>
    <t>PT-2086</t>
  </si>
  <si>
    <t>Perpetua Ibrahim</t>
  </si>
  <si>
    <t>PT-2087</t>
  </si>
  <si>
    <t>Babatunde Osagie</t>
  </si>
  <si>
    <t>PT-2088</t>
  </si>
  <si>
    <t>Ngozi Garba</t>
  </si>
  <si>
    <t>PT-2089</t>
  </si>
  <si>
    <t>PT-2090</t>
  </si>
  <si>
    <t>Kunle Onuoha</t>
  </si>
  <si>
    <t>PT-2091</t>
  </si>
  <si>
    <t>PT-2092</t>
  </si>
  <si>
    <t>PT-2093</t>
  </si>
  <si>
    <t>Ibrahim Aliyu</t>
  </si>
  <si>
    <t>PT-2094</t>
  </si>
  <si>
    <t>Esther Chukwu</t>
  </si>
  <si>
    <t>PT-2095</t>
  </si>
  <si>
    <t>Bashir Fashola</t>
  </si>
  <si>
    <t>PT-2096</t>
  </si>
  <si>
    <t>Amaka Ogbonna</t>
  </si>
  <si>
    <t>PT-2097</t>
  </si>
  <si>
    <t>PT-2098</t>
  </si>
  <si>
    <t>Amaka Adeleke</t>
  </si>
  <si>
    <t>PT-2099</t>
  </si>
  <si>
    <t>PT-2100</t>
  </si>
  <si>
    <t>PT-2101</t>
  </si>
  <si>
    <t>Stella Okafor</t>
  </si>
  <si>
    <t>PT-2102</t>
  </si>
  <si>
    <t>Uche Ogbonna</t>
  </si>
  <si>
    <t>PT-2103</t>
  </si>
  <si>
    <t>PT-2104</t>
  </si>
  <si>
    <t>PT-2105</t>
  </si>
  <si>
    <t>Miriam Taylor</t>
  </si>
  <si>
    <t>PT-2106</t>
  </si>
  <si>
    <t>Bashir Ibrahim</t>
  </si>
  <si>
    <t>PT-2107</t>
  </si>
  <si>
    <t>PT-2108</t>
  </si>
  <si>
    <t>PT-2109</t>
  </si>
  <si>
    <t>Nnamdi Garba</t>
  </si>
  <si>
    <t>PT-2110</t>
  </si>
  <si>
    <t>Chidi Adeleke</t>
  </si>
  <si>
    <t>GASTROENTEROLOGY</t>
  </si>
  <si>
    <t>PT-2111</t>
  </si>
  <si>
    <t>PT-2112</t>
  </si>
  <si>
    <t>PT-2113</t>
  </si>
  <si>
    <t>David Abiodun</t>
  </si>
  <si>
    <t>PT-2114</t>
  </si>
  <si>
    <t>PT-2115</t>
  </si>
  <si>
    <t>Rebecca Bello</t>
  </si>
  <si>
    <t>PT-2116</t>
  </si>
  <si>
    <t>Ruth Brown</t>
  </si>
  <si>
    <t>PT-2117</t>
  </si>
  <si>
    <t>PT-2118</t>
  </si>
  <si>
    <t>Suleiman Dauda</t>
  </si>
  <si>
    <t>PT-2119</t>
  </si>
  <si>
    <t>Mary Igwe</t>
  </si>
  <si>
    <t>PT-2120</t>
  </si>
  <si>
    <t>PT-2121</t>
  </si>
  <si>
    <t>PT-2122</t>
  </si>
  <si>
    <t>PT-2123</t>
  </si>
  <si>
    <t>PT-2124</t>
  </si>
  <si>
    <t>PT-2125</t>
  </si>
  <si>
    <t>Adewale Yakubu</t>
  </si>
  <si>
    <t>PT-2126</t>
  </si>
  <si>
    <t>PT-2127</t>
  </si>
  <si>
    <t>PT-2128</t>
  </si>
  <si>
    <t>Mariam Okeke</t>
  </si>
  <si>
    <t>PT-2129</t>
  </si>
  <si>
    <t>PT-2130</t>
  </si>
  <si>
    <t>John Hassan</t>
  </si>
  <si>
    <t>PT-2131</t>
  </si>
  <si>
    <t>Emmanuel Adebayo</t>
  </si>
  <si>
    <t>PT-2132</t>
  </si>
  <si>
    <t>Segun Okonkwo</t>
  </si>
  <si>
    <t>PT-2133</t>
  </si>
  <si>
    <t>Rebecca Moore</t>
  </si>
  <si>
    <t>PT-2134</t>
  </si>
  <si>
    <t>PT-2135</t>
  </si>
  <si>
    <t>PT-2136</t>
  </si>
  <si>
    <t>Ifeanyi Williams</t>
  </si>
  <si>
    <t>PT-2137</t>
  </si>
  <si>
    <t>Rebecca Aliyu</t>
  </si>
  <si>
    <t>PT-2138</t>
  </si>
  <si>
    <t>PT-2139</t>
  </si>
  <si>
    <t>Blessing Yakubu</t>
  </si>
  <si>
    <t>PT-2140</t>
  </si>
  <si>
    <t>PT-2141</t>
  </si>
  <si>
    <t>Ifeanyi Taylor</t>
  </si>
  <si>
    <t>PT-2142</t>
  </si>
  <si>
    <t>Amaka Akintola</t>
  </si>
  <si>
    <t>PT-2143</t>
  </si>
  <si>
    <t>PT-2144</t>
  </si>
  <si>
    <t>Nneka Smith</t>
  </si>
  <si>
    <t>PT-2145</t>
  </si>
  <si>
    <t>Tunde Bello</t>
  </si>
  <si>
    <t>PT-2146</t>
  </si>
  <si>
    <t>Ibrahim Lawan</t>
  </si>
  <si>
    <t>PT-2147</t>
  </si>
  <si>
    <t>Blessing Brown</t>
  </si>
  <si>
    <t>PT-2148</t>
  </si>
  <si>
    <t>PT-2149</t>
  </si>
  <si>
    <t>Bukola Lawan</t>
  </si>
  <si>
    <t>PT-2150</t>
  </si>
  <si>
    <t>Deborah Williams</t>
  </si>
  <si>
    <t>PT-2151</t>
  </si>
  <si>
    <t>PT-2152</t>
  </si>
  <si>
    <t>Peter Abubakar</t>
  </si>
  <si>
    <t>PT-2153</t>
  </si>
  <si>
    <t>Musa Lawan</t>
  </si>
  <si>
    <t>PT-2154</t>
  </si>
  <si>
    <t>Kemi Okeke</t>
  </si>
  <si>
    <t>PT-2155</t>
  </si>
  <si>
    <t>Aisha Obi</t>
  </si>
  <si>
    <t>PT-2156</t>
  </si>
  <si>
    <t>Halima Onuoha</t>
  </si>
  <si>
    <t>PT-2157</t>
  </si>
  <si>
    <t>Ifeoma Danjuma</t>
  </si>
  <si>
    <t>PT-2158</t>
  </si>
  <si>
    <t>Chukwudi Bello</t>
  </si>
  <si>
    <t>PT-2159</t>
  </si>
  <si>
    <t>PT-2160</t>
  </si>
  <si>
    <t>Chioma Lawal</t>
  </si>
  <si>
    <t>PT-2161</t>
  </si>
  <si>
    <t>Lanre Fashola</t>
  </si>
  <si>
    <t>PT-2162</t>
  </si>
  <si>
    <t>PT-2163</t>
  </si>
  <si>
    <t>Funke Chukwu</t>
  </si>
  <si>
    <t>PT-2164</t>
  </si>
  <si>
    <t>PT-2165</t>
  </si>
  <si>
    <t>Daniel Lawan</t>
  </si>
  <si>
    <t>PT-2166</t>
  </si>
  <si>
    <t>Segun Martin</t>
  </si>
  <si>
    <t>PT-2167</t>
  </si>
  <si>
    <t>Ibrahim Taylor</t>
  </si>
  <si>
    <t>PT-2168</t>
  </si>
  <si>
    <t>Emeka Taylor</t>
  </si>
  <si>
    <t>PT-2169</t>
  </si>
  <si>
    <t>PT-2170</t>
  </si>
  <si>
    <t>Ifeoma Hassan</t>
  </si>
  <si>
    <t>PT-2171</t>
  </si>
  <si>
    <t>PT-2172</t>
  </si>
  <si>
    <t>PT-2173</t>
  </si>
  <si>
    <t>Josephine Ajala</t>
  </si>
  <si>
    <t>PT-2174</t>
  </si>
  <si>
    <t>PT-2175</t>
  </si>
  <si>
    <t>Josephine Martin</t>
  </si>
  <si>
    <t>PT-2176</t>
  </si>
  <si>
    <t>PT-2177</t>
  </si>
  <si>
    <t>Chukwudi Eze</t>
  </si>
  <si>
    <t>PT-2178</t>
  </si>
  <si>
    <t>PT-2179</t>
  </si>
  <si>
    <t>Taiwo Brown</t>
  </si>
  <si>
    <t>PT-2180</t>
  </si>
  <si>
    <t>PT-2181</t>
  </si>
  <si>
    <t>PT-2182</t>
  </si>
  <si>
    <t>Kemi Obi</t>
  </si>
  <si>
    <t>PT-2183</t>
  </si>
  <si>
    <t>Femi Martin</t>
  </si>
  <si>
    <t>PT-2184</t>
  </si>
  <si>
    <t>Rachel Adeyemi</t>
  </si>
  <si>
    <t>PT-2185</t>
  </si>
  <si>
    <t>Mary Brown</t>
  </si>
  <si>
    <t>PT-2186</t>
  </si>
  <si>
    <t>Chukwuemeka Nwosu</t>
  </si>
  <si>
    <t>PT-2187</t>
  </si>
  <si>
    <t>Chiamaka Danjuma</t>
  </si>
  <si>
    <t>PT-2188</t>
  </si>
  <si>
    <t>Kayode Garba</t>
  </si>
  <si>
    <t>PT-2189</t>
  </si>
  <si>
    <t>PT-2190</t>
  </si>
  <si>
    <t>PT-2191</t>
  </si>
  <si>
    <t>Bukola Okafor</t>
  </si>
  <si>
    <t>PT-2192</t>
  </si>
  <si>
    <t>James Eze</t>
  </si>
  <si>
    <t>PT-2193</t>
  </si>
  <si>
    <t>PT-2194</t>
  </si>
  <si>
    <t>PT-2195</t>
  </si>
  <si>
    <t>PT-2196</t>
  </si>
  <si>
    <t>Bukola Garba</t>
  </si>
  <si>
    <t>PT-2197</t>
  </si>
  <si>
    <t>Chukwudi Adebayo</t>
  </si>
  <si>
    <t>PT-2198</t>
  </si>
  <si>
    <t>Kemi Ajala</t>
  </si>
  <si>
    <t>PT-2199</t>
  </si>
  <si>
    <t>Fatima Ibrahim</t>
  </si>
  <si>
    <t>PT-2200</t>
  </si>
  <si>
    <t>PT-2201</t>
  </si>
  <si>
    <t>Ifeanyi Thompson</t>
  </si>
  <si>
    <t>PT-2202</t>
  </si>
  <si>
    <t>Funke Eze</t>
  </si>
  <si>
    <t>PT-2203</t>
  </si>
  <si>
    <t>Segun Okafor</t>
  </si>
  <si>
    <t>PT-2204</t>
  </si>
  <si>
    <t>PT-2205</t>
  </si>
  <si>
    <t>Chidi Bello</t>
  </si>
  <si>
    <t>PT-2206</t>
  </si>
  <si>
    <t>Suleiman Fashola</t>
  </si>
  <si>
    <t>GENERAL SURGERY</t>
  </si>
  <si>
    <t>PT-2207</t>
  </si>
  <si>
    <t>Chukwuemeka Adeyemi</t>
  </si>
  <si>
    <t>PT-2208</t>
  </si>
  <si>
    <t>PT-2209</t>
  </si>
  <si>
    <t>Taiwo Adebayo</t>
  </si>
  <si>
    <t>PT-2210</t>
  </si>
  <si>
    <t>Rachel Chukwu</t>
  </si>
  <si>
    <t>PT-2211</t>
  </si>
  <si>
    <t>Biodun Hassan</t>
  </si>
  <si>
    <t>PT-2212</t>
  </si>
  <si>
    <t>Kayode Hassan</t>
  </si>
  <si>
    <t>PT-2213</t>
  </si>
  <si>
    <t>Rukayat Danjuma</t>
  </si>
  <si>
    <t>PT-2214</t>
  </si>
  <si>
    <t>Chidi Igwe</t>
  </si>
  <si>
    <t>PT-2215</t>
  </si>
  <si>
    <t>PT-2216</t>
  </si>
  <si>
    <t>Stella Usman</t>
  </si>
  <si>
    <t>PT-2217</t>
  </si>
  <si>
    <t>PT-2218</t>
  </si>
  <si>
    <t>Deborah Salami</t>
  </si>
  <si>
    <t>PT-2219</t>
  </si>
  <si>
    <t>Uche Akintola</t>
  </si>
  <si>
    <t>PT-2220</t>
  </si>
  <si>
    <t>PT-2221</t>
  </si>
  <si>
    <t>Lanre Ogbonna</t>
  </si>
  <si>
    <t>PT-2222</t>
  </si>
  <si>
    <t>Kayode Ibrahim</t>
  </si>
  <si>
    <t>PT-2223</t>
  </si>
  <si>
    <t>PT-2224</t>
  </si>
  <si>
    <t>PT-2225</t>
  </si>
  <si>
    <t>Bukola Ibrahim</t>
  </si>
  <si>
    <t>PT-2226</t>
  </si>
  <si>
    <t>PT-2227</t>
  </si>
  <si>
    <t>Emmanuel Smith</t>
  </si>
  <si>
    <t>PT-2228</t>
  </si>
  <si>
    <t>Emmanuel Eze</t>
  </si>
  <si>
    <t>PT-2229</t>
  </si>
  <si>
    <t>Adenike Moore</t>
  </si>
  <si>
    <t>PT-2230</t>
  </si>
  <si>
    <t>Sarah Fashola</t>
  </si>
  <si>
    <t>PT-2231</t>
  </si>
  <si>
    <t>PT-2232</t>
  </si>
  <si>
    <t>PT-2233</t>
  </si>
  <si>
    <t>Halima Ibrahim</t>
  </si>
  <si>
    <t>PT-2234</t>
  </si>
  <si>
    <t>Blessing Moore</t>
  </si>
  <si>
    <t>PT-2235</t>
  </si>
  <si>
    <t>PT-2236</t>
  </si>
  <si>
    <t>Chukwuemeka Sule</t>
  </si>
  <si>
    <t>PT-2237</t>
  </si>
  <si>
    <t>PT-2238</t>
  </si>
  <si>
    <t>Miriam Onuoha</t>
  </si>
  <si>
    <t>PT-2239</t>
  </si>
  <si>
    <t>Ruth Johnson</t>
  </si>
  <si>
    <t>PT-2240</t>
  </si>
  <si>
    <t>Esther Aliyu</t>
  </si>
  <si>
    <t>PT-2241</t>
  </si>
  <si>
    <t>Michael Aliyu</t>
  </si>
  <si>
    <t>PT-2242</t>
  </si>
  <si>
    <t>Biodun Adeleke</t>
  </si>
  <si>
    <t>PT-2243</t>
  </si>
  <si>
    <t>Bashir Okafor</t>
  </si>
  <si>
    <t>PT-2244</t>
  </si>
  <si>
    <t>PT-2245</t>
  </si>
  <si>
    <t>Sarah Aliyu</t>
  </si>
  <si>
    <t>PT-2246</t>
  </si>
  <si>
    <t>PT-2247</t>
  </si>
  <si>
    <t>Amaka Okafor</t>
  </si>
  <si>
    <t>PT-2248</t>
  </si>
  <si>
    <t>Deborah Danjuma</t>
  </si>
  <si>
    <t>PT-2249</t>
  </si>
  <si>
    <t>Miriam Fashola</t>
  </si>
  <si>
    <t>PT-2250</t>
  </si>
  <si>
    <t>PT-2251</t>
  </si>
  <si>
    <t>PT-2252</t>
  </si>
  <si>
    <t>PT-2253</t>
  </si>
  <si>
    <t>Kemi Danjuma</t>
  </si>
  <si>
    <t>PT-2254</t>
  </si>
  <si>
    <t>Emmanuel Okonkwo</t>
  </si>
  <si>
    <t>PT-2255</t>
  </si>
  <si>
    <t>Biodun Aliyu</t>
  </si>
  <si>
    <t>PT-2256</t>
  </si>
  <si>
    <t>PT-2257</t>
  </si>
  <si>
    <t>Biodun Smith</t>
  </si>
  <si>
    <t>PT-2258</t>
  </si>
  <si>
    <t>Gbenga Igwe</t>
  </si>
  <si>
    <t>PT-2259</t>
  </si>
  <si>
    <t>Deborah Musa</t>
  </si>
  <si>
    <t>PT-2260</t>
  </si>
  <si>
    <t>Ruth Okafor</t>
  </si>
  <si>
    <t>PT-2261</t>
  </si>
  <si>
    <t>Biodun Sule</t>
  </si>
  <si>
    <t>PT-2262</t>
  </si>
  <si>
    <t>PT-2263</t>
  </si>
  <si>
    <t>Rotimi Hassan</t>
  </si>
  <si>
    <t>PT-2264</t>
  </si>
  <si>
    <t>Yusuf Adebayo</t>
  </si>
  <si>
    <t>PT-2265</t>
  </si>
  <si>
    <t>PT-2266</t>
  </si>
  <si>
    <t>Zainab Musa</t>
  </si>
  <si>
    <t>PT-2267</t>
  </si>
  <si>
    <t>Rotimi Osagie</t>
  </si>
  <si>
    <t>PT-2268</t>
  </si>
  <si>
    <t>PT-2269</t>
  </si>
  <si>
    <t>Kayode Okeke</t>
  </si>
  <si>
    <t>PT-2270</t>
  </si>
  <si>
    <t>PT-2271</t>
  </si>
  <si>
    <t>Segun Igwe</t>
  </si>
  <si>
    <t>PT-2272</t>
  </si>
  <si>
    <t>Sarah Anderson</t>
  </si>
  <si>
    <t>PT-2273</t>
  </si>
  <si>
    <t>John Oni</t>
  </si>
  <si>
    <t>PT-2274</t>
  </si>
  <si>
    <t>Biodun Adeyemi</t>
  </si>
  <si>
    <t>PT-2275</t>
  </si>
  <si>
    <t>Yusuf Moore</t>
  </si>
  <si>
    <t>PT-2276</t>
  </si>
  <si>
    <t>PT-2277</t>
  </si>
  <si>
    <t>PT-2278</t>
  </si>
  <si>
    <t>PT-2279</t>
  </si>
  <si>
    <t>James Usman</t>
  </si>
  <si>
    <t>PT-2280</t>
  </si>
  <si>
    <t>Funke Sule</t>
  </si>
  <si>
    <t>PT-2281</t>
  </si>
  <si>
    <t>Oluwaseun Musa</t>
  </si>
  <si>
    <t>PT-2282</t>
  </si>
  <si>
    <t>PT-2283</t>
  </si>
  <si>
    <t>PT-2284</t>
  </si>
  <si>
    <t>PT-2285</t>
  </si>
  <si>
    <t>PT-2286</t>
  </si>
  <si>
    <t>Lanre Eze</t>
  </si>
  <si>
    <t>PT-2287</t>
  </si>
  <si>
    <t>PT-2288</t>
  </si>
  <si>
    <t>Tolulope Salami</t>
  </si>
  <si>
    <t>PT-2289</t>
  </si>
  <si>
    <t>Chiamaka Onuoha</t>
  </si>
  <si>
    <t>PT-2290</t>
  </si>
  <si>
    <t>PT-2291</t>
  </si>
  <si>
    <t>Bashir Ogbonna</t>
  </si>
  <si>
    <t>PT-2292</t>
  </si>
  <si>
    <t>Babatunde Lawan</t>
  </si>
  <si>
    <t>PT-2293</t>
  </si>
  <si>
    <t>Halima Adeyemi</t>
  </si>
  <si>
    <t>PT-2294</t>
  </si>
  <si>
    <t>PT-2295</t>
  </si>
  <si>
    <t>Halima Fashola</t>
  </si>
  <si>
    <t>PT-2296</t>
  </si>
  <si>
    <t>Emmanuel Okafor</t>
  </si>
  <si>
    <t>PT-2297</t>
  </si>
  <si>
    <t>PT-2298</t>
  </si>
  <si>
    <t>Adewale Anderson</t>
  </si>
  <si>
    <t>PT-2299</t>
  </si>
  <si>
    <t>Chidi Okonkwo</t>
  </si>
  <si>
    <t>PT-2300</t>
  </si>
  <si>
    <t>PT-2301</t>
  </si>
  <si>
    <t>Samuel Fashola</t>
  </si>
  <si>
    <t>PT-2302</t>
  </si>
  <si>
    <t>Grace Sule</t>
  </si>
  <si>
    <t>PT-2303</t>
  </si>
  <si>
    <t>PT-2304</t>
  </si>
  <si>
    <t>PT-2305</t>
  </si>
  <si>
    <t>Blessing Ajala</t>
  </si>
  <si>
    <t>PT-2306</t>
  </si>
  <si>
    <t>PT-2307</t>
  </si>
  <si>
    <t>Aisha Davis</t>
  </si>
  <si>
    <t>PT-2308</t>
  </si>
  <si>
    <t>Rukayat Ibrahim</t>
  </si>
  <si>
    <t>PT-2309</t>
  </si>
  <si>
    <t>Zainab Osagie</t>
  </si>
  <si>
    <t>PT-2310</t>
  </si>
  <si>
    <t>PT-2311</t>
  </si>
  <si>
    <t>Tolulope Oni</t>
  </si>
  <si>
    <t>PT-2312</t>
  </si>
  <si>
    <t>Lanre Abiodun</t>
  </si>
  <si>
    <t>PT-2313</t>
  </si>
  <si>
    <t>Miriam Chukwu</t>
  </si>
  <si>
    <t>PT-2314</t>
  </si>
  <si>
    <t>Taiwo Usman</t>
  </si>
  <si>
    <t>PT-2315</t>
  </si>
  <si>
    <t>Bukola Anderson</t>
  </si>
  <si>
    <t>PT-2316</t>
  </si>
  <si>
    <t>PT-2317</t>
  </si>
  <si>
    <t>PT-2318</t>
  </si>
  <si>
    <t>PT-2319</t>
  </si>
  <si>
    <t>Amaka Onuoha</t>
  </si>
  <si>
    <t>PT-2320</t>
  </si>
  <si>
    <t>Chukwudi Moore</t>
  </si>
  <si>
    <t>PT-2321</t>
  </si>
  <si>
    <t>Biodun Okeke</t>
  </si>
  <si>
    <t>PT-2322</t>
  </si>
  <si>
    <t>Oluwaseun Sule</t>
  </si>
  <si>
    <t>PT-2323</t>
  </si>
  <si>
    <t>Adewale Wilson</t>
  </si>
  <si>
    <t>PT-2324</t>
  </si>
  <si>
    <t>Zainab Brown</t>
  </si>
  <si>
    <t>PT-2325</t>
  </si>
  <si>
    <t>Daniel Okeke</t>
  </si>
  <si>
    <t>PT-2326</t>
  </si>
  <si>
    <t>Tolulope Musa</t>
  </si>
  <si>
    <t>PT-2327</t>
  </si>
  <si>
    <t>PT-2328</t>
  </si>
  <si>
    <t>Samuel Okonkwo</t>
  </si>
  <si>
    <t>PT-2329</t>
  </si>
  <si>
    <t>Michael Usman</t>
  </si>
  <si>
    <t>PT-2330</t>
  </si>
  <si>
    <t>PT-2331</t>
  </si>
  <si>
    <t>Ngozi Abiodun</t>
  </si>
  <si>
    <t>PT-2332</t>
  </si>
  <si>
    <t>PT-2333</t>
  </si>
  <si>
    <t>Lanre Lawal</t>
  </si>
  <si>
    <t>PT-2334</t>
  </si>
  <si>
    <t>Suleiman Musa</t>
  </si>
  <si>
    <t>PT-2335</t>
  </si>
  <si>
    <t>Emmanuel Thompson</t>
  </si>
  <si>
    <t>PT-2336</t>
  </si>
  <si>
    <t>Grace Martin</t>
  </si>
  <si>
    <t>PT-2337</t>
  </si>
  <si>
    <t>PT-2338</t>
  </si>
  <si>
    <t>Ngozi Ajala</t>
  </si>
  <si>
    <t>PT-2339</t>
  </si>
  <si>
    <t>Chukwudi Garba</t>
  </si>
  <si>
    <t>PT-2340</t>
  </si>
  <si>
    <t>Halima Hassan</t>
  </si>
  <si>
    <t>PT-2341</t>
  </si>
  <si>
    <t>Daniel Okonkwo</t>
  </si>
  <si>
    <t>PT-2342</t>
  </si>
  <si>
    <t>Ifeanyi Sule</t>
  </si>
  <si>
    <t>PT-2343</t>
  </si>
  <si>
    <t>Elizabeth Obi</t>
  </si>
  <si>
    <t>PT-2344</t>
  </si>
  <si>
    <t>PT-2345</t>
  </si>
  <si>
    <t>Babatunde Okafor</t>
  </si>
  <si>
    <t>PT-2346</t>
  </si>
  <si>
    <t>PT-2347</t>
  </si>
  <si>
    <t>Kunle Ibrahim</t>
  </si>
  <si>
    <t>PT-2348</t>
  </si>
  <si>
    <t>Lanre Adeyemi</t>
  </si>
  <si>
    <t>PT-2349</t>
  </si>
  <si>
    <t>Lanre Nwosu</t>
  </si>
  <si>
    <t>PT-2350</t>
  </si>
  <si>
    <t>Chidi Abubakar</t>
  </si>
  <si>
    <t>PT-2351</t>
  </si>
  <si>
    <t>Lanre Moore</t>
  </si>
  <si>
    <t>PT-2352</t>
  </si>
  <si>
    <t>James Igwe</t>
  </si>
  <si>
    <t>PT-2353</t>
  </si>
  <si>
    <t>Samuel Thompson</t>
  </si>
  <si>
    <t>PT-2354</t>
  </si>
  <si>
    <t>PT-2355</t>
  </si>
  <si>
    <t>PT-2356</t>
  </si>
  <si>
    <t>Yusuf Akintola</t>
  </si>
  <si>
    <t>PT-2357</t>
  </si>
  <si>
    <t>Rotimi Okeke</t>
  </si>
  <si>
    <t>PT-2358</t>
  </si>
  <si>
    <t>PT-2359</t>
  </si>
  <si>
    <t>Blessing Adeyemi</t>
  </si>
  <si>
    <t>PT-2360</t>
  </si>
  <si>
    <t>Tunde Fashola</t>
  </si>
  <si>
    <t>PT-2361</t>
  </si>
  <si>
    <t>PT-2362</t>
  </si>
  <si>
    <t>Adewale Adeyemi</t>
  </si>
  <si>
    <t>PT-2363</t>
  </si>
  <si>
    <t>Rotimi Wilson</t>
  </si>
  <si>
    <t>PT-2364</t>
  </si>
  <si>
    <t>PT-2365</t>
  </si>
  <si>
    <t>Suleiman Onuoha</t>
  </si>
  <si>
    <t>PT-2366</t>
  </si>
  <si>
    <t>Funke Thompson</t>
  </si>
  <si>
    <t>PT-2367</t>
  </si>
  <si>
    <t>Abdullahi Fashola</t>
  </si>
  <si>
    <t>PT-2368</t>
  </si>
  <si>
    <t>Yusuf Bankole</t>
  </si>
  <si>
    <t>PT-2369</t>
  </si>
  <si>
    <t>Rebecca Anderson</t>
  </si>
  <si>
    <t>PT-2370</t>
  </si>
  <si>
    <t>Rebecca Nwosu</t>
  </si>
  <si>
    <t>PT-2371</t>
  </si>
  <si>
    <t>Emeka Moore</t>
  </si>
  <si>
    <t>PT-2372</t>
  </si>
  <si>
    <t>PT-2373</t>
  </si>
  <si>
    <t>PT-2374</t>
  </si>
  <si>
    <t>Musa Bello</t>
  </si>
  <si>
    <t>PT-2375</t>
  </si>
  <si>
    <t>Segun Yakubu</t>
  </si>
  <si>
    <t>PT-2376</t>
  </si>
  <si>
    <t>Chiamaka Bankole</t>
  </si>
  <si>
    <t>PT-2377</t>
  </si>
  <si>
    <t>Lydia Fashola</t>
  </si>
  <si>
    <t>PT-2378</t>
  </si>
  <si>
    <t>Emeka Wilson</t>
  </si>
  <si>
    <t>PT-2379</t>
  </si>
  <si>
    <t>James Musa</t>
  </si>
  <si>
    <t>PT-2380</t>
  </si>
  <si>
    <t>PT-2381</t>
  </si>
  <si>
    <t>PT-2382</t>
  </si>
  <si>
    <t>Lydia Hassan</t>
  </si>
  <si>
    <t>PT-2383</t>
  </si>
  <si>
    <t>Tunde Thompson</t>
  </si>
  <si>
    <t>PT-2384</t>
  </si>
  <si>
    <t>Chiamaka Okeke</t>
  </si>
  <si>
    <t>PT-2385</t>
  </si>
  <si>
    <t>Segun Anderson</t>
  </si>
  <si>
    <t>PT-2386</t>
  </si>
  <si>
    <t>Nnamdi Adebayo</t>
  </si>
  <si>
    <t>PT-2387</t>
  </si>
  <si>
    <t>PT-2388</t>
  </si>
  <si>
    <t>PT-2389</t>
  </si>
  <si>
    <t>Chukwudi Smith</t>
  </si>
  <si>
    <t>PT-2390</t>
  </si>
  <si>
    <t>PT-2391</t>
  </si>
  <si>
    <t>Rebecca Salami</t>
  </si>
  <si>
    <t>PT-2392</t>
  </si>
  <si>
    <t>PT-2393</t>
  </si>
  <si>
    <t>PT-2394</t>
  </si>
  <si>
    <t>Hauwa Chukwu</t>
  </si>
  <si>
    <t>PT-2395</t>
  </si>
  <si>
    <t>Mary Usman</t>
  </si>
  <si>
    <t>PT-2396</t>
  </si>
  <si>
    <t>PT-2397</t>
  </si>
  <si>
    <t>Elizabeth Abubakar</t>
  </si>
  <si>
    <t>PT-2398</t>
  </si>
  <si>
    <t>Nnamdi Obi</t>
  </si>
  <si>
    <t>PT-2399</t>
  </si>
  <si>
    <t>Peter Adebayo</t>
  </si>
  <si>
    <t>PT-2400</t>
  </si>
  <si>
    <t>PT-2401</t>
  </si>
  <si>
    <t>PT-2402</t>
  </si>
  <si>
    <t>Michael Fashola</t>
  </si>
  <si>
    <t>PT-2403</t>
  </si>
  <si>
    <t>Uche Abubakar</t>
  </si>
  <si>
    <t>PT-2404</t>
  </si>
  <si>
    <t>Uche Lawal</t>
  </si>
  <si>
    <t>PT-2405</t>
  </si>
  <si>
    <t>Adenike Johnson</t>
  </si>
  <si>
    <t>PT-2406</t>
  </si>
  <si>
    <t>PT-2407</t>
  </si>
  <si>
    <t>PT-2408</t>
  </si>
  <si>
    <t>PT-2409</t>
  </si>
  <si>
    <t>Deborah Smith</t>
  </si>
  <si>
    <t>PT-2410</t>
  </si>
  <si>
    <t>PT-2411</t>
  </si>
  <si>
    <t>PT-2412</t>
  </si>
  <si>
    <t>Kayode Adeyemi</t>
  </si>
  <si>
    <t>PT-2413</t>
  </si>
  <si>
    <t>Miriam Adeleke</t>
  </si>
  <si>
    <t>PT-2414</t>
  </si>
  <si>
    <t>Gbenga Johnson</t>
  </si>
  <si>
    <t>PT-2415</t>
  </si>
  <si>
    <t>Tolulope Igwe</t>
  </si>
  <si>
    <t>PT-2416</t>
  </si>
  <si>
    <t>Ngozi Anderson</t>
  </si>
  <si>
    <t>PT-2417</t>
  </si>
  <si>
    <t>Mariam Johnson</t>
  </si>
  <si>
    <t>PT-2418</t>
  </si>
  <si>
    <t>Rebecca Martin</t>
  </si>
  <si>
    <t>PT-2419</t>
  </si>
  <si>
    <t>PT-2420</t>
  </si>
  <si>
    <t>PT-2421</t>
  </si>
  <si>
    <t>Kunle Osagie</t>
  </si>
  <si>
    <t>PT-2422</t>
  </si>
  <si>
    <t>Adewale Lawal</t>
  </si>
  <si>
    <t>PT-2423</t>
  </si>
  <si>
    <t>Uche Abiodun</t>
  </si>
  <si>
    <t>PT-2424</t>
  </si>
  <si>
    <t>Bukola Adeyemi</t>
  </si>
  <si>
    <t>PT-2425</t>
  </si>
  <si>
    <t>Hauwa Adeleke</t>
  </si>
  <si>
    <t>PT-2426</t>
  </si>
  <si>
    <t>PT-2427</t>
  </si>
  <si>
    <t>Stella Salami</t>
  </si>
  <si>
    <t>PT-2428</t>
  </si>
  <si>
    <t>Kunle Okafor</t>
  </si>
  <si>
    <t>PT-2429</t>
  </si>
  <si>
    <t>PT-2430</t>
  </si>
  <si>
    <t>Gbenga Chukwu</t>
  </si>
  <si>
    <t>PT-2431</t>
  </si>
  <si>
    <t>Halima Eze</t>
  </si>
  <si>
    <t>PT-2432</t>
  </si>
  <si>
    <t>PT-2433</t>
  </si>
  <si>
    <t>PT-2434</t>
  </si>
  <si>
    <t>PT-2435</t>
  </si>
  <si>
    <t>Kemi Bello</t>
  </si>
  <si>
    <t>PT-2436</t>
  </si>
  <si>
    <t>PT-2437</t>
  </si>
  <si>
    <t>Michael Adeleke</t>
  </si>
  <si>
    <t>PT-2438</t>
  </si>
  <si>
    <t>PT-2439</t>
  </si>
  <si>
    <t>PT-2440</t>
  </si>
  <si>
    <t>PT-2441</t>
  </si>
  <si>
    <t>PT-2442</t>
  </si>
  <si>
    <t>PT-2443</t>
  </si>
  <si>
    <t>Bashir Musa</t>
  </si>
  <si>
    <t>PT-2444</t>
  </si>
  <si>
    <t>Nnamdi Bankole</t>
  </si>
  <si>
    <t>PT-2445</t>
  </si>
  <si>
    <t>Emeka Bello</t>
  </si>
  <si>
    <t>PT-2446</t>
  </si>
  <si>
    <t>Adaeze Lawal</t>
  </si>
  <si>
    <t>PT-2447</t>
  </si>
  <si>
    <t>Elizabeth Wilson</t>
  </si>
  <si>
    <t>PT-2448</t>
  </si>
  <si>
    <t>PT-2449</t>
  </si>
  <si>
    <t>Stella Bello</t>
  </si>
  <si>
    <t>PT-2450</t>
  </si>
  <si>
    <t>PT-2451</t>
  </si>
  <si>
    <t>Biodun Abiodun</t>
  </si>
  <si>
    <t>PT-2452</t>
  </si>
  <si>
    <t>PT-2453</t>
  </si>
  <si>
    <t>Nneka Taylor</t>
  </si>
  <si>
    <t>PT-2454</t>
  </si>
  <si>
    <t>Rachel Abubakar</t>
  </si>
  <si>
    <t>PT-2455</t>
  </si>
  <si>
    <t>PT-2456</t>
  </si>
  <si>
    <t>PT-2457</t>
  </si>
  <si>
    <t>Abdullahi Okafor</t>
  </si>
  <si>
    <t>PT-2458</t>
  </si>
  <si>
    <t>PT-2459</t>
  </si>
  <si>
    <t>Musa Dauda</t>
  </si>
  <si>
    <t>PT-2460</t>
  </si>
  <si>
    <t>Esther Bankole</t>
  </si>
  <si>
    <t>PT-2461</t>
  </si>
  <si>
    <t>Segun Fashola</t>
  </si>
  <si>
    <t>PT-2462</t>
  </si>
  <si>
    <t>Ifeanyi Moore</t>
  </si>
  <si>
    <t>PT-2463</t>
  </si>
  <si>
    <t>PT-2464</t>
  </si>
  <si>
    <t>PT-2465</t>
  </si>
  <si>
    <t>Deborah Taylor</t>
  </si>
  <si>
    <t>PT-2466</t>
  </si>
  <si>
    <t>PT-2467</t>
  </si>
  <si>
    <t>Rukayat Williams</t>
  </si>
  <si>
    <t>PT-2468</t>
  </si>
  <si>
    <t>Ruth Yakubu</t>
  </si>
  <si>
    <t>PT-2469</t>
  </si>
  <si>
    <t>PT-2470</t>
  </si>
  <si>
    <t>PT-2471</t>
  </si>
  <si>
    <t>Gbenga Smith</t>
  </si>
  <si>
    <t>PT-2472</t>
  </si>
  <si>
    <t>Chidi Usman</t>
  </si>
  <si>
    <t>PT-2473</t>
  </si>
  <si>
    <t>Rebecca Eze</t>
  </si>
  <si>
    <t>PT-2474</t>
  </si>
  <si>
    <t>John Danjuma</t>
  </si>
  <si>
    <t>PT-2475</t>
  </si>
  <si>
    <t>PT-2476</t>
  </si>
  <si>
    <t>PT-2477</t>
  </si>
  <si>
    <t>PT-2478</t>
  </si>
  <si>
    <t>Abdullahi Akintola</t>
  </si>
  <si>
    <t>PT-2479</t>
  </si>
  <si>
    <t>PT-2480</t>
  </si>
  <si>
    <t>Taiwo Danjuma</t>
  </si>
  <si>
    <t>PT-2481</t>
  </si>
  <si>
    <t>David Smith</t>
  </si>
  <si>
    <t>PT-2482</t>
  </si>
  <si>
    <t>PT-2483</t>
  </si>
  <si>
    <t>Funke Oni</t>
  </si>
  <si>
    <t>PT-2484</t>
  </si>
  <si>
    <t>James Wilson</t>
  </si>
  <si>
    <t>PT-2485</t>
  </si>
  <si>
    <t>Chidi Nwosu</t>
  </si>
  <si>
    <t>PT-2486</t>
  </si>
  <si>
    <t>Ifeanyi Fashola</t>
  </si>
  <si>
    <t>PT-2487</t>
  </si>
  <si>
    <t>Perpetua Martin</t>
  </si>
  <si>
    <t>PT-2488</t>
  </si>
  <si>
    <t>Michael Nwosu</t>
  </si>
  <si>
    <t>PT-2489</t>
  </si>
  <si>
    <t>PT-2490</t>
  </si>
  <si>
    <t>PT-2491</t>
  </si>
  <si>
    <t>PT-2492</t>
  </si>
  <si>
    <t>Adewale Lawan</t>
  </si>
  <si>
    <t>PT-2493</t>
  </si>
  <si>
    <t>Perpetua Onuoha</t>
  </si>
  <si>
    <t>PT-2494</t>
  </si>
  <si>
    <t>Lydia Eze</t>
  </si>
  <si>
    <t>PT-2495</t>
  </si>
  <si>
    <t>Bashir Chukwu</t>
  </si>
  <si>
    <t>PT-2496</t>
  </si>
  <si>
    <t>PT-2497</t>
  </si>
  <si>
    <t>Taiwo Martin</t>
  </si>
  <si>
    <t>PT-2498</t>
  </si>
  <si>
    <t>Peter Anderson</t>
  </si>
  <si>
    <t>PT-2499</t>
  </si>
  <si>
    <t>Miriam Abiodun</t>
  </si>
  <si>
    <t>PT-2500</t>
  </si>
  <si>
    <t>PT-2501</t>
  </si>
  <si>
    <t>Nnamdi Abubakar</t>
  </si>
  <si>
    <t>PT-2502</t>
  </si>
  <si>
    <t>PT-2503</t>
  </si>
  <si>
    <t>James Johnson</t>
  </si>
  <si>
    <t>PT-2504</t>
  </si>
  <si>
    <t>Joseph Musa</t>
  </si>
  <si>
    <t>PT-2505</t>
  </si>
  <si>
    <t>PT-2506</t>
  </si>
  <si>
    <t>David Obi</t>
  </si>
  <si>
    <t>PT-2507</t>
  </si>
  <si>
    <t>PT-2508</t>
  </si>
  <si>
    <t>David Lawan</t>
  </si>
  <si>
    <t>PT-2509</t>
  </si>
  <si>
    <t>Lanre Aliyu</t>
  </si>
  <si>
    <t>PT-2510</t>
  </si>
  <si>
    <t>PT-2511</t>
  </si>
  <si>
    <t>James Bello</t>
  </si>
  <si>
    <t>PT-2512</t>
  </si>
  <si>
    <t>PT-2513</t>
  </si>
  <si>
    <t>Ifeoma Osagie</t>
  </si>
  <si>
    <t>PT-2514</t>
  </si>
  <si>
    <t>PT-2515</t>
  </si>
  <si>
    <t>Segun Bankole</t>
  </si>
  <si>
    <t>PT-2516</t>
  </si>
  <si>
    <t>Ibrahim Obi</t>
  </si>
  <si>
    <t>PT-2517</t>
  </si>
  <si>
    <t>Deborah Onuoha</t>
  </si>
  <si>
    <t>PT-2518</t>
  </si>
  <si>
    <t>PT-2519</t>
  </si>
  <si>
    <t>PT-2520</t>
  </si>
  <si>
    <t>Joseph Osagie</t>
  </si>
  <si>
    <t>PT-2521</t>
  </si>
  <si>
    <t>Kemi Fashola</t>
  </si>
  <si>
    <t>PT-2522</t>
  </si>
  <si>
    <t>PT-2523</t>
  </si>
  <si>
    <t>John Bankole</t>
  </si>
  <si>
    <t>PT-2524</t>
  </si>
  <si>
    <t>Emeka Davis</t>
  </si>
  <si>
    <t>PT-2525</t>
  </si>
  <si>
    <t>Nnamdi Eze</t>
  </si>
  <si>
    <t>PT-2526</t>
  </si>
  <si>
    <t>PT-2527</t>
  </si>
  <si>
    <t>PT-2528</t>
  </si>
  <si>
    <t>Peter Moore</t>
  </si>
  <si>
    <t>PT-2529</t>
  </si>
  <si>
    <t>Chukwuemeka Eze</t>
  </si>
  <si>
    <t>PT-2530</t>
  </si>
  <si>
    <t>PT-2531</t>
  </si>
  <si>
    <t>PT-2532</t>
  </si>
  <si>
    <t>PT-2533</t>
  </si>
  <si>
    <t>Uche Bello</t>
  </si>
  <si>
    <t>PT-2534</t>
  </si>
  <si>
    <t>Kayode Abubakar</t>
  </si>
  <si>
    <t>PT-2535</t>
  </si>
  <si>
    <t>Biodun Johnson</t>
  </si>
  <si>
    <t>PT-2536</t>
  </si>
  <si>
    <t>Fatima Dauda</t>
  </si>
  <si>
    <t>PT-2537</t>
  </si>
  <si>
    <t>PT-2538</t>
  </si>
  <si>
    <t>Zainab Okafor</t>
  </si>
  <si>
    <t>PT-2539</t>
  </si>
  <si>
    <t>Rachel Garba</t>
  </si>
  <si>
    <t>PT-2540</t>
  </si>
  <si>
    <t>Ifeoma Abubakar</t>
  </si>
  <si>
    <t>PT-2541</t>
  </si>
  <si>
    <t>PT-2542</t>
  </si>
  <si>
    <t>Perpetua Johnson</t>
  </si>
  <si>
    <t>PT-2543</t>
  </si>
  <si>
    <t>Grace Anderson</t>
  </si>
  <si>
    <t>PT-2544</t>
  </si>
  <si>
    <t>Chukwudi Ibrahim</t>
  </si>
  <si>
    <t>PT-2545</t>
  </si>
  <si>
    <t>PT-2546</t>
  </si>
  <si>
    <t>Michael Hassan</t>
  </si>
  <si>
    <t>PT-2547</t>
  </si>
  <si>
    <t>Aisha Garba</t>
  </si>
  <si>
    <t>PT-2548</t>
  </si>
  <si>
    <t>PT-2549</t>
  </si>
  <si>
    <t>PT-2550</t>
  </si>
  <si>
    <t>James Osagie</t>
  </si>
  <si>
    <t>PT-2551</t>
  </si>
  <si>
    <t>Mary Smith</t>
  </si>
  <si>
    <t>PT-2552</t>
  </si>
  <si>
    <t>PT-2553</t>
  </si>
  <si>
    <t>PT-2554</t>
  </si>
  <si>
    <t>Kunle Williams</t>
  </si>
  <si>
    <t>PT-2555</t>
  </si>
  <si>
    <t>PT-2556</t>
  </si>
  <si>
    <t>PT-2557</t>
  </si>
  <si>
    <t>PT-2558</t>
  </si>
  <si>
    <t>Kunle Okonkwo</t>
  </si>
  <si>
    <t>PT-2559</t>
  </si>
  <si>
    <t>Mary Ibrahim</t>
  </si>
  <si>
    <t>PT-2560</t>
  </si>
  <si>
    <t>Daniel Danjuma</t>
  </si>
  <si>
    <t>PT-2561</t>
  </si>
  <si>
    <t>Tunde Smith</t>
  </si>
  <si>
    <t>PT-2562</t>
  </si>
  <si>
    <t>Uche Oni</t>
  </si>
  <si>
    <t>PT-2563</t>
  </si>
  <si>
    <t>PT-2564</t>
  </si>
  <si>
    <t>PT-2565</t>
  </si>
  <si>
    <t>PT-2566</t>
  </si>
  <si>
    <t>Emeka Adebayo</t>
  </si>
  <si>
    <t>PT-2567</t>
  </si>
  <si>
    <t>Musa Onuoha</t>
  </si>
  <si>
    <t>PT-2568</t>
  </si>
  <si>
    <t>Ibrahim Hassan</t>
  </si>
  <si>
    <t>PT-2569</t>
  </si>
  <si>
    <t>PT-2570</t>
  </si>
  <si>
    <t>PT-2571</t>
  </si>
  <si>
    <t>Grace Lawan</t>
  </si>
  <si>
    <t>PT-2572</t>
  </si>
  <si>
    <t>Musa Adebayo</t>
  </si>
  <si>
    <t>PT-2573</t>
  </si>
  <si>
    <t>Daniel Okafor</t>
  </si>
  <si>
    <t>PT-2574</t>
  </si>
  <si>
    <t>Chukwuemeka Adeleke</t>
  </si>
  <si>
    <t>PT-2575</t>
  </si>
  <si>
    <t>Suleiman Sule</t>
  </si>
  <si>
    <t>PT-2576</t>
  </si>
  <si>
    <t>Ibrahim Williams</t>
  </si>
  <si>
    <t>PT-2577</t>
  </si>
  <si>
    <t>PT-2578</t>
  </si>
  <si>
    <t>Kemi Ogbonna</t>
  </si>
  <si>
    <t>PT-2579</t>
  </si>
  <si>
    <t>Funke Onuoha</t>
  </si>
  <si>
    <t>PT-2580</t>
  </si>
  <si>
    <t>Halima Brown</t>
  </si>
  <si>
    <t>PT-2581</t>
  </si>
  <si>
    <t>PT-2582</t>
  </si>
  <si>
    <t>PT-2583</t>
  </si>
  <si>
    <t>PT-2584</t>
  </si>
  <si>
    <t>PT-2585</t>
  </si>
  <si>
    <t>David Ogbonna</t>
  </si>
  <si>
    <t>PT-2586</t>
  </si>
  <si>
    <t>Zainab Abubakar</t>
  </si>
  <si>
    <t>PT-2587</t>
  </si>
  <si>
    <t>PT-2588</t>
  </si>
  <si>
    <t>Kemi Abiodun</t>
  </si>
  <si>
    <t>PT-2589</t>
  </si>
  <si>
    <t>PT-2590</t>
  </si>
  <si>
    <t>Rotimi Moore</t>
  </si>
  <si>
    <t>PT-2591</t>
  </si>
  <si>
    <t>Miriam Okeke</t>
  </si>
  <si>
    <t>PT-2592</t>
  </si>
  <si>
    <t>PT-2593</t>
  </si>
  <si>
    <t>PT-2594</t>
  </si>
  <si>
    <t>PT-2595</t>
  </si>
  <si>
    <t>Fatima Bello</t>
  </si>
  <si>
    <t>PT-2596</t>
  </si>
  <si>
    <t>Kayode Williams</t>
  </si>
  <si>
    <t>PT-2597</t>
  </si>
  <si>
    <t>Rukayat Oni</t>
  </si>
  <si>
    <t>PT-2598</t>
  </si>
  <si>
    <t>Perpetua Abubakar</t>
  </si>
  <si>
    <t>PT-2599</t>
  </si>
  <si>
    <t>PT-2600</t>
  </si>
  <si>
    <t>PT-2601</t>
  </si>
  <si>
    <t>Hauwa Nwosu</t>
  </si>
  <si>
    <t>PT-2602</t>
  </si>
  <si>
    <t>Kemi Anderson</t>
  </si>
  <si>
    <t>PT-2603</t>
  </si>
  <si>
    <t>Joseph Wilson</t>
  </si>
  <si>
    <t>PT-2604</t>
  </si>
  <si>
    <t>PT-2605</t>
  </si>
  <si>
    <t>PT-2606</t>
  </si>
  <si>
    <t>PT-2607</t>
  </si>
  <si>
    <t>Rukayat Onuoha</t>
  </si>
  <si>
    <t>PT-2608</t>
  </si>
  <si>
    <t>Josephine Brown</t>
  </si>
  <si>
    <t>PT-2609</t>
  </si>
  <si>
    <t>Esther Bello</t>
  </si>
  <si>
    <t>PT-2610</t>
  </si>
  <si>
    <t>Esther Eze</t>
  </si>
  <si>
    <t>PT-2611</t>
  </si>
  <si>
    <t>PT-2612</t>
  </si>
  <si>
    <t>PT-2613</t>
  </si>
  <si>
    <t>PT-2614</t>
  </si>
  <si>
    <t>James Lawal</t>
  </si>
  <si>
    <t>PT-2615</t>
  </si>
  <si>
    <t>PT-2616</t>
  </si>
  <si>
    <t>Stella Abiodun</t>
  </si>
  <si>
    <t>PT-2617</t>
  </si>
  <si>
    <t>James Danjuma</t>
  </si>
  <si>
    <t>PT-2618</t>
  </si>
  <si>
    <t>Rebecca Johnson</t>
  </si>
  <si>
    <t>PT-2619</t>
  </si>
  <si>
    <t>Ifeoma Eze</t>
  </si>
  <si>
    <t>PT-2620</t>
  </si>
  <si>
    <t>PT-2621</t>
  </si>
  <si>
    <t>Segun Abubakar</t>
  </si>
  <si>
    <t>PT-2622</t>
  </si>
  <si>
    <t>PT-2623</t>
  </si>
  <si>
    <t>PT-2624</t>
  </si>
  <si>
    <t>PT-2625</t>
  </si>
  <si>
    <t>PT-2626</t>
  </si>
  <si>
    <t>Adenike Aliyu</t>
  </si>
  <si>
    <t>PT-2627</t>
  </si>
  <si>
    <t>PT-2628</t>
  </si>
  <si>
    <t>PT-2629</t>
  </si>
  <si>
    <t>PT-2630</t>
  </si>
  <si>
    <t>Miriam Sule</t>
  </si>
  <si>
    <t>PT-2631</t>
  </si>
  <si>
    <t>PT-2632</t>
  </si>
  <si>
    <t>Ifeanyi Oni</t>
  </si>
  <si>
    <t>PT-2633</t>
  </si>
  <si>
    <t>PT-2634</t>
  </si>
  <si>
    <t>PT-2635</t>
  </si>
  <si>
    <t>PT-2636</t>
  </si>
  <si>
    <t>Rebecca Wilson</t>
  </si>
  <si>
    <t>PT-2637</t>
  </si>
  <si>
    <t>Chioma Yakubu</t>
  </si>
  <si>
    <t>PT-2638</t>
  </si>
  <si>
    <t>PT-2639</t>
  </si>
  <si>
    <t>PT-2640</t>
  </si>
  <si>
    <t>Lanre Obi</t>
  </si>
  <si>
    <t>PT-2641</t>
  </si>
  <si>
    <t>Adaeze Musa</t>
  </si>
  <si>
    <t>PT-2642</t>
  </si>
  <si>
    <t>Fatima Abiodun</t>
  </si>
  <si>
    <t>PT-2643</t>
  </si>
  <si>
    <t>Ifeanyi Bankole</t>
  </si>
  <si>
    <t>PT-2644</t>
  </si>
  <si>
    <t>Halima Oni</t>
  </si>
  <si>
    <t>PT-2645</t>
  </si>
  <si>
    <t>PT-2646</t>
  </si>
  <si>
    <t>PT-2647</t>
  </si>
  <si>
    <t>PT-2648</t>
  </si>
  <si>
    <t>PT-2649</t>
  </si>
  <si>
    <t>PT-2650</t>
  </si>
  <si>
    <t>Emeka Musa</t>
  </si>
  <si>
    <t>PT-2651</t>
  </si>
  <si>
    <t>Lydia Martin</t>
  </si>
  <si>
    <t>PT-2652</t>
  </si>
  <si>
    <t>Mariam Martin</t>
  </si>
  <si>
    <t>PT-2653</t>
  </si>
  <si>
    <t>Grace Salami</t>
  </si>
  <si>
    <t>PT-2654</t>
  </si>
  <si>
    <t>Zainab Akintola</t>
  </si>
  <si>
    <t>PT-2655</t>
  </si>
  <si>
    <t>Deborah Lawal</t>
  </si>
  <si>
    <t>PT-2656</t>
  </si>
  <si>
    <t>Oluwaseun Eze</t>
  </si>
  <si>
    <t>PT-2657</t>
  </si>
  <si>
    <t>PT-2658</t>
  </si>
  <si>
    <t>Mary Adebayo</t>
  </si>
  <si>
    <t>PT-2659</t>
  </si>
  <si>
    <t>Biodun Eze</t>
  </si>
  <si>
    <t>PT-2660</t>
  </si>
  <si>
    <t>Miriam Wilson</t>
  </si>
  <si>
    <t>PT-2661</t>
  </si>
  <si>
    <t>PT-2662</t>
  </si>
  <si>
    <t>PT-2663</t>
  </si>
  <si>
    <t>Esther Usman</t>
  </si>
  <si>
    <t>PT-2664</t>
  </si>
  <si>
    <t>PT-2665</t>
  </si>
  <si>
    <t>PT-2666</t>
  </si>
  <si>
    <t>Miriam Akintola</t>
  </si>
  <si>
    <t>PT-2667</t>
  </si>
  <si>
    <t>Babatunde Abiodun</t>
  </si>
  <si>
    <t>PT-2668</t>
  </si>
  <si>
    <t>PT-2669</t>
  </si>
  <si>
    <t>Joseph Adeleke</t>
  </si>
  <si>
    <t>PT-2670</t>
  </si>
  <si>
    <t>Ibrahim Okonkwo</t>
  </si>
  <si>
    <t>PT-2671</t>
  </si>
  <si>
    <t>Hauwa Moore</t>
  </si>
  <si>
    <t>PT-2672</t>
  </si>
  <si>
    <t>PT-2673</t>
  </si>
  <si>
    <t>PT-2674</t>
  </si>
  <si>
    <t>PT-2675</t>
  </si>
  <si>
    <t>PT-2676</t>
  </si>
  <si>
    <t>Ifeanyi Aliyu</t>
  </si>
  <si>
    <t>PT-2677</t>
  </si>
  <si>
    <t>PT-2678</t>
  </si>
  <si>
    <t>Chiamaka Chukwu</t>
  </si>
  <si>
    <t>PT-2679</t>
  </si>
  <si>
    <t>PT-2680</t>
  </si>
  <si>
    <t>Daniel Abubakar</t>
  </si>
  <si>
    <t>PT-2681</t>
  </si>
  <si>
    <t>Grace Akintola</t>
  </si>
  <si>
    <t>PT-2682</t>
  </si>
  <si>
    <t>Esther Okafor</t>
  </si>
  <si>
    <t>PT-2683</t>
  </si>
  <si>
    <t>Adaeze Akintola</t>
  </si>
  <si>
    <t>PT-2684</t>
  </si>
  <si>
    <t>James Nwosu</t>
  </si>
  <si>
    <t>PT-2685</t>
  </si>
  <si>
    <t>PT-2686</t>
  </si>
  <si>
    <t>Aisha Dauda</t>
  </si>
  <si>
    <t>PT-2687</t>
  </si>
  <si>
    <t>Nnamdi Lawal</t>
  </si>
  <si>
    <t>PT-2688</t>
  </si>
  <si>
    <t>Ngozi Dauda</t>
  </si>
  <si>
    <t>PT-2689</t>
  </si>
  <si>
    <t>Nnamdi Anderson</t>
  </si>
  <si>
    <t>PT-2690</t>
  </si>
  <si>
    <t>PT-2691</t>
  </si>
  <si>
    <t>Elizabeth Ogbonna</t>
  </si>
  <si>
    <t>PT-2692</t>
  </si>
  <si>
    <t>PT-2693</t>
  </si>
  <si>
    <t>Michael Danjuma</t>
  </si>
  <si>
    <t>PT-2694</t>
  </si>
  <si>
    <t>PT-2695</t>
  </si>
  <si>
    <t>PT-2696</t>
  </si>
  <si>
    <t>PT-2697</t>
  </si>
  <si>
    <t>PT-2698</t>
  </si>
  <si>
    <t>PT-2699</t>
  </si>
  <si>
    <t>PT-2700</t>
  </si>
  <si>
    <t>Lydia Abiodun</t>
  </si>
  <si>
    <t>PT-2701</t>
  </si>
  <si>
    <t>Peter Okafor</t>
  </si>
  <si>
    <t>PT-2702</t>
  </si>
  <si>
    <t>Rukayat Bankole</t>
  </si>
  <si>
    <t>PT-2703</t>
  </si>
  <si>
    <t>PT-2704</t>
  </si>
  <si>
    <t>PT-2705</t>
  </si>
  <si>
    <t>Funke Lawal</t>
  </si>
  <si>
    <t>PT-2706</t>
  </si>
  <si>
    <t>PT-2707</t>
  </si>
  <si>
    <t>Ibrahim Bello</t>
  </si>
  <si>
    <t>PT-2708</t>
  </si>
  <si>
    <t>Babatunde Bankole</t>
  </si>
  <si>
    <t>PT-2709</t>
  </si>
  <si>
    <t>Musa Garba</t>
  </si>
  <si>
    <t>PT-2710</t>
  </si>
  <si>
    <t>Rukayat Wilson</t>
  </si>
  <si>
    <t>PT-2711</t>
  </si>
  <si>
    <t>Mary Garba</t>
  </si>
  <si>
    <t>PT-2712</t>
  </si>
  <si>
    <t>PT-2713</t>
  </si>
  <si>
    <t>PT-2714</t>
  </si>
  <si>
    <t>Amaka Okeke</t>
  </si>
  <si>
    <t>PT-2715</t>
  </si>
  <si>
    <t>PT-2716</t>
  </si>
  <si>
    <t>PT-2717</t>
  </si>
  <si>
    <t>John Yakubu</t>
  </si>
  <si>
    <t>PT-2718</t>
  </si>
  <si>
    <t>Mariam Obi</t>
  </si>
  <si>
    <t>PT-2719</t>
  </si>
  <si>
    <t>PT-2720</t>
  </si>
  <si>
    <t>Segun Ajala</t>
  </si>
  <si>
    <t>PT-2721</t>
  </si>
  <si>
    <t>PT-2722</t>
  </si>
  <si>
    <t>PT-2723</t>
  </si>
  <si>
    <t>Gbenga Akintola</t>
  </si>
  <si>
    <t>PT-2724</t>
  </si>
  <si>
    <t>PT-2725</t>
  </si>
  <si>
    <t>PT-2726</t>
  </si>
  <si>
    <t>PT-2727</t>
  </si>
  <si>
    <t>PT-2728</t>
  </si>
  <si>
    <t>David Osagie</t>
  </si>
  <si>
    <t>PT-2729</t>
  </si>
  <si>
    <t>PT-2730</t>
  </si>
  <si>
    <t>PT-2731</t>
  </si>
  <si>
    <t>Fatima Martin</t>
  </si>
  <si>
    <t>PT-2732</t>
  </si>
  <si>
    <t>Segun Usman</t>
  </si>
  <si>
    <t>PT-2733</t>
  </si>
  <si>
    <t>Grace Eze</t>
  </si>
  <si>
    <t>PT-2734</t>
  </si>
  <si>
    <t>Rotimi Danjuma</t>
  </si>
  <si>
    <t>PT-2735</t>
  </si>
  <si>
    <t>Chioma Hassan</t>
  </si>
  <si>
    <t>PT-2736</t>
  </si>
  <si>
    <t>PT-2737</t>
  </si>
  <si>
    <t>Esther Davis</t>
  </si>
  <si>
    <t>PT-2738</t>
  </si>
  <si>
    <t>Oluwaseun Usman</t>
  </si>
  <si>
    <t>PT-2739</t>
  </si>
  <si>
    <t>Peter Williams</t>
  </si>
  <si>
    <t>PT-2740</t>
  </si>
  <si>
    <t>PT-2741</t>
  </si>
  <si>
    <t>Uche Dauda</t>
  </si>
  <si>
    <t>PT-2742</t>
  </si>
  <si>
    <t>PT-2743</t>
  </si>
  <si>
    <t>PT-2744</t>
  </si>
  <si>
    <t>Ibrahim Ibrahim</t>
  </si>
  <si>
    <t>PT-2745</t>
  </si>
  <si>
    <t>PT-2746</t>
  </si>
  <si>
    <t>PT-2747</t>
  </si>
  <si>
    <t>PT-2748</t>
  </si>
  <si>
    <t>Ruth Okeke</t>
  </si>
  <si>
    <t>PT-2749</t>
  </si>
  <si>
    <t>Josephine Davis</t>
  </si>
  <si>
    <t>PT-2750</t>
  </si>
  <si>
    <t>PT-2751</t>
  </si>
  <si>
    <t>PT-2752</t>
  </si>
  <si>
    <t>PT-2753</t>
  </si>
  <si>
    <t>PT-2754</t>
  </si>
  <si>
    <t>PT-2755</t>
  </si>
  <si>
    <t>Segun Akintola</t>
  </si>
  <si>
    <t>PT-2756</t>
  </si>
  <si>
    <t>Peter Bello</t>
  </si>
  <si>
    <t>PT-2757</t>
  </si>
  <si>
    <t>PT-2758</t>
  </si>
  <si>
    <t>Halima Bello</t>
  </si>
  <si>
    <t>PT-2759</t>
  </si>
  <si>
    <t>PT-2760</t>
  </si>
  <si>
    <t>Deborah Sule</t>
  </si>
  <si>
    <t>PT-2761</t>
  </si>
  <si>
    <t>Perpetua Okafor</t>
  </si>
  <si>
    <t>PT-2762</t>
  </si>
  <si>
    <t>PT-2763</t>
  </si>
  <si>
    <t>Uche Adebayo</t>
  </si>
  <si>
    <t>PT-2764</t>
  </si>
  <si>
    <t>Chukwudi Hassan</t>
  </si>
  <si>
    <t>PT-2765</t>
  </si>
  <si>
    <t>Emeka Johnson</t>
  </si>
  <si>
    <t>PT-2766</t>
  </si>
  <si>
    <t>David Salami</t>
  </si>
  <si>
    <t>PT-2767</t>
  </si>
  <si>
    <t>PT-2768</t>
  </si>
  <si>
    <t>Emeka Martin</t>
  </si>
  <si>
    <t>PT-2769</t>
  </si>
  <si>
    <t>Kemi Usman</t>
  </si>
  <si>
    <t>PT-2770</t>
  </si>
  <si>
    <t>Ifeoma Usman</t>
  </si>
  <si>
    <t>PT-2771</t>
  </si>
  <si>
    <t>John Lawal</t>
  </si>
  <si>
    <t>PT-2772</t>
  </si>
  <si>
    <t>Rukayat Anderson</t>
  </si>
  <si>
    <t>PT-2773</t>
  </si>
  <si>
    <t>PT-2774</t>
  </si>
  <si>
    <t>James Sule</t>
  </si>
  <si>
    <t>PT-2775</t>
  </si>
  <si>
    <t>PT-2776</t>
  </si>
  <si>
    <t>Mariam Okonkwo</t>
  </si>
  <si>
    <t>PT-2777</t>
  </si>
  <si>
    <t>PT-2778</t>
  </si>
  <si>
    <t>PT-2779</t>
  </si>
  <si>
    <t>PT-2780</t>
  </si>
  <si>
    <t>Uche Johnson</t>
  </si>
  <si>
    <t>PT-2781</t>
  </si>
  <si>
    <t>Biodun Abubakar</t>
  </si>
  <si>
    <t>PT-2782</t>
  </si>
  <si>
    <t>Femi Abubakar</t>
  </si>
  <si>
    <t>PT-2783</t>
  </si>
  <si>
    <t>PT-2784</t>
  </si>
  <si>
    <t>PT-2785</t>
  </si>
  <si>
    <t>Peter Adeyemi</t>
  </si>
  <si>
    <t>PT-2786</t>
  </si>
  <si>
    <t>Funke Ogbonna</t>
  </si>
  <si>
    <t>PT-2787</t>
  </si>
  <si>
    <t>Nneka Oni</t>
  </si>
  <si>
    <t>PT-2788</t>
  </si>
  <si>
    <t>Kunle Taylor</t>
  </si>
  <si>
    <t>PT-2789</t>
  </si>
  <si>
    <t>Rukayat Ajala</t>
  </si>
  <si>
    <t>PT-2790</t>
  </si>
  <si>
    <t>PT-2791</t>
  </si>
  <si>
    <t>PT-2792</t>
  </si>
  <si>
    <t>Ifeanyi Davis</t>
  </si>
  <si>
    <t>PT-2793</t>
  </si>
  <si>
    <t>PT-2794</t>
  </si>
  <si>
    <t>PT-2795</t>
  </si>
  <si>
    <t>PT-2796</t>
  </si>
  <si>
    <t>Miriam Okafor</t>
  </si>
  <si>
    <t>PT-2797</t>
  </si>
  <si>
    <t>Bukola Smith</t>
  </si>
  <si>
    <t>PT-2798</t>
  </si>
  <si>
    <t>Kemi Thompson</t>
  </si>
  <si>
    <t>PT-2799</t>
  </si>
  <si>
    <t>PT-2800</t>
  </si>
  <si>
    <t>Mary Salami</t>
  </si>
  <si>
    <t>PT-2801</t>
  </si>
  <si>
    <t>Nneka Williams</t>
  </si>
  <si>
    <t>PT-2802</t>
  </si>
  <si>
    <t>Miriam Ibrahim</t>
  </si>
  <si>
    <t>PT-2803</t>
  </si>
  <si>
    <t>David Brown</t>
  </si>
  <si>
    <t>PT-2804</t>
  </si>
  <si>
    <t>Bukola Aliyu</t>
  </si>
  <si>
    <t>PT-2805</t>
  </si>
  <si>
    <t>PT-2806</t>
  </si>
  <si>
    <t>PT-2807</t>
  </si>
  <si>
    <t>Yusuf Taylor</t>
  </si>
  <si>
    <t>PT-2808</t>
  </si>
  <si>
    <t>PT-2809</t>
  </si>
  <si>
    <t>Elizabeth Danjuma</t>
  </si>
  <si>
    <t>PT-2810</t>
  </si>
  <si>
    <t>Taiwo Lawal</t>
  </si>
  <si>
    <t>PT-2811</t>
  </si>
  <si>
    <t>PT-2812</t>
  </si>
  <si>
    <t>Mariam Nwosu</t>
  </si>
  <si>
    <t>PT-2813</t>
  </si>
  <si>
    <t>Lydia Smith</t>
  </si>
  <si>
    <t>PT-2814</t>
  </si>
  <si>
    <t>PT-2815</t>
  </si>
  <si>
    <t>PT-2816</t>
  </si>
  <si>
    <t>Josephine Wilson</t>
  </si>
  <si>
    <t>PT-2817</t>
  </si>
  <si>
    <t>PT-2818</t>
  </si>
  <si>
    <t>Abdullahi Adeyemi</t>
  </si>
  <si>
    <t>PT-2819</t>
  </si>
  <si>
    <t>PT-2820</t>
  </si>
  <si>
    <t>PT-2821</t>
  </si>
  <si>
    <t>James Ibrahim</t>
  </si>
  <si>
    <t>PT-2822</t>
  </si>
  <si>
    <t>Femi Salami</t>
  </si>
  <si>
    <t>PT-2823</t>
  </si>
  <si>
    <t>John Thompson</t>
  </si>
  <si>
    <t>PT-2824</t>
  </si>
  <si>
    <t>PT-2825</t>
  </si>
  <si>
    <t>PT-2826</t>
  </si>
  <si>
    <t>Fatima Yakubu</t>
  </si>
  <si>
    <t>PT-2827</t>
  </si>
  <si>
    <t>Oluwaseun Thompson</t>
  </si>
  <si>
    <t>PT-2828</t>
  </si>
  <si>
    <t>Rotimi Usman</t>
  </si>
  <si>
    <t>PT-2829</t>
  </si>
  <si>
    <t>Peter Taylor</t>
  </si>
  <si>
    <t>PT-2830</t>
  </si>
  <si>
    <t>Kemi Salami</t>
  </si>
  <si>
    <t>PT-2831</t>
  </si>
  <si>
    <t>PT-2832</t>
  </si>
  <si>
    <t>PT-2833</t>
  </si>
  <si>
    <t>PT-2834</t>
  </si>
  <si>
    <t>PT-2835</t>
  </si>
  <si>
    <t>PT-2836</t>
  </si>
  <si>
    <t>Ngozi Yakubu</t>
  </si>
  <si>
    <t>PT-2837</t>
  </si>
  <si>
    <t>Nnamdi Ajala</t>
  </si>
  <si>
    <t>PT-2838</t>
  </si>
  <si>
    <t>Grace Osagie</t>
  </si>
  <si>
    <t>PT-2839</t>
  </si>
  <si>
    <t>Tolulope Thompson</t>
  </si>
  <si>
    <t>PT-2840</t>
  </si>
  <si>
    <t>PT-2841</t>
  </si>
  <si>
    <t>PT-2842</t>
  </si>
  <si>
    <t>PT-2843</t>
  </si>
  <si>
    <t>Sarah Abiodun</t>
  </si>
  <si>
    <t>PT-2844</t>
  </si>
  <si>
    <t>Mary Onuoha</t>
  </si>
  <si>
    <t>PT-2845</t>
  </si>
  <si>
    <t>PT-2846</t>
  </si>
  <si>
    <t>Nnamdi Abiodun</t>
  </si>
  <si>
    <t>PT-2847</t>
  </si>
  <si>
    <t>PT-2848</t>
  </si>
  <si>
    <t>Josephine Osagie</t>
  </si>
  <si>
    <t>PT-2849</t>
  </si>
  <si>
    <t>PT-2850</t>
  </si>
  <si>
    <t>Ngozi Salami</t>
  </si>
  <si>
    <t>PT-2851</t>
  </si>
  <si>
    <t>Musa Abiodun</t>
  </si>
  <si>
    <t>PT-2852</t>
  </si>
  <si>
    <t>PT-2853</t>
  </si>
  <si>
    <t>PT-2854</t>
  </si>
  <si>
    <t>PT-2855</t>
  </si>
  <si>
    <t>Nnamdi Ogbonna</t>
  </si>
  <si>
    <t>PT-2856</t>
  </si>
  <si>
    <t>PT-2857</t>
  </si>
  <si>
    <t>PT-2858</t>
  </si>
  <si>
    <t>Emmanuel Moore</t>
  </si>
  <si>
    <t>PT-2859</t>
  </si>
  <si>
    <t>Chioma Williams</t>
  </si>
  <si>
    <t>PT-2860</t>
  </si>
  <si>
    <t>PT-2861</t>
  </si>
  <si>
    <t>Rachel Brown</t>
  </si>
  <si>
    <t>PT-2862</t>
  </si>
  <si>
    <t>Tunde Adeleke</t>
  </si>
  <si>
    <t>PT-2863</t>
  </si>
  <si>
    <t>Bukola Salami</t>
  </si>
  <si>
    <t>PT-2864</t>
  </si>
  <si>
    <t>PT-2865</t>
  </si>
  <si>
    <t>Taiwo Johnson</t>
  </si>
  <si>
    <t>PT-2866</t>
  </si>
  <si>
    <t>PT-2867</t>
  </si>
  <si>
    <t>PT-2868</t>
  </si>
  <si>
    <t>Ngozi Sule</t>
  </si>
  <si>
    <t>PT-2869</t>
  </si>
  <si>
    <t>PT-2870</t>
  </si>
  <si>
    <t>Rebecca Usman</t>
  </si>
  <si>
    <t>PT-2871</t>
  </si>
  <si>
    <t>PT-2872</t>
  </si>
  <si>
    <t>Perpetua Aliyu</t>
  </si>
  <si>
    <t>PT-2873</t>
  </si>
  <si>
    <t>PT-2874</t>
  </si>
  <si>
    <t>Mariam Smith</t>
  </si>
  <si>
    <t>PT-2875</t>
  </si>
  <si>
    <t>PT-2876</t>
  </si>
  <si>
    <t>PT-2877</t>
  </si>
  <si>
    <t>PT-2878</t>
  </si>
  <si>
    <t>John Nwosu</t>
  </si>
  <si>
    <t>PT-2879</t>
  </si>
  <si>
    <t>Adewale Sule</t>
  </si>
  <si>
    <t>PT-2880</t>
  </si>
  <si>
    <t>Gbenga Fashola</t>
  </si>
  <si>
    <t>PT-2881</t>
  </si>
  <si>
    <t>Tunde Dauda</t>
  </si>
  <si>
    <t>PT-2882</t>
  </si>
  <si>
    <t>Ruth Williams</t>
  </si>
  <si>
    <t>PT-2883</t>
  </si>
  <si>
    <t>Joseph Aliyu</t>
  </si>
  <si>
    <t>PT-2884</t>
  </si>
  <si>
    <t>PT-2885</t>
  </si>
  <si>
    <t>Michael Lawal</t>
  </si>
  <si>
    <t>PT-2886</t>
  </si>
  <si>
    <t>PT-2887</t>
  </si>
  <si>
    <t>Adewale Okeke</t>
  </si>
  <si>
    <t>PT-2888</t>
  </si>
  <si>
    <t>Ngozi Okafor</t>
  </si>
  <si>
    <t>PT-2889</t>
  </si>
  <si>
    <t>Samuel Chukwu</t>
  </si>
  <si>
    <t>PT-2890</t>
  </si>
  <si>
    <t>Peter Chukwu</t>
  </si>
  <si>
    <t>PT-2891</t>
  </si>
  <si>
    <t>PT-2892</t>
  </si>
  <si>
    <t>Grace Obi</t>
  </si>
  <si>
    <t>PT-2893</t>
  </si>
  <si>
    <t>Michael Garba</t>
  </si>
  <si>
    <t>PT-2894</t>
  </si>
  <si>
    <t>PT-2895</t>
  </si>
  <si>
    <t>PT-2896</t>
  </si>
  <si>
    <t>Mariam Brown</t>
  </si>
  <si>
    <t>PT-2897</t>
  </si>
  <si>
    <t>Ifeoma Obi</t>
  </si>
  <si>
    <t>PT-2898</t>
  </si>
  <si>
    <t>PT-2899</t>
  </si>
  <si>
    <t>PT-2900</t>
  </si>
  <si>
    <t>PT-2901</t>
  </si>
  <si>
    <t>Emmanuel Salami</t>
  </si>
  <si>
    <t>PT-2902</t>
  </si>
  <si>
    <t>PT-2903</t>
  </si>
  <si>
    <t>Daniel Anderson</t>
  </si>
  <si>
    <t>PT-2904</t>
  </si>
  <si>
    <t>Femi Williams</t>
  </si>
  <si>
    <t>PT-2905</t>
  </si>
  <si>
    <t>Ngozi Davis</t>
  </si>
  <si>
    <t>PT-2906</t>
  </si>
  <si>
    <t>Peter Yakubu</t>
  </si>
  <si>
    <t>PT-2907</t>
  </si>
  <si>
    <t>Nneka Okeke</t>
  </si>
  <si>
    <t>PT-2908</t>
  </si>
  <si>
    <t>PT-2909</t>
  </si>
  <si>
    <t>PT-2910</t>
  </si>
  <si>
    <t>PT-2911</t>
  </si>
  <si>
    <t>David Thompson</t>
  </si>
  <si>
    <t>PT-2912</t>
  </si>
  <si>
    <t>PT-2913</t>
  </si>
  <si>
    <t>PT-2914</t>
  </si>
  <si>
    <t>PT-2915</t>
  </si>
  <si>
    <t>Daniel Obi</t>
  </si>
  <si>
    <t>PT-2916</t>
  </si>
  <si>
    <t>Grace Nwosu</t>
  </si>
  <si>
    <t>PT-2917</t>
  </si>
  <si>
    <t>PT-2918</t>
  </si>
  <si>
    <t>Suleiman Bello</t>
  </si>
  <si>
    <t>PT-2919</t>
  </si>
  <si>
    <t>Funke Ibrahim</t>
  </si>
  <si>
    <t>PT-2920</t>
  </si>
  <si>
    <t>PT-2921</t>
  </si>
  <si>
    <t>Emeka Salami</t>
  </si>
  <si>
    <t>PT-2922</t>
  </si>
  <si>
    <t>Emmanuel Ibrahim</t>
  </si>
  <si>
    <t>PT-2923</t>
  </si>
  <si>
    <t>PT-2924</t>
  </si>
  <si>
    <t>Fatima Musa</t>
  </si>
  <si>
    <t>PT-2925</t>
  </si>
  <si>
    <t>PT-2926</t>
  </si>
  <si>
    <t>PT-2927</t>
  </si>
  <si>
    <t>PT-2928</t>
  </si>
  <si>
    <t>PT-2929</t>
  </si>
  <si>
    <t>Tolulope Anderson</t>
  </si>
  <si>
    <t>PT-2930</t>
  </si>
  <si>
    <t>PT-2931</t>
  </si>
  <si>
    <t>Aisha Ajala</t>
  </si>
  <si>
    <t>PT-2932</t>
  </si>
  <si>
    <t>Emmanuel Akintola</t>
  </si>
  <si>
    <t>PT-2933</t>
  </si>
  <si>
    <t>PT-2934</t>
  </si>
  <si>
    <t>Tolulope Johnson</t>
  </si>
  <si>
    <t>PT-2935</t>
  </si>
  <si>
    <t>PT-2936</t>
  </si>
  <si>
    <t>Michael Johnson</t>
  </si>
  <si>
    <t>PT-2937</t>
  </si>
  <si>
    <t>PT-2938</t>
  </si>
  <si>
    <t>Chioma Okeke</t>
  </si>
  <si>
    <t>PT-2939</t>
  </si>
  <si>
    <t>Rachel Sule</t>
  </si>
  <si>
    <t>PT-2940</t>
  </si>
  <si>
    <t>Esther Johnson</t>
  </si>
  <si>
    <t>PT-2941</t>
  </si>
  <si>
    <t>Fatima Eze</t>
  </si>
  <si>
    <t>PT-2942</t>
  </si>
  <si>
    <t>PT-2943</t>
  </si>
  <si>
    <t>PT-2944</t>
  </si>
  <si>
    <t>Taiwo Garba</t>
  </si>
  <si>
    <t>PT-2945</t>
  </si>
  <si>
    <t>Babatunde Yakubu</t>
  </si>
  <si>
    <t>PT-2946</t>
  </si>
  <si>
    <t>Femi Wilson</t>
  </si>
  <si>
    <t>PT-2947</t>
  </si>
  <si>
    <t>Femi Ogbonna</t>
  </si>
  <si>
    <t>PT-2948</t>
  </si>
  <si>
    <t>Tunde Johnson</t>
  </si>
  <si>
    <t>PT-2949</t>
  </si>
  <si>
    <t>Chioma Bello</t>
  </si>
  <si>
    <t>PT-2950</t>
  </si>
  <si>
    <t>PT-2951</t>
  </si>
  <si>
    <t>PT-2952</t>
  </si>
  <si>
    <t>PT-2953</t>
  </si>
  <si>
    <t>James Akintola</t>
  </si>
  <si>
    <t>PT-2954</t>
  </si>
  <si>
    <t>Ifeanyi Johnson</t>
  </si>
  <si>
    <t>PT-2955</t>
  </si>
  <si>
    <t>Chukwudi Davis</t>
  </si>
  <si>
    <t>PT-2956</t>
  </si>
  <si>
    <t>Elizabeth Okafor</t>
  </si>
  <si>
    <t>PT-2957</t>
  </si>
  <si>
    <t>PT-2958</t>
  </si>
  <si>
    <t>Mary Okonkwo</t>
  </si>
  <si>
    <t>PT-2959</t>
  </si>
  <si>
    <t>Daniel Chukwu</t>
  </si>
  <si>
    <t>PT-2960</t>
  </si>
  <si>
    <t>PT-2961</t>
  </si>
  <si>
    <t>Aisha Fashola</t>
  </si>
  <si>
    <t>PT-2962</t>
  </si>
  <si>
    <t>PT-2963</t>
  </si>
  <si>
    <t>Taiwo Obi</t>
  </si>
  <si>
    <t>PT-2964</t>
  </si>
  <si>
    <t>Uche Williams</t>
  </si>
  <si>
    <t>PT-2965</t>
  </si>
  <si>
    <t>Amaka Lawal</t>
  </si>
  <si>
    <t>PT-2966</t>
  </si>
  <si>
    <t>PT-2967</t>
  </si>
  <si>
    <t>PT-2968</t>
  </si>
  <si>
    <t>PT-2969</t>
  </si>
  <si>
    <t>Ruth Wilson</t>
  </si>
  <si>
    <t>PT-2970</t>
  </si>
  <si>
    <t>David Danjuma</t>
  </si>
  <si>
    <t>PT-2971</t>
  </si>
  <si>
    <t>Lanre Igwe</t>
  </si>
  <si>
    <t>PT-2972</t>
  </si>
  <si>
    <t>PT-2973</t>
  </si>
  <si>
    <t>PT-2974</t>
  </si>
  <si>
    <t>Rebecca Obi</t>
  </si>
  <si>
    <t>PT-2975</t>
  </si>
  <si>
    <t>PT-2976</t>
  </si>
  <si>
    <t>PT-2977</t>
  </si>
  <si>
    <t>Peter Brown</t>
  </si>
  <si>
    <t>PT-2978</t>
  </si>
  <si>
    <t>PT-2979</t>
  </si>
  <si>
    <t>John Chukwu</t>
  </si>
  <si>
    <t>PT-2980</t>
  </si>
  <si>
    <t>Chukwuemeka Fashola</t>
  </si>
  <si>
    <t>PT-2981</t>
  </si>
  <si>
    <t>Hauwa Martin</t>
  </si>
  <si>
    <t>PT-2982</t>
  </si>
  <si>
    <t>PT-2983</t>
  </si>
  <si>
    <t>Adenike Onuoha</t>
  </si>
  <si>
    <t>PT-2984</t>
  </si>
  <si>
    <t>PT-2985</t>
  </si>
  <si>
    <t>Nnamdi Ibrahim</t>
  </si>
  <si>
    <t>PT-2986</t>
  </si>
  <si>
    <t>Lanre Anderson</t>
  </si>
  <si>
    <t>PT-2987</t>
  </si>
  <si>
    <t>Zainab Okonkwo</t>
  </si>
  <si>
    <t>PT-2988</t>
  </si>
  <si>
    <t>Uche Eze</t>
  </si>
  <si>
    <t>PT-2989</t>
  </si>
  <si>
    <t>PT-2990</t>
  </si>
  <si>
    <t>Ibrahim Musa</t>
  </si>
  <si>
    <t>PT-2991</t>
  </si>
  <si>
    <t>Blessing Chukwu</t>
  </si>
  <si>
    <t>PT-2992</t>
  </si>
  <si>
    <t>PT-2993</t>
  </si>
  <si>
    <t>PT-2994</t>
  </si>
  <si>
    <t>PT-2995</t>
  </si>
  <si>
    <t>PT-2996</t>
  </si>
  <si>
    <t>PT-2997</t>
  </si>
  <si>
    <t>Yusuf Johnson</t>
  </si>
  <si>
    <t>PT-2998</t>
  </si>
  <si>
    <t>PT-2999</t>
  </si>
  <si>
    <t>PT-3000</t>
  </si>
  <si>
    <t>Uche Okeke</t>
  </si>
  <si>
    <t>Full_Name_Clean</t>
  </si>
  <si>
    <t>Blood_Type_Clean</t>
  </si>
  <si>
    <t>Old</t>
  </si>
  <si>
    <t>New</t>
  </si>
  <si>
    <t>Self Pay</t>
  </si>
  <si>
    <t>Adenike Adeleke</t>
  </si>
  <si>
    <t>Rukayat Chukwu</t>
  </si>
  <si>
    <t>Lydia Bankole</t>
  </si>
  <si>
    <t>Nnamdi Musa</t>
  </si>
  <si>
    <t>Joseph Okonkwo</t>
  </si>
  <si>
    <t>Adewale Danjuma</t>
  </si>
  <si>
    <t>Ifeanyi Chukwu</t>
  </si>
  <si>
    <t>Rebecca Abubakar</t>
  </si>
  <si>
    <t>James Abubakar</t>
  </si>
  <si>
    <t>Emmanuel Abubakar</t>
  </si>
  <si>
    <t>Oluwaseun Nwosu</t>
  </si>
  <si>
    <t>Sarah Osagie</t>
  </si>
  <si>
    <t>Babatunde Brown</t>
  </si>
  <si>
    <t>Hauwa Danjuma</t>
  </si>
  <si>
    <t>Rukayat Nwosu</t>
  </si>
  <si>
    <t>Taiwo Bankole</t>
  </si>
  <si>
    <t>Taiwo Akintola</t>
  </si>
  <si>
    <t>Suleiman Martin</t>
  </si>
  <si>
    <t>Nnamdi Moore</t>
  </si>
  <si>
    <t>Fatima Adebayo</t>
  </si>
  <si>
    <t>Halima Danjuma</t>
  </si>
  <si>
    <t>Tolulope Martin</t>
  </si>
  <si>
    <t>Blessing Bankole</t>
  </si>
  <si>
    <t>Amaka Bankole</t>
  </si>
  <si>
    <t>Babatunde Lawal</t>
  </si>
  <si>
    <t>Rachel Wilson</t>
  </si>
  <si>
    <t>Grace Lawal</t>
  </si>
  <si>
    <t>Oluwaseun Onuoha</t>
  </si>
  <si>
    <t>Emeka Brown</t>
  </si>
  <si>
    <t>Abdullahi Salami</t>
  </si>
  <si>
    <t>Funke Brown</t>
  </si>
  <si>
    <t>Gbenga Williams</t>
  </si>
  <si>
    <t>Miriam Adeyemi</t>
  </si>
  <si>
    <t>Funke Adebayo</t>
  </si>
  <si>
    <t>Rotimi Lawan</t>
  </si>
  <si>
    <t>Rachel Williams</t>
  </si>
  <si>
    <t>Josephine Adeleke</t>
  </si>
  <si>
    <t>John Davis</t>
  </si>
  <si>
    <t>Josephine Moore</t>
  </si>
  <si>
    <t>Oluwaseun Johnson</t>
  </si>
  <si>
    <t>David Adeleke</t>
  </si>
  <si>
    <t>Kunle Johnson</t>
  </si>
  <si>
    <t>Nnamdi Osagie</t>
  </si>
  <si>
    <t>Blessing Dauda</t>
  </si>
  <si>
    <t>Joseph Okeke</t>
  </si>
  <si>
    <t>Musa Adeyemi</t>
  </si>
  <si>
    <t>Peter Musa</t>
  </si>
  <si>
    <t>Stella Sule</t>
  </si>
  <si>
    <t>Adewale Adeleke</t>
  </si>
  <si>
    <t>Abdullahi Usman</t>
  </si>
  <si>
    <t>Chukwudi Adeyemi</t>
  </si>
  <si>
    <t>Suleiman Abubakar</t>
  </si>
  <si>
    <t>Gbenga Danjuma</t>
  </si>
  <si>
    <t>Miriam Martin</t>
  </si>
  <si>
    <t>Chioma Osagie</t>
  </si>
  <si>
    <t>Zainab Ogbonna</t>
  </si>
  <si>
    <t>Emeka Okafor</t>
  </si>
  <si>
    <t>Musa Brown</t>
  </si>
  <si>
    <t>Gbenga Okafor</t>
  </si>
  <si>
    <t>Halima Williams</t>
  </si>
  <si>
    <t>Bashir Danjuma</t>
  </si>
  <si>
    <t>Musa Akintola</t>
  </si>
  <si>
    <t>Blessing Lawal</t>
  </si>
  <si>
    <t>Nneka Lawal</t>
  </si>
  <si>
    <t>Rebecca Ibrahim</t>
  </si>
  <si>
    <t>Rotimi Sule</t>
  </si>
  <si>
    <t>Mariam Wilson</t>
  </si>
  <si>
    <t>Ifeoma Musa</t>
  </si>
  <si>
    <t>Fatima Fashola</t>
  </si>
  <si>
    <t>Suleiman Okafor</t>
  </si>
  <si>
    <t>Kemi Taylor</t>
  </si>
  <si>
    <t>Perpetua Okonkwo</t>
  </si>
  <si>
    <t>Musa Hassan</t>
  </si>
  <si>
    <t>Abdullahi Thompson</t>
  </si>
  <si>
    <t>Daniel Bello</t>
  </si>
  <si>
    <t>Ngozi Chukwu</t>
  </si>
  <si>
    <t>Samuel Wilson</t>
  </si>
  <si>
    <t>Daniel Hassan</t>
  </si>
  <si>
    <t>James Adeyemi</t>
  </si>
  <si>
    <t>Samuel Yakubu</t>
  </si>
  <si>
    <t>Uche Osagie</t>
  </si>
  <si>
    <t>Sarah Okeke</t>
  </si>
  <si>
    <t>Ruth Sule</t>
  </si>
  <si>
    <t>Rukayat Osagie</t>
  </si>
  <si>
    <t>Joseph Abubakar</t>
  </si>
  <si>
    <t>Mary Okeke</t>
  </si>
  <si>
    <t>Esther Taylor</t>
  </si>
  <si>
    <t>Chukwuemeka Okonkwo</t>
  </si>
  <si>
    <t>Fatima Lawal</t>
  </si>
  <si>
    <t>Kunle Nwosu</t>
  </si>
  <si>
    <t>Mariam Davis</t>
  </si>
  <si>
    <t>Daniel Bankole</t>
  </si>
  <si>
    <t>Daniel Sule</t>
  </si>
  <si>
    <t>Uche Davis</t>
  </si>
  <si>
    <t>Mary Moore</t>
  </si>
  <si>
    <t>Aisha Onuoha</t>
  </si>
  <si>
    <t>Uche Thompson</t>
  </si>
  <si>
    <t>Chukwudi Adeleke</t>
  </si>
  <si>
    <t>Adaeze Okafor</t>
  </si>
  <si>
    <t>James Bankole</t>
  </si>
  <si>
    <t>Lydia Adeyemi</t>
  </si>
  <si>
    <t>Nnamdi Onuoha</t>
  </si>
  <si>
    <t>Oluwaseun Bello</t>
  </si>
  <si>
    <t>Perpetua Davis</t>
  </si>
  <si>
    <t>Biodun Nwosu</t>
  </si>
  <si>
    <t>Sarah Onuoha</t>
  </si>
  <si>
    <t>Mariam Fashola</t>
  </si>
  <si>
    <t>Ruth Ibrahim</t>
  </si>
  <si>
    <t>Adenike Lawal</t>
  </si>
  <si>
    <t>Rukayat Okeke</t>
  </si>
  <si>
    <t>Rukayat Adebayo</t>
  </si>
  <si>
    <t>Sarah Sule</t>
  </si>
  <si>
    <t>Emeka Igwe</t>
  </si>
  <si>
    <t>Bashir Yakubu</t>
  </si>
  <si>
    <t>Emmanuel Obi</t>
  </si>
  <si>
    <t>Michael Abiodun</t>
  </si>
  <si>
    <t>Hauwa Abubakar</t>
  </si>
  <si>
    <t>Daniel Taylor</t>
  </si>
  <si>
    <t>Aisha Brown</t>
  </si>
  <si>
    <t>Gbenga Moore</t>
  </si>
  <si>
    <t>Blessing Taylor</t>
  </si>
  <si>
    <t>Mary Aliyu</t>
  </si>
  <si>
    <t>Rachel Onuoha</t>
  </si>
  <si>
    <t>Mariam Aliyu</t>
  </si>
  <si>
    <t>Peter Johnson</t>
  </si>
  <si>
    <t>Blessing Musa</t>
  </si>
  <si>
    <t>Biodun Thompson</t>
  </si>
  <si>
    <t>Chidi Danjuma</t>
  </si>
  <si>
    <t>Ruth Akintola</t>
  </si>
  <si>
    <t>Perpetua Lawal</t>
  </si>
  <si>
    <t>Aisha Bankole</t>
  </si>
  <si>
    <t>Ifeanyi Onuoha</t>
  </si>
  <si>
    <t>Emeka Lawal</t>
  </si>
  <si>
    <t>Musa Okafor</t>
  </si>
  <si>
    <t>Chidi Wilson</t>
  </si>
  <si>
    <t>Mariam Usman</t>
  </si>
  <si>
    <t>Elizabeth Martin</t>
  </si>
  <si>
    <t>Deborah Eze</t>
  </si>
  <si>
    <t>Fatima Oni</t>
  </si>
  <si>
    <t>Chiamaka Usman</t>
  </si>
  <si>
    <t>Bukola Danjuma</t>
  </si>
  <si>
    <t>Chukwudi Fashola</t>
  </si>
  <si>
    <t>Rebecca Adeleke</t>
  </si>
  <si>
    <t>Chidi Akintola</t>
  </si>
  <si>
    <t>Deborah Okafor</t>
  </si>
  <si>
    <t>Joseph Eze</t>
  </si>
  <si>
    <t>Ifeoma Bankole</t>
  </si>
  <si>
    <t>Peter Davis</t>
  </si>
  <si>
    <t/>
  </si>
  <si>
    <t>Row Labels</t>
  </si>
  <si>
    <t>Grand Total</t>
  </si>
  <si>
    <t>Sum of Billing_Amount</t>
  </si>
  <si>
    <t>Count of Patient_ID</t>
  </si>
  <si>
    <t>Total Patients</t>
  </si>
  <si>
    <t>Total_Billing</t>
  </si>
  <si>
    <t>Jan</t>
  </si>
  <si>
    <t>Feb</t>
  </si>
  <si>
    <t>Mar</t>
  </si>
  <si>
    <t>Apr</t>
  </si>
  <si>
    <t>May</t>
  </si>
  <si>
    <t>Jun</t>
  </si>
  <si>
    <t>Jul</t>
  </si>
  <si>
    <t>Aug</t>
  </si>
  <si>
    <t>Sept</t>
  </si>
  <si>
    <t>Oct</t>
  </si>
  <si>
    <t>Nov</t>
  </si>
  <si>
    <t>Dec</t>
  </si>
  <si>
    <t>Average of Length_of_Stay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</si>
</sst>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dd/mm/yyyy;@"/>
    <numFmt numFmtId="165" formatCode="_-* #,##0_-;\-* #,##0_-;_-* &quot;-&quot;??_-;_-@_-"/>
  </numFmts>
  <fonts count="6" x14ac:knownFonts="1">
    <font>
      <sz val="11"/>
      <color theme="1"/>
      <name val="Calibri"/>
      <family val="2"/>
      <charset val="1"/>
    </font>
    <font>
      <b/>
      <sz val="11"/>
      <color rgb="FFFFFFFF"/>
      <name val="Calibri"/>
      <charset val="1"/>
    </font>
    <font>
      <sz val="10"/>
      <name val="Calibri"/>
      <charset val="1"/>
    </font>
    <font>
      <sz val="10"/>
      <name val="Calibri"/>
      <family val="2"/>
    </font>
    <font>
      <sz val="11"/>
      <color theme="1"/>
      <name val="Calibri"/>
      <family val="2"/>
      <charset val="1"/>
    </font>
    <font>
      <b/>
      <sz val="11"/>
      <color rgb="FFFFFFFF"/>
      <name val="Calibri"/>
      <family val="2"/>
      <charset val="1"/>
    </font>
  </fonts>
  <fills count="7">
    <fill>
      <patternFill patternType="none"/>
    </fill>
    <fill>
      <patternFill patternType="gray125"/>
    </fill>
    <fill>
      <patternFill patternType="solid">
        <fgColor rgb="FF1E3A5F"/>
        <bgColor rgb="FF333399"/>
      </patternFill>
    </fill>
    <fill>
      <patternFill patternType="solid">
        <fgColor rgb="FFF0F4FA"/>
        <bgColor rgb="FFEBF4F8"/>
      </patternFill>
    </fill>
    <fill>
      <patternFill patternType="solid">
        <fgColor rgb="FFFFF2CC"/>
        <bgColor rgb="FFFFE0E0"/>
      </patternFill>
    </fill>
    <fill>
      <patternFill patternType="solid">
        <fgColor rgb="FFFFE0E0"/>
        <bgColor rgb="FFFFF2CC"/>
      </patternFill>
    </fill>
    <fill>
      <patternFill patternType="solid">
        <fgColor theme="1"/>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s>
  <cellStyleXfs count="2">
    <xf numFmtId="0" fontId="0" fillId="0" borderId="0"/>
    <xf numFmtId="43" fontId="4" fillId="0" borderId="0" applyFont="0" applyFill="0" applyBorder="0" applyAlignment="0" applyProtection="0"/>
  </cellStyleXfs>
  <cellXfs count="36">
    <xf numFmtId="0" fontId="0" fillId="0" borderId="0" xfId="0"/>
    <xf numFmtId="0" fontId="2" fillId="3" borderId="1" xfId="0" applyFont="1" applyFill="1" applyBorder="1" applyAlignment="1">
      <alignment horizontal="left" vertical="center"/>
    </xf>
    <xf numFmtId="0" fontId="2" fillId="4" borderId="1" xfId="0" applyFont="1" applyFill="1" applyBorder="1" applyAlignment="1">
      <alignment horizontal="left" vertical="center"/>
    </xf>
    <xf numFmtId="0" fontId="2" fillId="0" borderId="1" xfId="0" applyFont="1" applyBorder="1" applyAlignment="1">
      <alignment horizontal="left" vertical="center"/>
    </xf>
    <xf numFmtId="0" fontId="2" fillId="5" borderId="1" xfId="0" applyFont="1" applyFill="1" applyBorder="1" applyAlignment="1">
      <alignment horizontal="left" vertical="center"/>
    </xf>
    <xf numFmtId="0" fontId="3" fillId="0" borderId="1" xfId="0" applyFont="1" applyBorder="1" applyAlignment="1">
      <alignment horizontal="left" vertical="center"/>
    </xf>
    <xf numFmtId="164" fontId="2" fillId="4" borderId="1" xfId="0" applyNumberFormat="1" applyFont="1" applyFill="1" applyBorder="1" applyAlignment="1">
      <alignment horizontal="left" vertical="center"/>
    </xf>
    <xf numFmtId="164" fontId="2" fillId="3" borderId="1" xfId="0" applyNumberFormat="1" applyFont="1" applyFill="1" applyBorder="1" applyAlignment="1">
      <alignment horizontal="left" vertical="center"/>
    </xf>
    <xf numFmtId="164" fontId="2" fillId="0" borderId="1" xfId="0" applyNumberFormat="1" applyFont="1" applyBorder="1" applyAlignment="1">
      <alignment horizontal="left" vertical="center"/>
    </xf>
    <xf numFmtId="164" fontId="0" fillId="0" borderId="0" xfId="0" applyNumberFormat="1"/>
    <xf numFmtId="164" fontId="2" fillId="5" borderId="1" xfId="0" applyNumberFormat="1" applyFont="1" applyFill="1" applyBorder="1" applyAlignment="1">
      <alignment horizontal="left" vertical="center"/>
    </xf>
    <xf numFmtId="0" fontId="3" fillId="3" borderId="1" xfId="0" applyFont="1" applyFill="1" applyBorder="1" applyAlignment="1">
      <alignment horizontal="left" vertical="center"/>
    </xf>
    <xf numFmtId="0" fontId="3" fillId="3" borderId="0" xfId="0" applyFont="1" applyFill="1" applyAlignment="1">
      <alignment horizontal="left" vertical="center"/>
    </xf>
    <xf numFmtId="0" fontId="3" fillId="3" borderId="2" xfId="0" applyFont="1" applyFill="1" applyBorder="1" applyAlignment="1">
      <alignment horizontal="left" vertical="center"/>
    </xf>
    <xf numFmtId="1" fontId="0" fillId="0" borderId="0" xfId="0" applyNumberFormat="1" applyAlignment="1">
      <alignment horizontal="left"/>
    </xf>
    <xf numFmtId="0" fontId="2" fillId="3" borderId="3" xfId="0" applyFont="1" applyFill="1" applyBorder="1" applyAlignment="1">
      <alignment horizontal="left" vertical="center"/>
    </xf>
    <xf numFmtId="0" fontId="2" fillId="0" borderId="3" xfId="0" applyFont="1" applyBorder="1" applyAlignment="1">
      <alignment horizontal="left" vertical="center"/>
    </xf>
    <xf numFmtId="0" fontId="2" fillId="3" borderId="4" xfId="0" applyFont="1" applyFill="1" applyBorder="1" applyAlignment="1">
      <alignment horizontal="left" vertical="center"/>
    </xf>
    <xf numFmtId="0" fontId="2" fillId="0" borderId="4" xfId="0" applyFont="1" applyBorder="1" applyAlignment="1">
      <alignment horizontal="left"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1" fontId="1" fillId="2" borderId="6" xfId="0" applyNumberFormat="1" applyFont="1" applyFill="1" applyBorder="1" applyAlignment="1">
      <alignment horizontal="left" vertical="center"/>
    </xf>
    <xf numFmtId="164" fontId="1" fillId="2" borderId="6" xfId="0" applyNumberFormat="1" applyFont="1" applyFill="1" applyBorder="1" applyAlignment="1">
      <alignment horizontal="center" vertical="center"/>
    </xf>
    <xf numFmtId="0" fontId="1" fillId="2" borderId="7" xfId="0" applyFont="1" applyFill="1" applyBorder="1" applyAlignment="1">
      <alignment horizontal="center" vertical="center"/>
    </xf>
    <xf numFmtId="0" fontId="0" fillId="0" borderId="0" xfId="0" pivotButton="1"/>
    <xf numFmtId="0" fontId="0" fillId="0" borderId="0" xfId="0" applyAlignment="1">
      <alignment horizontal="left"/>
    </xf>
    <xf numFmtId="43" fontId="0" fillId="0" borderId="0" xfId="0" applyNumberFormat="1"/>
    <xf numFmtId="165" fontId="0" fillId="0" borderId="0" xfId="0" applyNumberFormat="1"/>
    <xf numFmtId="0" fontId="5" fillId="2" borderId="6" xfId="0" applyFont="1" applyFill="1" applyBorder="1" applyAlignment="1">
      <alignment horizontal="center" vertical="center"/>
    </xf>
    <xf numFmtId="2" fontId="2" fillId="3" borderId="0" xfId="0" applyNumberFormat="1" applyFont="1" applyFill="1" applyAlignment="1">
      <alignment horizontal="left" vertical="center"/>
    </xf>
    <xf numFmtId="2" fontId="2" fillId="0" borderId="0" xfId="0" applyNumberFormat="1" applyFont="1" applyAlignment="1">
      <alignment horizontal="left" vertical="center"/>
    </xf>
    <xf numFmtId="0" fontId="0" fillId="6" borderId="0" xfId="0" applyFill="1"/>
    <xf numFmtId="10" fontId="0" fillId="0" borderId="0" xfId="0" applyNumberFormat="1"/>
    <xf numFmtId="43" fontId="0" fillId="0" borderId="0" xfId="1" applyFont="1"/>
    <xf numFmtId="165" fontId="0" fillId="0" borderId="0" xfId="1" applyNumberFormat="1" applyFont="1"/>
    <xf numFmtId="0" fontId="0" fillId="6" borderId="0" xfId="0" applyFill="1" applyAlignment="1">
      <alignment horizontal="center"/>
    </xf>
  </cellXfs>
  <cellStyles count="2">
    <cellStyle name="Comma" xfId="1" builtinId="3"/>
    <cellStyle name="Normal" xfId="0" builtinId="0"/>
  </cellStyles>
  <dxfs count="200">
    <dxf>
      <numFmt numFmtId="35" formatCode="_-* #,##0.00_-;\-* #,##0.00_-;_-* &quot;-&quot;??_-;_-@_-"/>
    </dxf>
    <dxf>
      <numFmt numFmtId="165" formatCode="_-* #,##0_-;\-* #,##0_-;_-* &quot;-&quot;??_-;_-@_-"/>
    </dxf>
    <dxf>
      <numFmt numFmtId="165" formatCode="_-* #,##0_-;\-* #,##0_-;_-* &quot;-&quot;??_-;_-@_-"/>
    </dxf>
    <dxf>
      <numFmt numFmtId="35" formatCode="_-* #,##0.00_-;\-* #,##0.00_-;_-* &quot;-&quot;??_-;_-@_-"/>
    </dxf>
    <dxf>
      <numFmt numFmtId="14" formatCode="0.00%"/>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165" formatCode="_-* #,##0_-;\-* #,##0_-;_-* &quot;-&quot;??_-;_-@_-"/>
    </dxf>
    <dxf>
      <numFmt numFmtId="165" formatCode="_-* #,##0_-;\-* #,##0_-;_-* &quot;-&quot;??_-;_-@_-"/>
    </dxf>
    <dxf>
      <numFmt numFmtId="35" formatCode="_-* #,##0.00_-;\-* #,##0.00_-;_-* &quot;-&quot;??_-;_-@_-"/>
    </dxf>
    <dxf>
      <numFmt numFmtId="35" formatCode="_-* #,##0.00_-;\-* #,##0.00_-;_-* &quot;-&quot;??_-;_-@_-"/>
    </dxf>
    <dxf>
      <numFmt numFmtId="165" formatCode="_-* #,##0_-;\-* #,##0_-;_-* &quot;-&quot;??_-;_-@_-"/>
    </dxf>
    <dxf>
      <numFmt numFmtId="165" formatCode="_-* #,##0_-;\-* #,##0_-;_-* &quot;-&quot;??_-;_-@_-"/>
    </dxf>
    <dxf>
      <numFmt numFmtId="35" formatCode="_-* #,##0.00_-;\-* #,##0.00_-;_-* &quot;-&quot;??_-;_-@_-"/>
    </dxf>
    <dxf>
      <numFmt numFmtId="14" formatCode="0.00%"/>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165" formatCode="_-* #,##0_-;\-* #,##0_-;_-* &quot;-&quot;??_-;_-@_-"/>
    </dxf>
    <dxf>
      <numFmt numFmtId="165" formatCode="_-* #,##0_-;\-* #,##0_-;_-* &quot;-&quot;??_-;_-@_-"/>
    </dxf>
    <dxf>
      <numFmt numFmtId="35" formatCode="_-* #,##0.00_-;\-* #,##0.00_-;_-* &quot;-&quot;??_-;_-@_-"/>
    </dxf>
    <dxf>
      <numFmt numFmtId="35" formatCode="_-* #,##0.00_-;\-* #,##0.00_-;_-* &quot;-&quot;??_-;_-@_-"/>
    </dxf>
    <dxf>
      <numFmt numFmtId="165" formatCode="_-* #,##0_-;\-* #,##0_-;_-* &quot;-&quot;??_-;_-@_-"/>
    </dxf>
    <dxf>
      <numFmt numFmtId="165" formatCode="_-* #,##0_-;\-* #,##0_-;_-* &quot;-&quot;??_-;_-@_-"/>
    </dxf>
    <dxf>
      <numFmt numFmtId="35" formatCode="_-* #,##0.00_-;\-* #,##0.00_-;_-* &quot;-&quot;??_-;_-@_-"/>
    </dxf>
    <dxf>
      <numFmt numFmtId="14" formatCode="0.00%"/>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165" formatCode="_-* #,##0_-;\-* #,##0_-;_-* &quot;-&quot;??_-;_-@_-"/>
    </dxf>
    <dxf>
      <numFmt numFmtId="165" formatCode="_-* #,##0_-;\-* #,##0_-;_-* &quot;-&quot;??_-;_-@_-"/>
    </dxf>
    <dxf>
      <numFmt numFmtId="35" formatCode="_-* #,##0.00_-;\-* #,##0.00_-;_-* &quot;-&quot;??_-;_-@_-"/>
    </dxf>
    <dxf>
      <numFmt numFmtId="35" formatCode="_-* #,##0.00_-;\-* #,##0.00_-;_-* &quot;-&quot;??_-;_-@_-"/>
    </dxf>
    <dxf>
      <numFmt numFmtId="165" formatCode="_-* #,##0_-;\-* #,##0_-;_-* &quot;-&quot;??_-;_-@_-"/>
    </dxf>
    <dxf>
      <numFmt numFmtId="165" formatCode="_-* #,##0_-;\-* #,##0_-;_-* &quot;-&quot;??_-;_-@_-"/>
    </dxf>
    <dxf>
      <numFmt numFmtId="35" formatCode="_-* #,##0.00_-;\-* #,##0.00_-;_-* &quot;-&quot;??_-;_-@_-"/>
    </dxf>
    <dxf>
      <numFmt numFmtId="14" formatCode="0.00%"/>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165" formatCode="_-* #,##0_-;\-* #,##0_-;_-* &quot;-&quot;??_-;_-@_-"/>
    </dxf>
    <dxf>
      <numFmt numFmtId="165" formatCode="_-* #,##0_-;\-* #,##0_-;_-* &quot;-&quot;??_-;_-@_-"/>
    </dxf>
    <dxf>
      <numFmt numFmtId="35" formatCode="_-* #,##0.00_-;\-* #,##0.00_-;_-* &quot;-&quot;??_-;_-@_-"/>
    </dxf>
    <dxf>
      <numFmt numFmtId="35" formatCode="_-* #,##0.00_-;\-* #,##0.00_-;_-* &quot;-&quot;??_-;_-@_-"/>
    </dxf>
    <dxf>
      <numFmt numFmtId="165" formatCode="_-* #,##0_-;\-* #,##0_-;_-* &quot;-&quot;??_-;_-@_-"/>
    </dxf>
    <dxf>
      <numFmt numFmtId="165" formatCode="_-* #,##0_-;\-* #,##0_-;_-* &quot;-&quot;??_-;_-@_-"/>
    </dxf>
    <dxf>
      <numFmt numFmtId="35" formatCode="_-* #,##0.00_-;\-* #,##0.00_-;_-* &quot;-&quot;??_-;_-@_-"/>
    </dxf>
    <dxf>
      <numFmt numFmtId="14" formatCode="0.00%"/>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165" formatCode="_-* #,##0_-;\-* #,##0_-;_-* &quot;-&quot;??_-;_-@_-"/>
    </dxf>
    <dxf>
      <numFmt numFmtId="165" formatCode="_-* #,##0_-;\-* #,##0_-;_-* &quot;-&quot;??_-;_-@_-"/>
    </dxf>
    <dxf>
      <numFmt numFmtId="35" formatCode="_-* #,##0.00_-;\-* #,##0.00_-;_-* &quot;-&quot;??_-;_-@_-"/>
    </dxf>
    <dxf>
      <numFmt numFmtId="35" formatCode="_-* #,##0.00_-;\-* #,##0.00_-;_-* &quot;-&quot;??_-;_-@_-"/>
    </dxf>
    <dxf>
      <numFmt numFmtId="165" formatCode="_-* #,##0_-;\-* #,##0_-;_-* &quot;-&quot;??_-;_-@_-"/>
    </dxf>
    <dxf>
      <numFmt numFmtId="165" formatCode="_-* #,##0_-;\-* #,##0_-;_-* &quot;-&quot;??_-;_-@_-"/>
    </dxf>
    <dxf>
      <numFmt numFmtId="35" formatCode="_-* #,##0.00_-;\-* #,##0.00_-;_-* &quot;-&quot;??_-;_-@_-"/>
    </dxf>
    <dxf>
      <numFmt numFmtId="14" formatCode="0.00%"/>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165" formatCode="_-* #,##0_-;\-* #,##0_-;_-* &quot;-&quot;??_-;_-@_-"/>
    </dxf>
    <dxf>
      <numFmt numFmtId="165" formatCode="_-* #,##0_-;\-* #,##0_-;_-* &quot;-&quot;??_-;_-@_-"/>
    </dxf>
    <dxf>
      <numFmt numFmtId="35" formatCode="_-* #,##0.00_-;\-* #,##0.00_-;_-* &quot;-&quot;??_-;_-@_-"/>
    </dxf>
    <dxf>
      <numFmt numFmtId="35" formatCode="_-* #,##0.00_-;\-* #,##0.00_-;_-* &quot;-&quot;??_-;_-@_-"/>
    </dxf>
    <dxf>
      <numFmt numFmtId="165" formatCode="_-* #,##0_-;\-* #,##0_-;_-* &quot;-&quot;??_-;_-@_-"/>
    </dxf>
    <dxf>
      <numFmt numFmtId="165" formatCode="_-* #,##0_-;\-* #,##0_-;_-* &quot;-&quot;??_-;_-@_-"/>
    </dxf>
    <dxf>
      <numFmt numFmtId="35" formatCode="_-* #,##0.00_-;\-* #,##0.00_-;_-* &quot;-&quot;??_-;_-@_-"/>
    </dxf>
    <dxf>
      <numFmt numFmtId="14" formatCode="0.00%"/>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165" formatCode="_-* #,##0_-;\-* #,##0_-;_-* &quot;-&quot;??_-;_-@_-"/>
    </dxf>
    <dxf>
      <numFmt numFmtId="165" formatCode="_-* #,##0_-;\-* #,##0_-;_-* &quot;-&quot;??_-;_-@_-"/>
    </dxf>
    <dxf>
      <numFmt numFmtId="35" formatCode="_-* #,##0.00_-;\-* #,##0.00_-;_-* &quot;-&quot;??_-;_-@_-"/>
    </dxf>
    <dxf>
      <numFmt numFmtId="35" formatCode="_-* #,##0.00_-;\-* #,##0.00_-;_-* &quot;-&quot;??_-;_-@_-"/>
    </dxf>
    <dxf>
      <numFmt numFmtId="165" formatCode="_-* #,##0_-;\-* #,##0_-;_-* &quot;-&quot;??_-;_-@_-"/>
    </dxf>
    <dxf>
      <numFmt numFmtId="165" formatCode="_-* #,##0_-;\-* #,##0_-;_-* &quot;-&quot;??_-;_-@_-"/>
    </dxf>
    <dxf>
      <numFmt numFmtId="35" formatCode="_-* #,##0.00_-;\-* #,##0.00_-;_-* &quot;-&quot;??_-;_-@_-"/>
    </dxf>
    <dxf>
      <numFmt numFmtId="14" formatCode="0.00%"/>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165" formatCode="_-* #,##0_-;\-* #,##0_-;_-* &quot;-&quot;??_-;_-@_-"/>
    </dxf>
    <dxf>
      <numFmt numFmtId="165" formatCode="_-* #,##0_-;\-* #,##0_-;_-* &quot;-&quot;??_-;_-@_-"/>
    </dxf>
    <dxf>
      <numFmt numFmtId="35" formatCode="_-* #,##0.00_-;\-* #,##0.00_-;_-* &quot;-&quot;??_-;_-@_-"/>
    </dxf>
    <dxf>
      <numFmt numFmtId="35" formatCode="_-* #,##0.00_-;\-* #,##0.00_-;_-* &quot;-&quot;??_-;_-@_-"/>
    </dxf>
    <dxf>
      <numFmt numFmtId="165" formatCode="_-* #,##0_-;\-* #,##0_-;_-* &quot;-&quot;??_-;_-@_-"/>
    </dxf>
    <dxf>
      <numFmt numFmtId="165" formatCode="_-* #,##0_-;\-* #,##0_-;_-* &quot;-&quot;??_-;_-@_-"/>
    </dxf>
    <dxf>
      <numFmt numFmtId="35" formatCode="_-* #,##0.00_-;\-* #,##0.00_-;_-* &quot;-&quot;??_-;_-@_-"/>
    </dxf>
    <dxf>
      <numFmt numFmtId="14" formatCode="0.00%"/>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165" formatCode="_-* #,##0_-;\-* #,##0_-;_-* &quot;-&quot;??_-;_-@_-"/>
    </dxf>
    <dxf>
      <numFmt numFmtId="165" formatCode="_-* #,##0_-;\-* #,##0_-;_-* &quot;-&quot;??_-;_-@_-"/>
    </dxf>
    <dxf>
      <numFmt numFmtId="35" formatCode="_-* #,##0.00_-;\-* #,##0.00_-;_-* &quot;-&quot;??_-;_-@_-"/>
    </dxf>
    <dxf>
      <numFmt numFmtId="35" formatCode="_-* #,##0.00_-;\-* #,##0.00_-;_-* &quot;-&quot;??_-;_-@_-"/>
    </dxf>
    <dxf>
      <numFmt numFmtId="165" formatCode="_-* #,##0_-;\-* #,##0_-;_-* &quot;-&quot;??_-;_-@_-"/>
    </dxf>
    <dxf>
      <numFmt numFmtId="165" formatCode="_-* #,##0_-;\-* #,##0_-;_-* &quot;-&quot;??_-;_-@_-"/>
    </dxf>
    <dxf>
      <numFmt numFmtId="35" formatCode="_-* #,##0.00_-;\-* #,##0.00_-;_-* &quot;-&quot;??_-;_-@_-"/>
    </dxf>
    <dxf>
      <numFmt numFmtId="14" formatCode="0.00%"/>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165" formatCode="_-* #,##0_-;\-* #,##0_-;_-* &quot;-&quot;??_-;_-@_-"/>
    </dxf>
    <dxf>
      <numFmt numFmtId="165" formatCode="_-* #,##0_-;\-* #,##0_-;_-* &quot;-&quot;??_-;_-@_-"/>
    </dxf>
    <dxf>
      <numFmt numFmtId="35" formatCode="_-* #,##0.00_-;\-* #,##0.00_-;_-* &quot;-&quot;??_-;_-@_-"/>
    </dxf>
    <dxf>
      <numFmt numFmtId="35" formatCode="_-* #,##0.00_-;\-* #,##0.00_-;_-* &quot;-&quot;??_-;_-@_-"/>
    </dxf>
    <dxf>
      <numFmt numFmtId="165" formatCode="_-* #,##0_-;\-* #,##0_-;_-* &quot;-&quot;??_-;_-@_-"/>
    </dxf>
    <dxf>
      <numFmt numFmtId="165" formatCode="_-* #,##0_-;\-* #,##0_-;_-* &quot;-&quot;??_-;_-@_-"/>
    </dxf>
    <dxf>
      <numFmt numFmtId="35" formatCode="_-* #,##0.00_-;\-* #,##0.00_-;_-* &quot;-&quot;??_-;_-@_-"/>
    </dxf>
    <dxf>
      <numFmt numFmtId="14" formatCode="0.00%"/>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165" formatCode="_-* #,##0_-;\-* #,##0_-;_-* &quot;-&quot;??_-;_-@_-"/>
    </dxf>
    <dxf>
      <numFmt numFmtId="165" formatCode="_-* #,##0_-;\-* #,##0_-;_-* &quot;-&quot;??_-;_-@_-"/>
    </dxf>
    <dxf>
      <numFmt numFmtId="35" formatCode="_-* #,##0.00_-;\-* #,##0.00_-;_-* &quot;-&quot;??_-;_-@_-"/>
    </dxf>
    <dxf>
      <numFmt numFmtId="35" formatCode="_-* #,##0.00_-;\-* #,##0.00_-;_-* &quot;-&quot;??_-;_-@_-"/>
    </dxf>
    <dxf>
      <numFmt numFmtId="165" formatCode="_-* #,##0_-;\-* #,##0_-;_-* &quot;-&quot;??_-;_-@_-"/>
    </dxf>
    <dxf>
      <numFmt numFmtId="165" formatCode="_-* #,##0_-;\-* #,##0_-;_-* &quot;-&quot;??_-;_-@_-"/>
    </dxf>
    <dxf>
      <numFmt numFmtId="35" formatCode="_-* #,##0.00_-;\-* #,##0.00_-;_-* &quot;-&quot;??_-;_-@_-"/>
    </dxf>
    <dxf>
      <numFmt numFmtId="14" formatCode="0.00%"/>
    </dxf>
    <dxf>
      <numFmt numFmtId="35" formatCode="_-* #,##0.00_-;\-* #,##0.00_-;_-* &quot;-&quot;??_-;_-@_-"/>
    </dxf>
    <dxf>
      <numFmt numFmtId="35" formatCode="_-* #,##0.00_-;\-* #,##0.00_-;_-* &quot;-&quot;??_-;_-@_-"/>
    </dxf>
    <dxf>
      <numFmt numFmtId="35" formatCode="_-* #,##0.00_-;\-* #,##0.00_-;_-* &quot;-&quot;??_-;_-@_-"/>
    </dxf>
    <dxf>
      <numFmt numFmtId="165" formatCode="_-* #,##0_-;\-* #,##0_-;_-* &quot;-&quot;??_-;_-@_-"/>
    </dxf>
    <dxf>
      <numFmt numFmtId="35" formatCode="_-* #,##0.00_-;\-* #,##0.00_-;_-* &quot;-&quot;??_-;_-@_-"/>
    </dxf>
    <dxf>
      <numFmt numFmtId="165" formatCode="_-* #,##0_-;\-* #,##0_-;_-* &quot;-&quot;??_-;_-@_-"/>
    </dxf>
    <dxf>
      <numFmt numFmtId="165" formatCode="_-* #,##0_-;\-* #,##0_-;_-* &quot;-&quot;??_-;_-@_-"/>
    </dxf>
    <dxf>
      <numFmt numFmtId="35" formatCode="_-* #,##0.00_-;\-* #,##0.00_-;_-* &quot;-&quot;??_-;_-@_-"/>
    </dxf>
    <dxf>
      <font>
        <color rgb="FF9C0006"/>
      </font>
      <fill>
        <patternFill>
          <bgColor rgb="FFFFC7CE"/>
        </patternFill>
      </fill>
    </dxf>
    <dxf>
      <font>
        <b val="0"/>
        <i val="0"/>
        <strike val="0"/>
        <condense val="0"/>
        <extend val="0"/>
        <outline val="0"/>
        <shadow val="0"/>
        <u val="none"/>
        <vertAlign val="baseline"/>
        <sz val="10"/>
        <color auto="1"/>
        <name val="Calibri"/>
        <charset val="1"/>
        <scheme val="none"/>
      </font>
      <alignment horizontal="left" vertical="center"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auto="1"/>
        <name val="Calibri"/>
        <charset val="1"/>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charset val="1"/>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charset val="1"/>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charset val="1"/>
        <scheme val="none"/>
      </font>
      <alignment horizontal="left"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Calibri"/>
        <charset val="1"/>
        <scheme val="none"/>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0"/>
        <color auto="1"/>
        <name val="Calibri"/>
        <charset val="1"/>
        <scheme val="none"/>
      </font>
      <alignment horizontal="left" vertical="center" textRotation="0" wrapText="0"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10"/>
        <color auto="1"/>
        <name val="Calibri"/>
        <charset val="1"/>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charset val="1"/>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charset val="1"/>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charset val="1"/>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charset val="1"/>
        <scheme val="none"/>
      </font>
      <numFmt numFmtId="164" formatCode="dd/mm/yyyy;@"/>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charset val="1"/>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charset val="1"/>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charset val="1"/>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charset val="1"/>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charset val="1"/>
        <scheme val="none"/>
      </font>
      <alignment horizontal="left"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auto="1"/>
        <name val="Calibri"/>
        <charset val="1"/>
        <scheme val="none"/>
      </font>
      <alignment horizontal="left"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left style="thin">
          <color auto="1"/>
        </left>
        <right style="thin">
          <color auto="1"/>
        </right>
        <top style="thin">
          <color auto="1"/>
        </top>
      </border>
    </dxf>
    <dxf>
      <font>
        <b val="0"/>
        <i val="0"/>
        <strike val="0"/>
        <condense val="0"/>
        <extend val="0"/>
        <outline val="0"/>
        <shadow val="0"/>
        <u val="none"/>
        <vertAlign val="baseline"/>
        <sz val="10"/>
        <color auto="1"/>
        <name val="Calibri"/>
        <charset val="1"/>
        <scheme val="none"/>
      </font>
      <alignment horizontal="left"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rgb="FFFFFFFF"/>
        <name val="Calibri"/>
        <charset val="1"/>
        <scheme val="none"/>
      </font>
      <fill>
        <patternFill patternType="solid">
          <fgColor rgb="FF333399"/>
          <bgColor rgb="FF1E3A5F"/>
        </patternFill>
      </fill>
      <alignment horizontal="center" vertical="center" textRotation="0" wrapText="0" indent="0" justifyLastLine="0" shrinkToFit="0" readingOrder="0"/>
      <border diagonalUp="0" diagonalDown="0" outline="0">
        <left style="thin">
          <color auto="1"/>
        </left>
        <right style="thin">
          <color auto="1"/>
        </right>
        <top/>
        <bottom/>
      </border>
    </dxf>
    <dxf>
      <numFmt numFmtId="14" formatCode="0.00%"/>
    </dxf>
    <dxf>
      <numFmt numFmtId="35" formatCode="_-* #,##0.00_-;\-* #,##0.00_-;_-* &quot;-&quot;??_-;_-@_-"/>
    </dxf>
    <dxf>
      <numFmt numFmtId="35" formatCode="_-* #,##0.00_-;\-* #,##0.00_-;_-* &quot;-&quot;??_-;_-@_-"/>
    </dxf>
    <dxf>
      <numFmt numFmtId="35" formatCode="_-* #,##0.00_-;\-* #,##0.00_-;_-* &quot;-&quot;??_-;_-@_-"/>
    </dxf>
    <dxf>
      <numFmt numFmtId="165" formatCode="_-* #,##0_-;\-* #,##0_-;_-* &quot;-&quot;??_-;_-@_-"/>
    </dxf>
    <dxf>
      <numFmt numFmtId="165" formatCode="_-* #,##0_-;\-* #,##0_-;_-* &quot;-&quot;??_-;_-@_-"/>
    </dxf>
    <dxf>
      <numFmt numFmtId="35" formatCode="_-* #,##0.00_-;\-* #,##0.00_-;_-* &quot;-&quot;??_-;_-@_-"/>
    </dxf>
    <dxf>
      <numFmt numFmtId="165" formatCode="_-* #,##0_-;\-* #,##0_-;_-* &quot;-&quot;??_-;_-@_-"/>
    </dxf>
    <dxf>
      <numFmt numFmtId="35" formatCode="_-* #,##0.00_-;\-* #,##0.00_-;_-* &quot;-&quot;??_-;_-@_-"/>
    </dxf>
    <dxf>
      <numFmt numFmtId="165" formatCode="_-* #,##0_-;\-* #,##0_-;_-* &quot;-&quot;??_-;_-@_-"/>
    </dxf>
    <dxf>
      <numFmt numFmtId="165" formatCode="_-* #,##0_-;\-* #,##0_-;_-* &quot;-&quot;??_-;_-@_-"/>
    </dxf>
    <dxf>
      <numFmt numFmtId="35" formatCode="_-* #,##0.00_-;\-* #,##0.00_-;_-* &quot;-&quot;??_-;_-@_-"/>
    </dxf>
    <dxf>
      <numFmt numFmtId="35" formatCode="_-* #,##0.00_-;\-* #,##0.00_-;_-* &quot;-&quot;??_-;_-@_-"/>
    </dxf>
    <dxf>
      <font>
        <sz val="11"/>
        <color rgb="FFF5A623"/>
      </font>
      <border diagonalUp="0" diagonalDown="0">
        <left/>
        <right/>
        <top/>
        <bottom/>
        <vertical/>
        <horizontal/>
      </border>
    </dxf>
    <dxf>
      <font>
        <sz val="11"/>
        <color theme="1"/>
        <name val="Calibri"/>
        <family val="2"/>
        <scheme val="minor"/>
      </font>
      <fill>
        <patternFill>
          <bgColor rgb="FF22384E"/>
        </patternFill>
      </fill>
      <border diagonalUp="0" diagonalDown="0">
        <left/>
        <right/>
        <top/>
        <bottom/>
        <vertical/>
        <horizontal/>
      </border>
    </dxf>
    <dxf>
      <font>
        <b val="0"/>
        <i val="0"/>
        <sz val="11"/>
        <color rgb="FFF5A623"/>
        <name val="Calibri"/>
        <family val="2"/>
        <scheme val="minor"/>
      </font>
      <fill>
        <patternFill patternType="none">
          <bgColor auto="1"/>
        </patternFill>
      </fill>
      <border diagonalUp="0" diagonalDown="0">
        <left/>
        <right/>
        <top/>
        <bottom/>
        <vertical/>
        <horizontal/>
      </border>
    </dxf>
    <dxf>
      <font>
        <sz val="11"/>
        <color theme="0"/>
        <name val="Calibri"/>
        <family val="2"/>
        <scheme val="minor"/>
      </font>
      <fill>
        <patternFill patternType="solid">
          <bgColor rgb="FF22384E"/>
        </patternFill>
      </fill>
      <border diagonalUp="0" diagonalDown="0">
        <left/>
        <right/>
        <top/>
        <bottom/>
        <vertical/>
        <horizontal/>
      </border>
    </dxf>
    <dxf>
      <font>
        <b/>
        <color theme="1"/>
      </font>
      <border>
        <bottom style="thin">
          <color theme="8"/>
        </bottom>
        <vertical/>
        <horizontal/>
      </border>
    </dxf>
    <dxf>
      <font>
        <color theme="1"/>
      </font>
      <fill>
        <patternFill patternType="none">
          <bgColor auto="1"/>
        </patternFill>
      </fill>
      <border diagonalUp="0" diagonalDown="0">
        <left/>
        <right/>
        <top/>
        <bottom/>
        <vertical/>
        <horizontal/>
      </border>
    </dxf>
    <dxf>
      <font>
        <sz val="11"/>
        <color rgb="FFF5A623"/>
        <name val="Calibri"/>
        <family val="2"/>
        <scheme val="minor"/>
      </font>
      <fill>
        <patternFill patternType="none">
          <bgColor auto="1"/>
        </patternFill>
      </fill>
      <border diagonalUp="0" diagonalDown="0">
        <left/>
        <right/>
        <top/>
        <bottom/>
        <vertical/>
        <horizontal/>
      </border>
    </dxf>
    <dxf>
      <font>
        <sz val="11"/>
        <color rgb="FFF5A623"/>
        <name val="Calibri"/>
        <family val="2"/>
        <scheme val="minor"/>
      </font>
      <fill>
        <patternFill patternType="none">
          <fgColor indexed="64"/>
          <bgColor auto="1"/>
        </patternFill>
      </fill>
      <border diagonalUp="0" diagonalDown="0">
        <left/>
        <right/>
        <top/>
        <bottom/>
        <vertical/>
        <horizontal/>
      </border>
    </dxf>
  </dxfs>
  <tableStyles count="4" defaultTableStyle="TableStyleMedium2" defaultPivotStyle="PivotStyleLight16">
    <tableStyle name="Slicer Style 1" pivot="0" table="0" count="2" xr9:uid="{B8F0567B-87C6-480C-A6E8-D46E7F9E9D12}">
      <tableStyleElement type="wholeTable" dxfId="199"/>
      <tableStyleElement type="headerRow" dxfId="198"/>
    </tableStyle>
    <tableStyle name="SlicerStyleDark5 2" pivot="0" table="0" count="10" xr9:uid="{CAA9F8FA-75AF-4AB3-9A63-4AD586520252}">
      <tableStyleElement type="wholeTable" dxfId="197"/>
      <tableStyleElement type="headerRow" dxfId="196"/>
    </tableStyle>
    <tableStyle name="SlicerStyleDark6 2" pivot="0" table="0" count="10" xr9:uid="{DCABCD2D-6266-4D8E-8C44-EA8FE4C033D6}">
      <tableStyleElement type="wholeTable" dxfId="195"/>
      <tableStyleElement type="headerRow" dxfId="194"/>
    </tableStyle>
    <tableStyle name="TimeSlicerStyleLight6 2" pivot="0" table="0" count="9" xr9:uid="{731ABAF3-BBC4-43DA-9CBB-693B9D28F836}">
      <tableStyleElement type="wholeTable" dxfId="193"/>
      <tableStyleElement type="headerRow" dxfId="192"/>
    </tableStyle>
  </tableStyles>
  <colors>
    <indexedColors>
      <rgbColor rgb="FF000000"/>
      <rgbColor rgb="FFFFFFFF"/>
      <rgbColor rgb="FFFF0000"/>
      <rgbColor rgb="FF00FF00"/>
      <rgbColor rgb="FF0000FF"/>
      <rgbColor rgb="FFFFFF00"/>
      <rgbColor rgb="FFFF00FF"/>
      <rgbColor rgb="FF00FFFF"/>
      <rgbColor rgb="FF800000"/>
      <rgbColor rgb="FF1E5F3A"/>
      <rgbColor rgb="FF000080"/>
      <rgbColor rgb="FF808000"/>
      <rgbColor rgb="FF800080"/>
      <rgbColor rgb="FF008080"/>
      <rgbColor rgb="FFC0C0C0"/>
      <rgbColor rgb="FF888888"/>
      <rgbColor rgb="FF9999FF"/>
      <rgbColor rgb="FF993366"/>
      <rgbColor rgb="FFFFF2CC"/>
      <rgbColor rgb="FFEBF4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0F4FA"/>
      <rgbColor rgb="FFF7FAFC"/>
      <rgbColor rgb="FFFFFF99"/>
      <rgbColor rgb="FF99CCFF"/>
      <rgbColor rgb="FFFF99CC"/>
      <rgbColor rgb="FFCC99FF"/>
      <rgbColor rgb="FFFFE0E0"/>
      <rgbColor rgb="FF3366FF"/>
      <rgbColor rgb="FF33CCCC"/>
      <rgbColor rgb="FF99CC00"/>
      <rgbColor rgb="FFFFCC00"/>
      <rgbColor rgb="FFFF9900"/>
      <rgbColor rgb="FFFF6600"/>
      <rgbColor rgb="FF666699"/>
      <rgbColor rgb="FF969696"/>
      <rgbColor rgb="FF1E3A5F"/>
      <rgbColor rgb="FF339966"/>
      <rgbColor rgb="FF003300"/>
      <rgbColor rgb="FF5F3A1E"/>
      <rgbColor rgb="FF993300"/>
      <rgbColor rgb="FF993366"/>
      <rgbColor rgb="FF333399"/>
      <rgbColor rgb="FF3A1E5F"/>
      <rgbColor rgb="00003366"/>
      <rgbColor rgb="00339966"/>
      <rgbColor rgb="00003300"/>
      <rgbColor rgb="00333300"/>
      <rgbColor rgb="00993300"/>
      <rgbColor rgb="00993366"/>
      <rgbColor rgb="00333399"/>
      <rgbColor rgb="00333333"/>
    </indexedColors>
    <mruColors>
      <color rgb="FFF5A623"/>
      <color rgb="FF22384E"/>
      <color rgb="FF0F1923"/>
      <color rgb="FFD4EEF7"/>
      <color rgb="FF00A99D"/>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 Style 1">
        <x14:slicerStyle name="Slicer Style 1"/>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9" tint="0.39997558519241921"/>
              <bgColor theme="9"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9" tint="0.59999389629810485"/>
              </stop>
              <stop position="1">
                <color theme="9"/>
              </stop>
            </gradientFill>
          </fill>
          <border>
            <vertical/>
            <horizontal/>
          </border>
        </dxf>
        <dxf>
          <font>
            <sz val="9"/>
            <color theme="0"/>
          </font>
          <border>
            <left/>
            <right/>
            <top/>
            <bottom/>
            <vertical/>
            <horizontal/>
          </border>
        </dxf>
        <dxf>
          <font>
            <sz val="9"/>
            <color theme="0"/>
          </font>
          <border>
            <left/>
            <right/>
            <top/>
            <bottom/>
            <vertical/>
            <horizontal/>
          </border>
        </dxf>
        <dxf>
          <font>
            <sz val="9"/>
            <color rgb="FFF5A623"/>
            <name val="Calibri"/>
            <family val="2"/>
            <scheme val="minor"/>
          </font>
          <border>
            <left/>
            <right/>
            <top/>
            <bottom/>
            <vertical/>
            <horizontal/>
          </border>
        </dxf>
        <dxf>
          <font>
            <sz val="10"/>
            <color rgb="FFF5A623"/>
            <name val="Calibri"/>
            <family val="2"/>
            <scheme val="minor"/>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6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Excel Dashboard.xlsx]Wrangler!PivotTable5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billing by admission type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625013123359593"/>
              <c:y val="5.710300276055261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069444444444448"/>
              <c:y val="2.8551041393614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7.2916666666666685E-2"/>
              <c:y val="-1.71306248361687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3.125E-2"/>
              <c:y val="-4.56816662297833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Wrangler!$J$3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2EB3-4E23-9DDD-E034B918C4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B3-4E23-9DDD-E034B918C4C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2EB3-4E23-9DDD-E034B918C4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2EB3-4E23-9DDD-E034B918C4CB}"/>
              </c:ext>
            </c:extLst>
          </c:dPt>
          <c:dLbls>
            <c:dLbl>
              <c:idx val="0"/>
              <c:layout>
                <c:manualLayout>
                  <c:x val="-0.10069444444444448"/>
                  <c:y val="2.85510413936144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EB3-4E23-9DDD-E034B918C4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Wrangler!$I$4:$I$5</c:f>
              <c:strCache>
                <c:ptCount val="1"/>
                <c:pt idx="0">
                  <c:v>Emergency</c:v>
                </c:pt>
              </c:strCache>
            </c:strRef>
          </c:cat>
          <c:val>
            <c:numRef>
              <c:f>Wrangler!$J$4:$J$5</c:f>
              <c:numCache>
                <c:formatCode>0.00%</c:formatCode>
                <c:ptCount val="1"/>
                <c:pt idx="0">
                  <c:v>1</c:v>
                </c:pt>
              </c:numCache>
            </c:numRef>
          </c:val>
          <c:extLst>
            <c:ext xmlns:c16="http://schemas.microsoft.com/office/drawing/2014/chart" uri="{C3380CC4-5D6E-409C-BE32-E72D297353CC}">
              <c16:uniqueId val="{00000000-2EB3-4E23-9DDD-E034B918C4C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Excel Dashboard.xlsx]Wrangler!PivotTable1</c:name>
    <c:fmtId val="9"/>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Wrangler!$B$3</c:f>
              <c:strCache>
                <c:ptCount val="1"/>
                <c:pt idx="0">
                  <c:v>Total_Billing</c:v>
                </c:pt>
              </c:strCache>
            </c:strRef>
          </c:tx>
          <c:spPr>
            <a:ln w="28575" cap="rnd">
              <a:solidFill>
                <a:schemeClr val="accent1"/>
              </a:solidFill>
              <a:round/>
            </a:ln>
            <a:effectLst/>
          </c:spPr>
          <c:marker>
            <c:symbol val="none"/>
          </c:marker>
          <c:cat>
            <c:strRef>
              <c:f>Wrangler!$A$4:$A$12</c:f>
              <c:strCache>
                <c:ptCount val="8"/>
                <c:pt idx="0">
                  <c:v>Cardiac</c:v>
                </c:pt>
                <c:pt idx="1">
                  <c:v>Diabetes</c:v>
                </c:pt>
                <c:pt idx="2">
                  <c:v>Gastroenterology</c:v>
                </c:pt>
                <c:pt idx="3">
                  <c:v>General Surgery</c:v>
                </c:pt>
                <c:pt idx="4">
                  <c:v>Neurology</c:v>
                </c:pt>
                <c:pt idx="5">
                  <c:v>Oncology</c:v>
                </c:pt>
                <c:pt idx="6">
                  <c:v>Orthopaedics</c:v>
                </c:pt>
                <c:pt idx="7">
                  <c:v>Respiratory</c:v>
                </c:pt>
              </c:strCache>
            </c:strRef>
          </c:cat>
          <c:val>
            <c:numRef>
              <c:f>Wrangler!$B$4:$B$12</c:f>
              <c:numCache>
                <c:formatCode>_(* #,##0.00_);_(* \(#,##0.00\);_(* "-"??_);_(@_)</c:formatCode>
                <c:ptCount val="8"/>
                <c:pt idx="0">
                  <c:v>6036719.9100000001</c:v>
                </c:pt>
                <c:pt idx="1">
                  <c:v>1197377.96</c:v>
                </c:pt>
                <c:pt idx="2">
                  <c:v>221233</c:v>
                </c:pt>
                <c:pt idx="3">
                  <c:v>809626.95999999985</c:v>
                </c:pt>
                <c:pt idx="4">
                  <c:v>2674201.6599999997</c:v>
                </c:pt>
                <c:pt idx="5">
                  <c:v>2401270.64</c:v>
                </c:pt>
                <c:pt idx="6">
                  <c:v>522834.44000000006</c:v>
                </c:pt>
                <c:pt idx="7">
                  <c:v>1727523.0200000003</c:v>
                </c:pt>
              </c:numCache>
            </c:numRef>
          </c:val>
          <c:smooth val="0"/>
          <c:extLst>
            <c:ext xmlns:c16="http://schemas.microsoft.com/office/drawing/2014/chart" uri="{C3380CC4-5D6E-409C-BE32-E72D297353CC}">
              <c16:uniqueId val="{00000000-F34F-41E8-BDDB-8614FDD32541}"/>
            </c:ext>
          </c:extLst>
        </c:ser>
        <c:dLbls>
          <c:showLegendKey val="0"/>
          <c:showVal val="0"/>
          <c:showCatName val="0"/>
          <c:showSerName val="0"/>
          <c:showPercent val="0"/>
          <c:showBubbleSize val="0"/>
        </c:dLbls>
        <c:marker val="1"/>
        <c:smooth val="0"/>
        <c:axId val="1255733456"/>
        <c:axId val="1255755536"/>
      </c:lineChart>
      <c:lineChart>
        <c:grouping val="standard"/>
        <c:varyColors val="0"/>
        <c:ser>
          <c:idx val="1"/>
          <c:order val="1"/>
          <c:tx>
            <c:strRef>
              <c:f>Wrangler!$C$3</c:f>
              <c:strCache>
                <c:ptCount val="1"/>
                <c:pt idx="0">
                  <c:v>Total Patients</c:v>
                </c:pt>
              </c:strCache>
            </c:strRef>
          </c:tx>
          <c:spPr>
            <a:ln w="28575" cap="rnd">
              <a:solidFill>
                <a:schemeClr val="accent2"/>
              </a:solidFill>
              <a:round/>
            </a:ln>
            <a:effectLst/>
          </c:spPr>
          <c:marker>
            <c:symbol val="none"/>
          </c:marker>
          <c:cat>
            <c:strRef>
              <c:f>Wrangler!$A$4:$A$12</c:f>
              <c:strCache>
                <c:ptCount val="8"/>
                <c:pt idx="0">
                  <c:v>Cardiac</c:v>
                </c:pt>
                <c:pt idx="1">
                  <c:v>Diabetes</c:v>
                </c:pt>
                <c:pt idx="2">
                  <c:v>Gastroenterology</c:v>
                </c:pt>
                <c:pt idx="3">
                  <c:v>General Surgery</c:v>
                </c:pt>
                <c:pt idx="4">
                  <c:v>Neurology</c:v>
                </c:pt>
                <c:pt idx="5">
                  <c:v>Oncology</c:v>
                </c:pt>
                <c:pt idx="6">
                  <c:v>Orthopaedics</c:v>
                </c:pt>
                <c:pt idx="7">
                  <c:v>Respiratory</c:v>
                </c:pt>
              </c:strCache>
            </c:strRef>
          </c:cat>
          <c:val>
            <c:numRef>
              <c:f>Wrangler!$C$4:$C$12</c:f>
              <c:numCache>
                <c:formatCode>_-* #,##0_-;\-* #,##0_-;_-* "-"??_-;_-@_-</c:formatCode>
                <c:ptCount val="8"/>
                <c:pt idx="0">
                  <c:v>69</c:v>
                </c:pt>
                <c:pt idx="1">
                  <c:v>42</c:v>
                </c:pt>
                <c:pt idx="2">
                  <c:v>10</c:v>
                </c:pt>
                <c:pt idx="3">
                  <c:v>15</c:v>
                </c:pt>
                <c:pt idx="4">
                  <c:v>29</c:v>
                </c:pt>
                <c:pt idx="5">
                  <c:v>18</c:v>
                </c:pt>
                <c:pt idx="6">
                  <c:v>12</c:v>
                </c:pt>
                <c:pt idx="7">
                  <c:v>45</c:v>
                </c:pt>
              </c:numCache>
            </c:numRef>
          </c:val>
          <c:smooth val="0"/>
          <c:extLst>
            <c:ext xmlns:c16="http://schemas.microsoft.com/office/drawing/2014/chart" uri="{C3380CC4-5D6E-409C-BE32-E72D297353CC}">
              <c16:uniqueId val="{00000001-F34F-41E8-BDDB-8614FDD32541}"/>
            </c:ext>
          </c:extLst>
        </c:ser>
        <c:dLbls>
          <c:showLegendKey val="0"/>
          <c:showVal val="0"/>
          <c:showCatName val="0"/>
          <c:showSerName val="0"/>
          <c:showPercent val="0"/>
          <c:showBubbleSize val="0"/>
        </c:dLbls>
        <c:marker val="1"/>
        <c:smooth val="0"/>
        <c:axId val="1294701168"/>
        <c:axId val="1294700688"/>
      </c:lineChart>
      <c:catAx>
        <c:axId val="1255733456"/>
        <c:scaling>
          <c:orientation val="minMax"/>
        </c:scaling>
        <c:delete val="0"/>
        <c:axPos val="b"/>
        <c:numFmt formatCode="General" sourceLinked="1"/>
        <c:majorTickMark val="cross"/>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255755536"/>
        <c:crosses val="autoZero"/>
        <c:auto val="1"/>
        <c:lblAlgn val="ctr"/>
        <c:lblOffset val="100"/>
        <c:noMultiLvlLbl val="0"/>
      </c:catAx>
      <c:valAx>
        <c:axId val="125575553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255733456"/>
        <c:crosses val="autoZero"/>
        <c:crossBetween val="between"/>
      </c:valAx>
      <c:valAx>
        <c:axId val="1294700688"/>
        <c:scaling>
          <c:orientation val="minMax"/>
        </c:scaling>
        <c:delete val="0"/>
        <c:axPos val="r"/>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294701168"/>
        <c:crosses val="max"/>
        <c:crossBetween val="between"/>
      </c:valAx>
      <c:catAx>
        <c:axId val="1294701168"/>
        <c:scaling>
          <c:orientation val="minMax"/>
        </c:scaling>
        <c:delete val="1"/>
        <c:axPos val="b"/>
        <c:numFmt formatCode="General" sourceLinked="1"/>
        <c:majorTickMark val="out"/>
        <c:minorTickMark val="none"/>
        <c:tickLblPos val="nextTo"/>
        <c:crossAx val="129470068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Excel Dashboard.xlsx]Wrangler!PivotTable11</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Wrangler!$J$32</c:f>
              <c:strCache>
                <c:ptCount val="1"/>
                <c:pt idx="0">
                  <c:v>Total_Billing</c:v>
                </c:pt>
              </c:strCache>
            </c:strRef>
          </c:tx>
          <c:spPr>
            <a:ln w="28575" cap="rnd">
              <a:solidFill>
                <a:schemeClr val="accent1"/>
              </a:solidFill>
              <a:round/>
            </a:ln>
            <a:effectLst/>
          </c:spPr>
          <c:marker>
            <c:symbol val="none"/>
          </c:marker>
          <c:cat>
            <c:strRef>
              <c:f>Wrangler!$I$33:$I$45</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Wrangler!$J$33:$J$45</c:f>
              <c:numCache>
                <c:formatCode>_(* #,##0.00_);_(* \(#,##0.00\);_(* "-"??_);_(@_)</c:formatCode>
                <c:ptCount val="12"/>
                <c:pt idx="0">
                  <c:v>874602.91000000015</c:v>
                </c:pt>
                <c:pt idx="1">
                  <c:v>1366089.78</c:v>
                </c:pt>
                <c:pt idx="2">
                  <c:v>1528903.6099999996</c:v>
                </c:pt>
                <c:pt idx="3">
                  <c:v>940814.04999999993</c:v>
                </c:pt>
                <c:pt idx="4">
                  <c:v>1027594.55</c:v>
                </c:pt>
                <c:pt idx="5">
                  <c:v>1171684.19</c:v>
                </c:pt>
                <c:pt idx="6">
                  <c:v>1191551.96</c:v>
                </c:pt>
                <c:pt idx="7">
                  <c:v>1190208.3799999999</c:v>
                </c:pt>
                <c:pt idx="8">
                  <c:v>1939173.96</c:v>
                </c:pt>
                <c:pt idx="9">
                  <c:v>1443183.25</c:v>
                </c:pt>
                <c:pt idx="10">
                  <c:v>1938009.1600000004</c:v>
                </c:pt>
                <c:pt idx="11">
                  <c:v>978971.79</c:v>
                </c:pt>
              </c:numCache>
            </c:numRef>
          </c:val>
          <c:smooth val="0"/>
          <c:extLst>
            <c:ext xmlns:c16="http://schemas.microsoft.com/office/drawing/2014/chart" uri="{C3380CC4-5D6E-409C-BE32-E72D297353CC}">
              <c16:uniqueId val="{00000000-F5F3-40CA-B447-F84E5EAE3993}"/>
            </c:ext>
          </c:extLst>
        </c:ser>
        <c:dLbls>
          <c:showLegendKey val="0"/>
          <c:showVal val="0"/>
          <c:showCatName val="0"/>
          <c:showSerName val="0"/>
          <c:showPercent val="0"/>
          <c:showBubbleSize val="0"/>
        </c:dLbls>
        <c:marker val="1"/>
        <c:smooth val="0"/>
        <c:axId val="1365240560"/>
        <c:axId val="1365229520"/>
      </c:lineChart>
      <c:lineChart>
        <c:grouping val="standard"/>
        <c:varyColors val="0"/>
        <c:ser>
          <c:idx val="1"/>
          <c:order val="1"/>
          <c:tx>
            <c:strRef>
              <c:f>Wrangler!$K$32</c:f>
              <c:strCache>
                <c:ptCount val="1"/>
                <c:pt idx="0">
                  <c:v>Total Patients</c:v>
                </c:pt>
              </c:strCache>
            </c:strRef>
          </c:tx>
          <c:spPr>
            <a:ln w="28575" cap="rnd">
              <a:solidFill>
                <a:schemeClr val="accent2"/>
              </a:solidFill>
              <a:round/>
            </a:ln>
            <a:effectLst/>
          </c:spPr>
          <c:marker>
            <c:symbol val="none"/>
          </c:marker>
          <c:cat>
            <c:strRef>
              <c:f>Wrangler!$I$33:$I$45</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Wrangler!$K$33:$K$45</c:f>
              <c:numCache>
                <c:formatCode>_(* #,##0.00_);_(* \(#,##0.00\);_(* "-"??_);_(@_)</c:formatCode>
                <c:ptCount val="12"/>
                <c:pt idx="0">
                  <c:v>17</c:v>
                </c:pt>
                <c:pt idx="1">
                  <c:v>21</c:v>
                </c:pt>
                <c:pt idx="2">
                  <c:v>17</c:v>
                </c:pt>
                <c:pt idx="3">
                  <c:v>19</c:v>
                </c:pt>
                <c:pt idx="4">
                  <c:v>15</c:v>
                </c:pt>
                <c:pt idx="5">
                  <c:v>14</c:v>
                </c:pt>
                <c:pt idx="6">
                  <c:v>20</c:v>
                </c:pt>
                <c:pt idx="7">
                  <c:v>20</c:v>
                </c:pt>
                <c:pt idx="8">
                  <c:v>26</c:v>
                </c:pt>
                <c:pt idx="9">
                  <c:v>26</c:v>
                </c:pt>
                <c:pt idx="10">
                  <c:v>26</c:v>
                </c:pt>
                <c:pt idx="11">
                  <c:v>19</c:v>
                </c:pt>
              </c:numCache>
            </c:numRef>
          </c:val>
          <c:smooth val="0"/>
          <c:extLst>
            <c:ext xmlns:c16="http://schemas.microsoft.com/office/drawing/2014/chart" uri="{C3380CC4-5D6E-409C-BE32-E72D297353CC}">
              <c16:uniqueId val="{00000001-F5F3-40CA-B447-F84E5EAE3993}"/>
            </c:ext>
          </c:extLst>
        </c:ser>
        <c:dLbls>
          <c:showLegendKey val="0"/>
          <c:showVal val="0"/>
          <c:showCatName val="0"/>
          <c:showSerName val="0"/>
          <c:showPercent val="0"/>
          <c:showBubbleSize val="0"/>
        </c:dLbls>
        <c:marker val="1"/>
        <c:smooth val="0"/>
        <c:axId val="1365243920"/>
        <c:axId val="1365227120"/>
      </c:lineChart>
      <c:catAx>
        <c:axId val="136524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365229520"/>
        <c:crosses val="autoZero"/>
        <c:auto val="1"/>
        <c:lblAlgn val="ctr"/>
        <c:lblOffset val="100"/>
        <c:noMultiLvlLbl val="0"/>
      </c:catAx>
      <c:valAx>
        <c:axId val="1365229520"/>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365240560"/>
        <c:crosses val="autoZero"/>
        <c:crossBetween val="between"/>
      </c:valAx>
      <c:valAx>
        <c:axId val="1365227120"/>
        <c:scaling>
          <c:orientation val="minMax"/>
        </c:scaling>
        <c:delete val="0"/>
        <c:axPos val="r"/>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365243920"/>
        <c:crosses val="max"/>
        <c:crossBetween val="between"/>
      </c:valAx>
      <c:catAx>
        <c:axId val="1365243920"/>
        <c:scaling>
          <c:orientation val="minMax"/>
        </c:scaling>
        <c:delete val="1"/>
        <c:axPos val="b"/>
        <c:numFmt formatCode="General" sourceLinked="1"/>
        <c:majorTickMark val="out"/>
        <c:minorTickMark val="none"/>
        <c:tickLblPos val="nextTo"/>
        <c:crossAx val="136522712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Excel Dashboard.xlsx]Wrangler!PivotTable7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Wrangler!$R$3</c:f>
              <c:strCache>
                <c:ptCount val="1"/>
                <c:pt idx="0">
                  <c:v>Total</c:v>
                </c:pt>
              </c:strCache>
            </c:strRef>
          </c:tx>
          <c:spPr>
            <a:solidFill>
              <a:schemeClr val="accent1"/>
            </a:solidFill>
            <a:ln>
              <a:noFill/>
            </a:ln>
            <a:effectLst/>
          </c:spPr>
          <c:invertIfNegative val="0"/>
          <c:cat>
            <c:strRef>
              <c:f>Wrangler!$Q$4:$Q$12</c:f>
              <c:strCache>
                <c:ptCount val="8"/>
                <c:pt idx="0">
                  <c:v>Gastroenterology</c:v>
                </c:pt>
                <c:pt idx="1">
                  <c:v>Orthopaedics</c:v>
                </c:pt>
                <c:pt idx="2">
                  <c:v>Diabetes</c:v>
                </c:pt>
                <c:pt idx="3">
                  <c:v>Respiratory</c:v>
                </c:pt>
                <c:pt idx="4">
                  <c:v>Neurology</c:v>
                </c:pt>
                <c:pt idx="5">
                  <c:v>General Surgery</c:v>
                </c:pt>
                <c:pt idx="6">
                  <c:v>Cardiac</c:v>
                </c:pt>
                <c:pt idx="7">
                  <c:v>Oncology</c:v>
                </c:pt>
              </c:strCache>
            </c:strRef>
          </c:cat>
          <c:val>
            <c:numRef>
              <c:f>Wrangler!$R$4:$R$12</c:f>
              <c:numCache>
                <c:formatCode>_(* #,##0.00_);_(* \(#,##0.00\);_(* "-"??_);_(@_)</c:formatCode>
                <c:ptCount val="8"/>
                <c:pt idx="0">
                  <c:v>2.75</c:v>
                </c:pt>
                <c:pt idx="1">
                  <c:v>5.9090909090909092</c:v>
                </c:pt>
                <c:pt idx="2">
                  <c:v>5.9512195121951219</c:v>
                </c:pt>
                <c:pt idx="3">
                  <c:v>6.6590909090909092</c:v>
                </c:pt>
                <c:pt idx="4">
                  <c:v>10.107142857142858</c:v>
                </c:pt>
                <c:pt idx="5">
                  <c:v>10.666666666666666</c:v>
                </c:pt>
                <c:pt idx="6">
                  <c:v>11.121212121212121</c:v>
                </c:pt>
                <c:pt idx="7">
                  <c:v>13.777777777777779</c:v>
                </c:pt>
              </c:numCache>
            </c:numRef>
          </c:val>
          <c:extLst>
            <c:ext xmlns:c16="http://schemas.microsoft.com/office/drawing/2014/chart" uri="{C3380CC4-5D6E-409C-BE32-E72D297353CC}">
              <c16:uniqueId val="{00000000-B38A-4BAE-82D4-17596537DBD3}"/>
            </c:ext>
          </c:extLst>
        </c:ser>
        <c:dLbls>
          <c:showLegendKey val="0"/>
          <c:showVal val="0"/>
          <c:showCatName val="0"/>
          <c:showSerName val="0"/>
          <c:showPercent val="0"/>
          <c:showBubbleSize val="0"/>
        </c:dLbls>
        <c:gapWidth val="150"/>
        <c:axId val="1365327920"/>
        <c:axId val="1365324560"/>
      </c:barChart>
      <c:catAx>
        <c:axId val="1365327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365324560"/>
        <c:crosses val="autoZero"/>
        <c:auto val="1"/>
        <c:lblAlgn val="ctr"/>
        <c:lblOffset val="100"/>
        <c:noMultiLvlLbl val="0"/>
      </c:catAx>
      <c:valAx>
        <c:axId val="1365324560"/>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36532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Excel Dashboard.xlsx]Wrangler!PivotTable13</c:name>
    <c:fmtId val="0"/>
  </c:pivotSource>
  <c:chart>
    <c:title>
      <c:layout>
        <c:manualLayout>
          <c:xMode val="edge"/>
          <c:yMode val="edge"/>
          <c:x val="0.39805555555555561"/>
          <c:y val="9.6201516477106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Wrangler!$R$31</c:f>
              <c:strCache>
                <c:ptCount val="1"/>
                <c:pt idx="0">
                  <c:v>Total</c:v>
                </c:pt>
              </c:strCache>
            </c:strRef>
          </c:tx>
          <c:spPr>
            <a:solidFill>
              <a:schemeClr val="accent1"/>
            </a:solidFill>
            <a:ln>
              <a:noFill/>
            </a:ln>
            <a:effectLst/>
          </c:spPr>
          <c:invertIfNegative val="0"/>
          <c:cat>
            <c:strRef>
              <c:f>Wrangler!$Q$32:$Q$38</c:f>
              <c:strCache>
                <c:ptCount val="6"/>
                <c:pt idx="0">
                  <c:v>0-17</c:v>
                </c:pt>
                <c:pt idx="1">
                  <c:v>18-34</c:v>
                </c:pt>
                <c:pt idx="2">
                  <c:v>35-54</c:v>
                </c:pt>
                <c:pt idx="3">
                  <c:v>55-64</c:v>
                </c:pt>
                <c:pt idx="4">
                  <c:v>65-74</c:v>
                </c:pt>
                <c:pt idx="5">
                  <c:v>75+</c:v>
                </c:pt>
              </c:strCache>
            </c:strRef>
          </c:cat>
          <c:val>
            <c:numRef>
              <c:f>Wrangler!$R$32:$R$38</c:f>
              <c:numCache>
                <c:formatCode>_(* #,##0.00_);_(* \(#,##0.00\);_(* "-"??_);_(@_)</c:formatCode>
                <c:ptCount val="6"/>
                <c:pt idx="0">
                  <c:v>286056.02</c:v>
                </c:pt>
                <c:pt idx="1">
                  <c:v>516348.80000000005</c:v>
                </c:pt>
                <c:pt idx="2">
                  <c:v>1986388.4199999997</c:v>
                </c:pt>
                <c:pt idx="3">
                  <c:v>3634657.8799999985</c:v>
                </c:pt>
                <c:pt idx="4">
                  <c:v>6110641.2700000005</c:v>
                </c:pt>
                <c:pt idx="5">
                  <c:v>3056695.2000000011</c:v>
                </c:pt>
              </c:numCache>
            </c:numRef>
          </c:val>
          <c:extLst>
            <c:ext xmlns:c16="http://schemas.microsoft.com/office/drawing/2014/chart" uri="{C3380CC4-5D6E-409C-BE32-E72D297353CC}">
              <c16:uniqueId val="{00000000-74AB-4DC7-B364-793AAE477AB0}"/>
            </c:ext>
          </c:extLst>
        </c:ser>
        <c:dLbls>
          <c:showLegendKey val="0"/>
          <c:showVal val="0"/>
          <c:showCatName val="0"/>
          <c:showSerName val="0"/>
          <c:showPercent val="0"/>
          <c:showBubbleSize val="0"/>
        </c:dLbls>
        <c:gapWidth val="219"/>
        <c:overlap val="-27"/>
        <c:axId val="1255703696"/>
        <c:axId val="1255720496"/>
      </c:barChart>
      <c:catAx>
        <c:axId val="125570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255720496"/>
        <c:crosses val="autoZero"/>
        <c:auto val="1"/>
        <c:lblAlgn val="ctr"/>
        <c:lblOffset val="100"/>
        <c:noMultiLvlLbl val="0"/>
      </c:catAx>
      <c:valAx>
        <c:axId val="1255720496"/>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25570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Excel Dashboard.xlsx]Wrangler!PivotTable13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rgbClr val="F5A623"/>
                </a:solidFill>
              </a:rPr>
              <a:t>Cost</a:t>
            </a:r>
            <a:r>
              <a:rPr lang="en-US" baseline="0">
                <a:solidFill>
                  <a:srgbClr val="F5A623"/>
                </a:solidFill>
              </a:rPr>
              <a:t> </a:t>
            </a:r>
            <a:r>
              <a:rPr lang="en-US">
                <a:solidFill>
                  <a:srgbClr val="F5A623"/>
                </a:solidFill>
              </a:rPr>
              <a:t>per Age Group</a:t>
            </a:r>
          </a:p>
        </c:rich>
      </c:tx>
      <c:layout>
        <c:manualLayout>
          <c:xMode val="edge"/>
          <c:yMode val="edge"/>
          <c:x val="0.2519368640563765"/>
          <c:y val="7.96040468320087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4EEF7"/>
          </a:solidFill>
          <a:ln>
            <a:noFill/>
          </a:ln>
          <a:effectLst/>
        </c:spPr>
        <c:marker>
          <c:symbol val="none"/>
        </c:marker>
        <c:dLbl>
          <c:idx val="0"/>
          <c:numFmt formatCode="0,,&quot;M&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5A623"/>
          </a:solidFill>
          <a:ln>
            <a:noFill/>
          </a:ln>
          <a:effectLst/>
        </c:spPr>
      </c:pivotFmt>
    </c:pivotFmts>
    <c:plotArea>
      <c:layout/>
      <c:barChart>
        <c:barDir val="col"/>
        <c:grouping val="clustered"/>
        <c:varyColors val="0"/>
        <c:ser>
          <c:idx val="0"/>
          <c:order val="0"/>
          <c:tx>
            <c:strRef>
              <c:f>Wrangler!$R$31</c:f>
              <c:strCache>
                <c:ptCount val="1"/>
                <c:pt idx="0">
                  <c:v>Total</c:v>
                </c:pt>
              </c:strCache>
            </c:strRef>
          </c:tx>
          <c:spPr>
            <a:solidFill>
              <a:srgbClr val="D4EEF7"/>
            </a:solidFill>
            <a:ln>
              <a:noFill/>
            </a:ln>
            <a:effectLst/>
          </c:spPr>
          <c:invertIfNegative val="0"/>
          <c:dPt>
            <c:idx val="4"/>
            <c:invertIfNegative val="0"/>
            <c:bubble3D val="0"/>
            <c:spPr>
              <a:solidFill>
                <a:srgbClr val="F5A623"/>
              </a:solidFill>
              <a:ln>
                <a:noFill/>
              </a:ln>
              <a:effectLst/>
            </c:spPr>
            <c:extLst>
              <c:ext xmlns:c16="http://schemas.microsoft.com/office/drawing/2014/chart" uri="{C3380CC4-5D6E-409C-BE32-E72D297353CC}">
                <c16:uniqueId val="{00000001-D1FE-451B-ADB9-672CC5EE89CE}"/>
              </c:ext>
            </c:extLst>
          </c:dPt>
          <c:dLbls>
            <c:numFmt formatCode="0,,&quot;M&quot;"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Wrangler!$Q$32:$Q$38</c:f>
              <c:strCache>
                <c:ptCount val="6"/>
                <c:pt idx="0">
                  <c:v>0-17</c:v>
                </c:pt>
                <c:pt idx="1">
                  <c:v>18-34</c:v>
                </c:pt>
                <c:pt idx="2">
                  <c:v>35-54</c:v>
                </c:pt>
                <c:pt idx="3">
                  <c:v>55-64</c:v>
                </c:pt>
                <c:pt idx="4">
                  <c:v>65-74</c:v>
                </c:pt>
                <c:pt idx="5">
                  <c:v>75+</c:v>
                </c:pt>
              </c:strCache>
            </c:strRef>
          </c:cat>
          <c:val>
            <c:numRef>
              <c:f>Wrangler!$R$32:$R$38</c:f>
              <c:numCache>
                <c:formatCode>_(* #,##0.00_);_(* \(#,##0.00\);_(* "-"??_);_(@_)</c:formatCode>
                <c:ptCount val="6"/>
                <c:pt idx="0">
                  <c:v>286056.02</c:v>
                </c:pt>
                <c:pt idx="1">
                  <c:v>516348.80000000005</c:v>
                </c:pt>
                <c:pt idx="2">
                  <c:v>1986388.4199999997</c:v>
                </c:pt>
                <c:pt idx="3">
                  <c:v>3634657.8799999985</c:v>
                </c:pt>
                <c:pt idx="4">
                  <c:v>6110641.2700000005</c:v>
                </c:pt>
                <c:pt idx="5">
                  <c:v>3056695.2000000011</c:v>
                </c:pt>
              </c:numCache>
            </c:numRef>
          </c:val>
          <c:extLst>
            <c:ext xmlns:c16="http://schemas.microsoft.com/office/drawing/2014/chart" uri="{C3380CC4-5D6E-409C-BE32-E72D297353CC}">
              <c16:uniqueId val="{00000000-D1FE-451B-ADB9-672CC5EE89CE}"/>
            </c:ext>
          </c:extLst>
        </c:ser>
        <c:dLbls>
          <c:dLblPos val="outEnd"/>
          <c:showLegendKey val="0"/>
          <c:showVal val="1"/>
          <c:showCatName val="0"/>
          <c:showSerName val="0"/>
          <c:showPercent val="0"/>
          <c:showBubbleSize val="0"/>
        </c:dLbls>
        <c:gapWidth val="69"/>
        <c:overlap val="-27"/>
        <c:axId val="1255703696"/>
        <c:axId val="1255720496"/>
      </c:barChart>
      <c:catAx>
        <c:axId val="1255703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DE"/>
          </a:p>
        </c:txPr>
        <c:crossAx val="1255720496"/>
        <c:crosses val="autoZero"/>
        <c:auto val="1"/>
        <c:lblAlgn val="ctr"/>
        <c:lblOffset val="100"/>
        <c:noMultiLvlLbl val="0"/>
      </c:catAx>
      <c:valAx>
        <c:axId val="1255720496"/>
        <c:scaling>
          <c:orientation val="minMax"/>
        </c:scaling>
        <c:delete val="1"/>
        <c:axPos val="l"/>
        <c:numFmt formatCode="0,,&quot;M&quot;" sourceLinked="0"/>
        <c:majorTickMark val="out"/>
        <c:minorTickMark val="none"/>
        <c:tickLblPos val="nextTo"/>
        <c:crossAx val="125570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Excel Dashboard.xlsx]Wrangler!PivotTable5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5A623"/>
                </a:solidFill>
              </a:rPr>
              <a:t>Billing</a:t>
            </a:r>
            <a:r>
              <a:rPr lang="en-US" baseline="0">
                <a:solidFill>
                  <a:srgbClr val="F5A623"/>
                </a:solidFill>
              </a:rPr>
              <a:t>s by Admission Type</a:t>
            </a:r>
            <a:endParaRPr lang="en-US">
              <a:solidFill>
                <a:srgbClr val="F5A623"/>
              </a:solidFill>
            </a:endParaRPr>
          </a:p>
          <a:p>
            <a:pPr>
              <a:defRPr/>
            </a:pPr>
            <a:endParaRPr lang="en-US"/>
          </a:p>
        </c:rich>
      </c:tx>
      <c:layout>
        <c:manualLayout>
          <c:xMode val="edge"/>
          <c:yMode val="edge"/>
          <c:x val="0.21602988546886184"/>
          <c:y val="3.154354449412416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625013123359593"/>
              <c:y val="5.710300276055261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0069444444444448"/>
              <c:y val="2.8551041393614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7.2916666666666685E-2"/>
              <c:y val="-1.71306248361687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3.125E-2"/>
              <c:y val="-4.56816662297833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625013123359593"/>
              <c:y val="5.710300276055261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069444444444448"/>
              <c:y val="2.8551041393614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2916666666666685E-2"/>
              <c:y val="-1.71306248361687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125E-2"/>
              <c:y val="-4.56816662297833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A99D"/>
          </a:solidFill>
          <a:ln w="19050">
            <a:noFill/>
          </a:ln>
          <a:effectLst/>
        </c:spPr>
        <c:dLbl>
          <c:idx val="0"/>
          <c:layout>
            <c:manualLayout>
              <c:x val="0.11625013123359593"/>
              <c:y val="5.710300276055261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5A623"/>
          </a:solidFill>
          <a:ln w="19050">
            <a:noFill/>
          </a:ln>
          <a:effectLst/>
        </c:spPr>
        <c:dLbl>
          <c:idx val="0"/>
          <c:layout>
            <c:manualLayout>
              <c:x val="-0.10069444444444448"/>
              <c:y val="2.8551041393614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noFill/>
          </a:ln>
          <a:effectLst/>
        </c:spPr>
        <c:dLbl>
          <c:idx val="0"/>
          <c:layout>
            <c:manualLayout>
              <c:x val="-7.2916666666666685E-2"/>
              <c:y val="-1.71306248361687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D4EEF7"/>
          </a:solidFill>
          <a:ln w="19050">
            <a:noFill/>
          </a:ln>
          <a:effectLst/>
        </c:spPr>
        <c:dLbl>
          <c:idx val="0"/>
          <c:layout>
            <c:manualLayout>
              <c:x val="-6.0734005300934465E-2"/>
              <c:y val="-7.46671231313477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DE"/>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15789787640182"/>
          <c:y val="0.29731650377873614"/>
          <c:w val="0.33920663326175138"/>
          <c:h val="0.60000369300571099"/>
        </c:manualLayout>
      </c:layout>
      <c:doughnutChart>
        <c:varyColors val="1"/>
        <c:ser>
          <c:idx val="0"/>
          <c:order val="0"/>
          <c:tx>
            <c:strRef>
              <c:f>Wrangler!$J$3</c:f>
              <c:strCache>
                <c:ptCount val="1"/>
                <c:pt idx="0">
                  <c:v>Total</c:v>
                </c:pt>
              </c:strCache>
            </c:strRef>
          </c:tx>
          <c:spPr>
            <a:ln>
              <a:noFill/>
            </a:ln>
          </c:spPr>
          <c:dPt>
            <c:idx val="0"/>
            <c:bubble3D val="0"/>
            <c:spPr>
              <a:solidFill>
                <a:srgbClr val="F5A623"/>
              </a:solidFill>
              <a:ln w="19050">
                <a:noFill/>
              </a:ln>
              <a:effectLst/>
            </c:spPr>
            <c:extLst>
              <c:ext xmlns:c16="http://schemas.microsoft.com/office/drawing/2014/chart" uri="{C3380CC4-5D6E-409C-BE32-E72D297353CC}">
                <c16:uniqueId val="{00000001-ABE5-4C4E-B88B-716566370A7C}"/>
              </c:ext>
            </c:extLst>
          </c:dPt>
          <c:dPt>
            <c:idx val="1"/>
            <c:bubble3D val="0"/>
            <c:spPr>
              <a:solidFill>
                <a:schemeClr val="accent2"/>
              </a:solidFill>
              <a:ln w="19050">
                <a:noFill/>
              </a:ln>
              <a:effectLst/>
            </c:spPr>
            <c:extLst>
              <c:ext xmlns:c16="http://schemas.microsoft.com/office/drawing/2014/chart" uri="{C3380CC4-5D6E-409C-BE32-E72D297353CC}">
                <c16:uniqueId val="{00000003-ABE5-4C4E-B88B-716566370A7C}"/>
              </c:ext>
            </c:extLst>
          </c:dPt>
          <c:dPt>
            <c:idx val="2"/>
            <c:bubble3D val="0"/>
            <c:spPr>
              <a:solidFill>
                <a:schemeClr val="accent3"/>
              </a:solidFill>
              <a:ln w="19050">
                <a:noFill/>
              </a:ln>
              <a:effectLst/>
            </c:spPr>
            <c:extLst>
              <c:ext xmlns:c16="http://schemas.microsoft.com/office/drawing/2014/chart" uri="{C3380CC4-5D6E-409C-BE32-E72D297353CC}">
                <c16:uniqueId val="{00000005-ABE5-4C4E-B88B-716566370A7C}"/>
              </c:ext>
            </c:extLst>
          </c:dPt>
          <c:dPt>
            <c:idx val="3"/>
            <c:bubble3D val="0"/>
            <c:spPr>
              <a:solidFill>
                <a:schemeClr val="accent4"/>
              </a:solidFill>
              <a:ln w="19050">
                <a:noFill/>
              </a:ln>
              <a:effectLst/>
            </c:spPr>
            <c:extLst>
              <c:ext xmlns:c16="http://schemas.microsoft.com/office/drawing/2014/chart" uri="{C3380CC4-5D6E-409C-BE32-E72D297353CC}">
                <c16:uniqueId val="{00000007-ABE5-4C4E-B88B-716566370A7C}"/>
              </c:ext>
            </c:extLst>
          </c:dPt>
          <c:dLbls>
            <c:dLbl>
              <c:idx val="0"/>
              <c:layout>
                <c:manualLayout>
                  <c:x val="-0.10069444444444448"/>
                  <c:y val="2.85510413936144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E5-4C4E-B88B-716566370A7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DE"/>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Wrangler!$I$4:$I$5</c:f>
              <c:strCache>
                <c:ptCount val="1"/>
                <c:pt idx="0">
                  <c:v>Emergency</c:v>
                </c:pt>
              </c:strCache>
            </c:strRef>
          </c:cat>
          <c:val>
            <c:numRef>
              <c:f>Wrangler!$J$4:$J$5</c:f>
              <c:numCache>
                <c:formatCode>0.00%</c:formatCode>
                <c:ptCount val="1"/>
                <c:pt idx="0">
                  <c:v>1</c:v>
                </c:pt>
              </c:numCache>
            </c:numRef>
          </c:val>
          <c:extLst>
            <c:ext xmlns:c16="http://schemas.microsoft.com/office/drawing/2014/chart" uri="{C3380CC4-5D6E-409C-BE32-E72D297353CC}">
              <c16:uniqueId val="{00000008-ABE5-4C4E-B88B-716566370A7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034090909090906"/>
          <c:y val="0.17103733892559916"/>
          <c:w val="0.28693181818181818"/>
          <c:h val="0.758156662577981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Excel Dashboard.xlsx]Wrangler!PivotTable7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5A623"/>
                </a:solidFill>
              </a:rPr>
              <a:t>Average duration per</a:t>
            </a:r>
            <a:r>
              <a:rPr lang="en-US" baseline="0">
                <a:solidFill>
                  <a:srgbClr val="F5A623"/>
                </a:solidFill>
              </a:rPr>
              <a:t> condition</a:t>
            </a:r>
            <a:endParaRPr lang="en-US">
              <a:solidFill>
                <a:srgbClr val="F5A623"/>
              </a:solidFill>
            </a:endParaRPr>
          </a:p>
        </c:rich>
      </c:tx>
      <c:layout>
        <c:manualLayout>
          <c:xMode val="edge"/>
          <c:yMode val="edge"/>
          <c:x val="0.25574002159811765"/>
          <c:y val="0.1098862642169728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4EEF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5A623"/>
          </a:solidFill>
          <a:ln>
            <a:noFill/>
          </a:ln>
          <a:effectLst/>
        </c:spPr>
      </c:pivotFmt>
      <c:pivotFmt>
        <c:idx val="4"/>
        <c:spPr>
          <a:solidFill>
            <a:srgbClr val="F5A623"/>
          </a:solidFill>
          <a:ln>
            <a:noFill/>
          </a:ln>
          <a:effectLst/>
        </c:spPr>
      </c:pivotFmt>
      <c:pivotFmt>
        <c:idx val="5"/>
        <c:spPr>
          <a:solidFill>
            <a:srgbClr val="F5A623"/>
          </a:solidFill>
          <a:ln>
            <a:noFill/>
          </a:ln>
          <a:effectLst/>
        </c:spPr>
      </c:pivotFmt>
    </c:pivotFmts>
    <c:plotArea>
      <c:layout/>
      <c:barChart>
        <c:barDir val="bar"/>
        <c:grouping val="clustered"/>
        <c:varyColors val="0"/>
        <c:ser>
          <c:idx val="0"/>
          <c:order val="0"/>
          <c:tx>
            <c:strRef>
              <c:f>Wrangler!$R$3</c:f>
              <c:strCache>
                <c:ptCount val="1"/>
                <c:pt idx="0">
                  <c:v>Total</c:v>
                </c:pt>
              </c:strCache>
            </c:strRef>
          </c:tx>
          <c:spPr>
            <a:solidFill>
              <a:srgbClr val="D4EEF7"/>
            </a:solidFill>
            <a:ln>
              <a:noFill/>
            </a:ln>
            <a:effectLst/>
          </c:spPr>
          <c:invertIfNegative val="0"/>
          <c:dPt>
            <c:idx val="4"/>
            <c:invertIfNegative val="0"/>
            <c:bubble3D val="0"/>
            <c:spPr>
              <a:solidFill>
                <a:srgbClr val="F5A623"/>
              </a:solidFill>
              <a:ln>
                <a:noFill/>
              </a:ln>
              <a:effectLst/>
            </c:spPr>
          </c:dPt>
          <c:dPt>
            <c:idx val="5"/>
            <c:invertIfNegative val="0"/>
            <c:bubble3D val="0"/>
            <c:extLst>
              <c:ext xmlns:c16="http://schemas.microsoft.com/office/drawing/2014/chart" uri="{C3380CC4-5D6E-409C-BE32-E72D297353CC}">
                <c16:uniqueId val="{00000003-99D9-4602-9EE1-06EAC10621D0}"/>
              </c:ext>
            </c:extLst>
          </c:dPt>
          <c:dPt>
            <c:idx val="6"/>
            <c:invertIfNegative val="0"/>
            <c:bubble3D val="0"/>
            <c:spPr>
              <a:solidFill>
                <a:srgbClr val="F5A623"/>
              </a:solidFill>
              <a:ln>
                <a:noFill/>
              </a:ln>
              <a:effectLst/>
            </c:spPr>
            <c:extLst>
              <c:ext xmlns:c16="http://schemas.microsoft.com/office/drawing/2014/chart" uri="{C3380CC4-5D6E-409C-BE32-E72D297353CC}">
                <c16:uniqueId val="{00000002-99D9-4602-9EE1-06EAC10621D0}"/>
              </c:ext>
            </c:extLst>
          </c:dPt>
          <c:dPt>
            <c:idx val="7"/>
            <c:invertIfNegative val="0"/>
            <c:bubble3D val="0"/>
            <c:spPr>
              <a:solidFill>
                <a:srgbClr val="F5A623"/>
              </a:solidFill>
              <a:ln>
                <a:noFill/>
              </a:ln>
              <a:effectLst/>
            </c:spPr>
            <c:extLst>
              <c:ext xmlns:c16="http://schemas.microsoft.com/office/drawing/2014/chart" uri="{C3380CC4-5D6E-409C-BE32-E72D297353CC}">
                <c16:uniqueId val="{00000001-99D9-4602-9EE1-06EAC10621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Wrangler!$Q$4:$Q$12</c:f>
              <c:strCache>
                <c:ptCount val="8"/>
                <c:pt idx="0">
                  <c:v>Gastroenterology</c:v>
                </c:pt>
                <c:pt idx="1">
                  <c:v>Orthopaedics</c:v>
                </c:pt>
                <c:pt idx="2">
                  <c:v>Diabetes</c:v>
                </c:pt>
                <c:pt idx="3">
                  <c:v>Respiratory</c:v>
                </c:pt>
                <c:pt idx="4">
                  <c:v>Neurology</c:v>
                </c:pt>
                <c:pt idx="5">
                  <c:v>General Surgery</c:v>
                </c:pt>
                <c:pt idx="6">
                  <c:v>Cardiac</c:v>
                </c:pt>
                <c:pt idx="7">
                  <c:v>Oncology</c:v>
                </c:pt>
              </c:strCache>
            </c:strRef>
          </c:cat>
          <c:val>
            <c:numRef>
              <c:f>Wrangler!$R$4:$R$12</c:f>
              <c:numCache>
                <c:formatCode>_(* #,##0.00_);_(* \(#,##0.00\);_(* "-"??_);_(@_)</c:formatCode>
                <c:ptCount val="8"/>
                <c:pt idx="0">
                  <c:v>2.75</c:v>
                </c:pt>
                <c:pt idx="1">
                  <c:v>5.9090909090909092</c:v>
                </c:pt>
                <c:pt idx="2">
                  <c:v>5.9512195121951219</c:v>
                </c:pt>
                <c:pt idx="3">
                  <c:v>6.6590909090909092</c:v>
                </c:pt>
                <c:pt idx="4">
                  <c:v>10.107142857142858</c:v>
                </c:pt>
                <c:pt idx="5">
                  <c:v>10.666666666666666</c:v>
                </c:pt>
                <c:pt idx="6">
                  <c:v>11.121212121212121</c:v>
                </c:pt>
                <c:pt idx="7">
                  <c:v>13.777777777777779</c:v>
                </c:pt>
              </c:numCache>
            </c:numRef>
          </c:val>
          <c:extLst>
            <c:ext xmlns:c16="http://schemas.microsoft.com/office/drawing/2014/chart" uri="{C3380CC4-5D6E-409C-BE32-E72D297353CC}">
              <c16:uniqueId val="{00000000-99D9-4602-9EE1-06EAC10621D0}"/>
            </c:ext>
          </c:extLst>
        </c:ser>
        <c:dLbls>
          <c:dLblPos val="outEnd"/>
          <c:showLegendKey val="0"/>
          <c:showVal val="1"/>
          <c:showCatName val="0"/>
          <c:showSerName val="0"/>
          <c:showPercent val="0"/>
          <c:showBubbleSize val="0"/>
        </c:dLbls>
        <c:gapWidth val="69"/>
        <c:axId val="1365327920"/>
        <c:axId val="1365324560"/>
      </c:barChart>
      <c:catAx>
        <c:axId val="1365327920"/>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DE"/>
          </a:p>
        </c:txPr>
        <c:crossAx val="1365324560"/>
        <c:crosses val="autoZero"/>
        <c:auto val="1"/>
        <c:lblAlgn val="ctr"/>
        <c:lblOffset val="100"/>
        <c:noMultiLvlLbl val="0"/>
      </c:catAx>
      <c:valAx>
        <c:axId val="1365324560"/>
        <c:scaling>
          <c:orientation val="minMax"/>
        </c:scaling>
        <c:delete val="1"/>
        <c:axPos val="b"/>
        <c:numFmt formatCode="_(* #,##0.00_);_(* \(#,##0.00\);_(* &quot;-&quot;??_);_(@_)" sourceLinked="1"/>
        <c:majorTickMark val="none"/>
        <c:minorTickMark val="none"/>
        <c:tickLblPos val="nextTo"/>
        <c:crossAx val="136532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Excel Dashboard.xlsx]Wrangler!PivotTable1</c:name>
    <c:fmtId val="1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5A623"/>
            </a:solidFill>
            <a:bevel/>
          </a:ln>
          <a:effectLst/>
        </c:spPr>
        <c:marker>
          <c:symbol val="star"/>
          <c:size val="5"/>
          <c:spPr>
            <a:solidFill>
              <a:srgbClr val="F5A623"/>
            </a:solidFill>
            <a:ln w="9525">
              <a:solidFill>
                <a:srgbClr val="F5A62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D4EEF7"/>
            </a:solidFill>
            <a:round/>
          </a:ln>
          <a:effectLst/>
        </c:spPr>
        <c:marker>
          <c:symbol val="diamond"/>
          <c:size val="5"/>
          <c:spPr>
            <a:solidFill>
              <a:srgbClr val="D4EEF7"/>
            </a:solidFill>
            <a:ln w="9525">
              <a:solidFill>
                <a:srgbClr val="D4EEF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938524759711521E-2"/>
          <c:y val="3.2448377581120944E-2"/>
          <c:w val="0.83746946692959356"/>
          <c:h val="0.78961442872738252"/>
        </c:manualLayout>
      </c:layout>
      <c:lineChart>
        <c:grouping val="standard"/>
        <c:varyColors val="0"/>
        <c:ser>
          <c:idx val="0"/>
          <c:order val="0"/>
          <c:tx>
            <c:strRef>
              <c:f>Wrangler!$B$3</c:f>
              <c:strCache>
                <c:ptCount val="1"/>
                <c:pt idx="0">
                  <c:v>Total_Billing</c:v>
                </c:pt>
              </c:strCache>
            </c:strRef>
          </c:tx>
          <c:spPr>
            <a:ln w="28575" cap="rnd">
              <a:solidFill>
                <a:srgbClr val="F5A623"/>
              </a:solidFill>
              <a:bevel/>
            </a:ln>
            <a:effectLst/>
          </c:spPr>
          <c:marker>
            <c:symbol val="star"/>
            <c:size val="5"/>
            <c:spPr>
              <a:solidFill>
                <a:srgbClr val="F5A623"/>
              </a:solidFill>
              <a:ln w="9525">
                <a:solidFill>
                  <a:srgbClr val="F5A623"/>
                </a:solidFill>
              </a:ln>
              <a:effectLst/>
            </c:spPr>
          </c:marker>
          <c:cat>
            <c:strRef>
              <c:f>Wrangler!$A$4:$A$12</c:f>
              <c:strCache>
                <c:ptCount val="8"/>
                <c:pt idx="0">
                  <c:v>Cardiac</c:v>
                </c:pt>
                <c:pt idx="1">
                  <c:v>Diabetes</c:v>
                </c:pt>
                <c:pt idx="2">
                  <c:v>Gastroenterology</c:v>
                </c:pt>
                <c:pt idx="3">
                  <c:v>General Surgery</c:v>
                </c:pt>
                <c:pt idx="4">
                  <c:v>Neurology</c:v>
                </c:pt>
                <c:pt idx="5">
                  <c:v>Oncology</c:v>
                </c:pt>
                <c:pt idx="6">
                  <c:v>Orthopaedics</c:v>
                </c:pt>
                <c:pt idx="7">
                  <c:v>Respiratory</c:v>
                </c:pt>
              </c:strCache>
            </c:strRef>
          </c:cat>
          <c:val>
            <c:numRef>
              <c:f>Wrangler!$B$4:$B$12</c:f>
              <c:numCache>
                <c:formatCode>_(* #,##0.00_);_(* \(#,##0.00\);_(* "-"??_);_(@_)</c:formatCode>
                <c:ptCount val="8"/>
                <c:pt idx="0">
                  <c:v>6036719.9100000001</c:v>
                </c:pt>
                <c:pt idx="1">
                  <c:v>1197377.96</c:v>
                </c:pt>
                <c:pt idx="2">
                  <c:v>221233</c:v>
                </c:pt>
                <c:pt idx="3">
                  <c:v>809626.95999999985</c:v>
                </c:pt>
                <c:pt idx="4">
                  <c:v>2674201.6599999997</c:v>
                </c:pt>
                <c:pt idx="5">
                  <c:v>2401270.64</c:v>
                </c:pt>
                <c:pt idx="6">
                  <c:v>522834.44000000006</c:v>
                </c:pt>
                <c:pt idx="7">
                  <c:v>1727523.0200000003</c:v>
                </c:pt>
              </c:numCache>
            </c:numRef>
          </c:val>
          <c:smooth val="0"/>
          <c:extLst>
            <c:ext xmlns:c16="http://schemas.microsoft.com/office/drawing/2014/chart" uri="{C3380CC4-5D6E-409C-BE32-E72D297353CC}">
              <c16:uniqueId val="{00000000-C135-4368-93B6-6E201BC5217D}"/>
            </c:ext>
          </c:extLst>
        </c:ser>
        <c:dLbls>
          <c:showLegendKey val="0"/>
          <c:showVal val="0"/>
          <c:showCatName val="0"/>
          <c:showSerName val="0"/>
          <c:showPercent val="0"/>
          <c:showBubbleSize val="0"/>
        </c:dLbls>
        <c:marker val="1"/>
        <c:smooth val="0"/>
        <c:axId val="1255733456"/>
        <c:axId val="1255755536"/>
      </c:lineChart>
      <c:lineChart>
        <c:grouping val="standard"/>
        <c:varyColors val="0"/>
        <c:ser>
          <c:idx val="1"/>
          <c:order val="1"/>
          <c:tx>
            <c:strRef>
              <c:f>Wrangler!$C$3</c:f>
              <c:strCache>
                <c:ptCount val="1"/>
                <c:pt idx="0">
                  <c:v>Total Patients</c:v>
                </c:pt>
              </c:strCache>
            </c:strRef>
          </c:tx>
          <c:spPr>
            <a:ln w="28575" cap="rnd">
              <a:solidFill>
                <a:srgbClr val="D4EEF7"/>
              </a:solidFill>
              <a:round/>
            </a:ln>
            <a:effectLst/>
          </c:spPr>
          <c:marker>
            <c:symbol val="diamond"/>
            <c:size val="5"/>
            <c:spPr>
              <a:solidFill>
                <a:srgbClr val="D4EEF7"/>
              </a:solidFill>
              <a:ln w="9525">
                <a:solidFill>
                  <a:srgbClr val="D4EEF7"/>
                </a:solidFill>
              </a:ln>
              <a:effectLst/>
            </c:spPr>
          </c:marker>
          <c:cat>
            <c:strRef>
              <c:f>Wrangler!$A$4:$A$12</c:f>
              <c:strCache>
                <c:ptCount val="8"/>
                <c:pt idx="0">
                  <c:v>Cardiac</c:v>
                </c:pt>
                <c:pt idx="1">
                  <c:v>Diabetes</c:v>
                </c:pt>
                <c:pt idx="2">
                  <c:v>Gastroenterology</c:v>
                </c:pt>
                <c:pt idx="3">
                  <c:v>General Surgery</c:v>
                </c:pt>
                <c:pt idx="4">
                  <c:v>Neurology</c:v>
                </c:pt>
                <c:pt idx="5">
                  <c:v>Oncology</c:v>
                </c:pt>
                <c:pt idx="6">
                  <c:v>Orthopaedics</c:v>
                </c:pt>
                <c:pt idx="7">
                  <c:v>Respiratory</c:v>
                </c:pt>
              </c:strCache>
            </c:strRef>
          </c:cat>
          <c:val>
            <c:numRef>
              <c:f>Wrangler!$C$4:$C$12</c:f>
              <c:numCache>
                <c:formatCode>_-* #,##0_-;\-* #,##0_-;_-* "-"??_-;_-@_-</c:formatCode>
                <c:ptCount val="8"/>
                <c:pt idx="0">
                  <c:v>69</c:v>
                </c:pt>
                <c:pt idx="1">
                  <c:v>42</c:v>
                </c:pt>
                <c:pt idx="2">
                  <c:v>10</c:v>
                </c:pt>
                <c:pt idx="3">
                  <c:v>15</c:v>
                </c:pt>
                <c:pt idx="4">
                  <c:v>29</c:v>
                </c:pt>
                <c:pt idx="5">
                  <c:v>18</c:v>
                </c:pt>
                <c:pt idx="6">
                  <c:v>12</c:v>
                </c:pt>
                <c:pt idx="7">
                  <c:v>45</c:v>
                </c:pt>
              </c:numCache>
            </c:numRef>
          </c:val>
          <c:smooth val="0"/>
          <c:extLst>
            <c:ext xmlns:c16="http://schemas.microsoft.com/office/drawing/2014/chart" uri="{C3380CC4-5D6E-409C-BE32-E72D297353CC}">
              <c16:uniqueId val="{00000001-C135-4368-93B6-6E201BC5217D}"/>
            </c:ext>
          </c:extLst>
        </c:ser>
        <c:dLbls>
          <c:showLegendKey val="0"/>
          <c:showVal val="0"/>
          <c:showCatName val="0"/>
          <c:showSerName val="0"/>
          <c:showPercent val="0"/>
          <c:showBubbleSize val="0"/>
        </c:dLbls>
        <c:marker val="1"/>
        <c:smooth val="0"/>
        <c:axId val="1294701168"/>
        <c:axId val="1294700688"/>
      </c:lineChart>
      <c:catAx>
        <c:axId val="1255733456"/>
        <c:scaling>
          <c:orientation val="minMax"/>
        </c:scaling>
        <c:delete val="0"/>
        <c:axPos val="b"/>
        <c:numFmt formatCode="General" sourceLinked="1"/>
        <c:majorTickMark val="cross"/>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DE"/>
          </a:p>
        </c:txPr>
        <c:crossAx val="1255755536"/>
        <c:crosses val="autoZero"/>
        <c:auto val="1"/>
        <c:lblAlgn val="ctr"/>
        <c:lblOffset val="100"/>
        <c:noMultiLvlLbl val="0"/>
      </c:catAx>
      <c:valAx>
        <c:axId val="1255755536"/>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DE"/>
          </a:p>
        </c:txPr>
        <c:crossAx val="1255733456"/>
        <c:crosses val="autoZero"/>
        <c:crossBetween val="between"/>
      </c:valAx>
      <c:valAx>
        <c:axId val="1294700688"/>
        <c:scaling>
          <c:orientation val="minMax"/>
        </c:scaling>
        <c:delete val="0"/>
        <c:axPos val="r"/>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DE"/>
          </a:p>
        </c:txPr>
        <c:crossAx val="1294701168"/>
        <c:crosses val="max"/>
        <c:crossBetween val="between"/>
      </c:valAx>
      <c:catAx>
        <c:axId val="1294701168"/>
        <c:scaling>
          <c:orientation val="minMax"/>
        </c:scaling>
        <c:delete val="1"/>
        <c:axPos val="b"/>
        <c:numFmt formatCode="General" sourceLinked="1"/>
        <c:majorTickMark val="out"/>
        <c:minorTickMark val="none"/>
        <c:tickLblPos val="nextTo"/>
        <c:crossAx val="1294700688"/>
        <c:crosses val="autoZero"/>
        <c:auto val="1"/>
        <c:lblAlgn val="ctr"/>
        <c:lblOffset val="100"/>
        <c:noMultiLvlLbl val="0"/>
      </c:cat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DE"/>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DE"/>
          </a:p>
        </c:txPr>
      </c:legendEntry>
      <c:layout>
        <c:manualLayout>
          <c:xMode val="edge"/>
          <c:yMode val="edge"/>
          <c:x val="0.32203078818300074"/>
          <c:y val="5.7890507049450653E-2"/>
          <c:w val="0.18760143598512533"/>
          <c:h val="9.955821893944674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Excel Dashboard.xlsx]Wrangler!PivotTable11</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D4EEF7"/>
            </a:solidFill>
            <a:round/>
          </a:ln>
          <a:effectLst/>
        </c:spPr>
        <c:marker>
          <c:symbol val="star"/>
          <c:size val="5"/>
          <c:spPr>
            <a:solidFill>
              <a:srgbClr val="D4EEF7"/>
            </a:solidFill>
            <a:ln w="9525">
              <a:solidFill>
                <a:srgbClr val="D4EEF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5A623"/>
            </a:solidFill>
            <a:round/>
          </a:ln>
          <a:effectLst/>
        </c:spPr>
        <c:marker>
          <c:symbol val="diamond"/>
          <c:size val="5"/>
          <c:spPr>
            <a:solidFill>
              <a:srgbClr val="F5A623"/>
            </a:solidFill>
            <a:ln w="9525">
              <a:solidFill>
                <a:srgbClr val="F5A62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824074949464931E-2"/>
          <c:y val="3.260651889879404E-2"/>
          <c:w val="0.73460956316995529"/>
          <c:h val="0.85628869078589842"/>
        </c:manualLayout>
      </c:layout>
      <c:lineChart>
        <c:grouping val="standard"/>
        <c:varyColors val="0"/>
        <c:ser>
          <c:idx val="0"/>
          <c:order val="0"/>
          <c:tx>
            <c:strRef>
              <c:f>Wrangler!$J$32</c:f>
              <c:strCache>
                <c:ptCount val="1"/>
                <c:pt idx="0">
                  <c:v>Total_Billing</c:v>
                </c:pt>
              </c:strCache>
            </c:strRef>
          </c:tx>
          <c:spPr>
            <a:ln w="28575" cap="rnd">
              <a:solidFill>
                <a:srgbClr val="D4EEF7"/>
              </a:solidFill>
              <a:round/>
            </a:ln>
            <a:effectLst/>
          </c:spPr>
          <c:marker>
            <c:symbol val="star"/>
            <c:size val="5"/>
            <c:spPr>
              <a:solidFill>
                <a:srgbClr val="D4EEF7"/>
              </a:solidFill>
              <a:ln w="9525">
                <a:solidFill>
                  <a:srgbClr val="D4EEF7"/>
                </a:solidFill>
              </a:ln>
              <a:effectLst/>
            </c:spPr>
          </c:marker>
          <c:cat>
            <c:strRef>
              <c:f>Wrangler!$I$33:$I$45</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Wrangler!$J$33:$J$45</c:f>
              <c:numCache>
                <c:formatCode>_(* #,##0.00_);_(* \(#,##0.00\);_(* "-"??_);_(@_)</c:formatCode>
                <c:ptCount val="12"/>
                <c:pt idx="0">
                  <c:v>874602.91000000015</c:v>
                </c:pt>
                <c:pt idx="1">
                  <c:v>1366089.78</c:v>
                </c:pt>
                <c:pt idx="2">
                  <c:v>1528903.6099999996</c:v>
                </c:pt>
                <c:pt idx="3">
                  <c:v>940814.04999999993</c:v>
                </c:pt>
                <c:pt idx="4">
                  <c:v>1027594.55</c:v>
                </c:pt>
                <c:pt idx="5">
                  <c:v>1171684.19</c:v>
                </c:pt>
                <c:pt idx="6">
                  <c:v>1191551.96</c:v>
                </c:pt>
                <c:pt idx="7">
                  <c:v>1190208.3799999999</c:v>
                </c:pt>
                <c:pt idx="8">
                  <c:v>1939173.96</c:v>
                </c:pt>
                <c:pt idx="9">
                  <c:v>1443183.25</c:v>
                </c:pt>
                <c:pt idx="10">
                  <c:v>1938009.1600000004</c:v>
                </c:pt>
                <c:pt idx="11">
                  <c:v>978971.79</c:v>
                </c:pt>
              </c:numCache>
            </c:numRef>
          </c:val>
          <c:smooth val="0"/>
          <c:extLst>
            <c:ext xmlns:c16="http://schemas.microsoft.com/office/drawing/2014/chart" uri="{C3380CC4-5D6E-409C-BE32-E72D297353CC}">
              <c16:uniqueId val="{00000000-68ED-4C55-B6CA-A00D57ADB943}"/>
            </c:ext>
          </c:extLst>
        </c:ser>
        <c:dLbls>
          <c:showLegendKey val="0"/>
          <c:showVal val="0"/>
          <c:showCatName val="0"/>
          <c:showSerName val="0"/>
          <c:showPercent val="0"/>
          <c:showBubbleSize val="0"/>
        </c:dLbls>
        <c:marker val="1"/>
        <c:smooth val="0"/>
        <c:axId val="1365240560"/>
        <c:axId val="1365229520"/>
      </c:lineChart>
      <c:lineChart>
        <c:grouping val="standard"/>
        <c:varyColors val="0"/>
        <c:ser>
          <c:idx val="1"/>
          <c:order val="1"/>
          <c:tx>
            <c:strRef>
              <c:f>Wrangler!$K$32</c:f>
              <c:strCache>
                <c:ptCount val="1"/>
                <c:pt idx="0">
                  <c:v>Total Patients</c:v>
                </c:pt>
              </c:strCache>
            </c:strRef>
          </c:tx>
          <c:spPr>
            <a:ln w="28575" cap="rnd">
              <a:solidFill>
                <a:srgbClr val="F5A623"/>
              </a:solidFill>
              <a:round/>
            </a:ln>
            <a:effectLst/>
          </c:spPr>
          <c:marker>
            <c:symbol val="diamond"/>
            <c:size val="5"/>
            <c:spPr>
              <a:solidFill>
                <a:srgbClr val="F5A623"/>
              </a:solidFill>
              <a:ln w="9525">
                <a:solidFill>
                  <a:srgbClr val="F5A623"/>
                </a:solidFill>
              </a:ln>
              <a:effectLst/>
            </c:spPr>
          </c:marker>
          <c:cat>
            <c:strRef>
              <c:f>Wrangler!$I$33:$I$45</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Wrangler!$K$33:$K$45</c:f>
              <c:numCache>
                <c:formatCode>_(* #,##0.00_);_(* \(#,##0.00\);_(* "-"??_);_(@_)</c:formatCode>
                <c:ptCount val="12"/>
                <c:pt idx="0">
                  <c:v>17</c:v>
                </c:pt>
                <c:pt idx="1">
                  <c:v>21</c:v>
                </c:pt>
                <c:pt idx="2">
                  <c:v>17</c:v>
                </c:pt>
                <c:pt idx="3">
                  <c:v>19</c:v>
                </c:pt>
                <c:pt idx="4">
                  <c:v>15</c:v>
                </c:pt>
                <c:pt idx="5">
                  <c:v>14</c:v>
                </c:pt>
                <c:pt idx="6">
                  <c:v>20</c:v>
                </c:pt>
                <c:pt idx="7">
                  <c:v>20</c:v>
                </c:pt>
                <c:pt idx="8">
                  <c:v>26</c:v>
                </c:pt>
                <c:pt idx="9">
                  <c:v>26</c:v>
                </c:pt>
                <c:pt idx="10">
                  <c:v>26</c:v>
                </c:pt>
                <c:pt idx="11">
                  <c:v>19</c:v>
                </c:pt>
              </c:numCache>
            </c:numRef>
          </c:val>
          <c:smooth val="0"/>
          <c:extLst>
            <c:ext xmlns:c16="http://schemas.microsoft.com/office/drawing/2014/chart" uri="{C3380CC4-5D6E-409C-BE32-E72D297353CC}">
              <c16:uniqueId val="{00000001-68ED-4C55-B6CA-A00D57ADB943}"/>
            </c:ext>
          </c:extLst>
        </c:ser>
        <c:dLbls>
          <c:showLegendKey val="0"/>
          <c:showVal val="0"/>
          <c:showCatName val="0"/>
          <c:showSerName val="0"/>
          <c:showPercent val="0"/>
          <c:showBubbleSize val="0"/>
        </c:dLbls>
        <c:marker val="1"/>
        <c:smooth val="0"/>
        <c:axId val="1365243920"/>
        <c:axId val="1365227120"/>
      </c:lineChart>
      <c:catAx>
        <c:axId val="136524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0" i="0" u="none" strike="noStrike" kern="1200" baseline="0">
                <a:solidFill>
                  <a:schemeClr val="bg1"/>
                </a:solidFill>
                <a:latin typeface="+mn-lt"/>
                <a:ea typeface="+mn-ea"/>
                <a:cs typeface="+mn-cs"/>
              </a:defRPr>
            </a:pPr>
            <a:endParaRPr lang="en-DE"/>
          </a:p>
        </c:txPr>
        <c:crossAx val="1365229520"/>
        <c:crosses val="autoZero"/>
        <c:auto val="1"/>
        <c:lblAlgn val="ctr"/>
        <c:lblOffset val="100"/>
        <c:noMultiLvlLbl val="0"/>
      </c:catAx>
      <c:valAx>
        <c:axId val="1365229520"/>
        <c:scaling>
          <c:orientation val="minMax"/>
        </c:scaling>
        <c:delete val="0"/>
        <c:axPos val="l"/>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DE"/>
          </a:p>
        </c:txPr>
        <c:crossAx val="1365240560"/>
        <c:crosses val="autoZero"/>
        <c:crossBetween val="between"/>
      </c:valAx>
      <c:valAx>
        <c:axId val="1365227120"/>
        <c:scaling>
          <c:orientation val="minMax"/>
        </c:scaling>
        <c:delete val="0"/>
        <c:axPos val="r"/>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DE"/>
          </a:p>
        </c:txPr>
        <c:crossAx val="1365243920"/>
        <c:crosses val="max"/>
        <c:crossBetween val="between"/>
      </c:valAx>
      <c:catAx>
        <c:axId val="1365243920"/>
        <c:scaling>
          <c:orientation val="minMax"/>
        </c:scaling>
        <c:delete val="1"/>
        <c:axPos val="b"/>
        <c:numFmt formatCode="General" sourceLinked="1"/>
        <c:majorTickMark val="out"/>
        <c:minorTickMark val="none"/>
        <c:tickLblPos val="nextTo"/>
        <c:crossAx val="1365227120"/>
        <c:crosses val="autoZero"/>
        <c:auto val="1"/>
        <c:lblAlgn val="ctr"/>
        <c:lblOffset val="100"/>
        <c:noMultiLvlLbl val="0"/>
      </c:catAx>
      <c:spPr>
        <a:noFill/>
        <a:ln>
          <a:noFill/>
        </a:ln>
        <a:effectLst/>
      </c:spPr>
    </c:plotArea>
    <c:legend>
      <c:legendPos val="r"/>
      <c:legendEntry>
        <c:idx val="0"/>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DE"/>
          </a:p>
        </c:txPr>
      </c:legendEntry>
      <c:legendEntry>
        <c:idx val="1"/>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DE"/>
          </a:p>
        </c:txPr>
      </c:legendEntry>
      <c:layout>
        <c:manualLayout>
          <c:xMode val="edge"/>
          <c:yMode val="edge"/>
          <c:x val="0.17338987858078636"/>
          <c:y val="3.8215916842993726E-2"/>
          <c:w val="0.19539228265420511"/>
          <c:h val="0.1488850347451062"/>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419100</xdr:colOff>
      <xdr:row>9</xdr:row>
      <xdr:rowOff>85724</xdr:rowOff>
    </xdr:from>
    <xdr:to>
      <xdr:col>11</xdr:col>
      <xdr:colOff>295275</xdr:colOff>
      <xdr:row>28</xdr:row>
      <xdr:rowOff>123825</xdr:rowOff>
    </xdr:to>
    <xdr:graphicFrame macro="">
      <xdr:nvGraphicFramePr>
        <xdr:cNvPr id="2" name="Chart 1">
          <a:extLst>
            <a:ext uri="{FF2B5EF4-FFF2-40B4-BE49-F238E27FC236}">
              <a16:creationId xmlns:a16="http://schemas.microsoft.com/office/drawing/2014/main" id="{38D4F415-F0FF-370D-E849-D75B0246BE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xdr:colOff>
      <xdr:row>13</xdr:row>
      <xdr:rowOff>57149</xdr:rowOff>
    </xdr:from>
    <xdr:to>
      <xdr:col>4</xdr:col>
      <xdr:colOff>361951</xdr:colOff>
      <xdr:row>32</xdr:row>
      <xdr:rowOff>171450</xdr:rowOff>
    </xdr:to>
    <xdr:graphicFrame macro="">
      <xdr:nvGraphicFramePr>
        <xdr:cNvPr id="4" name="Chart 3">
          <a:extLst>
            <a:ext uri="{FF2B5EF4-FFF2-40B4-BE49-F238E27FC236}">
              <a16:creationId xmlns:a16="http://schemas.microsoft.com/office/drawing/2014/main" id="{C7192635-6E84-8EC0-9DEF-887CDB71C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485775</xdr:colOff>
      <xdr:row>45</xdr:row>
      <xdr:rowOff>180975</xdr:rowOff>
    </xdr:from>
    <xdr:to>
      <xdr:col>12</xdr:col>
      <xdr:colOff>190500</xdr:colOff>
      <xdr:row>61</xdr:row>
      <xdr:rowOff>123825</xdr:rowOff>
    </xdr:to>
    <xdr:graphicFrame macro="">
      <xdr:nvGraphicFramePr>
        <xdr:cNvPr id="6" name="Chart 5">
          <a:extLst>
            <a:ext uri="{FF2B5EF4-FFF2-40B4-BE49-F238E27FC236}">
              <a16:creationId xmlns:a16="http://schemas.microsoft.com/office/drawing/2014/main" id="{F1799EC3-6ECB-43E7-5F97-9AB04AD5DE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542924</xdr:colOff>
      <xdr:row>12</xdr:row>
      <xdr:rowOff>152399</xdr:rowOff>
    </xdr:from>
    <xdr:to>
      <xdr:col>21</xdr:col>
      <xdr:colOff>219075</xdr:colOff>
      <xdr:row>28</xdr:row>
      <xdr:rowOff>47625</xdr:rowOff>
    </xdr:to>
    <xdr:graphicFrame macro="">
      <xdr:nvGraphicFramePr>
        <xdr:cNvPr id="7" name="Chart 6">
          <a:extLst>
            <a:ext uri="{FF2B5EF4-FFF2-40B4-BE49-F238E27FC236}">
              <a16:creationId xmlns:a16="http://schemas.microsoft.com/office/drawing/2014/main" id="{6E09144E-B3E0-BD2B-F17B-EEEA0B040D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276225</xdr:colOff>
      <xdr:row>39</xdr:row>
      <xdr:rowOff>109537</xdr:rowOff>
    </xdr:from>
    <xdr:to>
      <xdr:col>20</xdr:col>
      <xdr:colOff>304800</xdr:colOff>
      <xdr:row>53</xdr:row>
      <xdr:rowOff>185737</xdr:rowOff>
    </xdr:to>
    <xdr:graphicFrame macro="">
      <xdr:nvGraphicFramePr>
        <xdr:cNvPr id="8" name="Chart 7">
          <a:extLst>
            <a:ext uri="{FF2B5EF4-FFF2-40B4-BE49-F238E27FC236}">
              <a16:creationId xmlns:a16="http://schemas.microsoft.com/office/drawing/2014/main" id="{F671FB2A-8287-2BFB-8504-7FE2280534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695325</xdr:colOff>
      <xdr:row>1</xdr:row>
      <xdr:rowOff>95250</xdr:rowOff>
    </xdr:from>
    <xdr:to>
      <xdr:col>12</xdr:col>
      <xdr:colOff>228600</xdr:colOff>
      <xdr:row>14</xdr:row>
      <xdr:rowOff>142875</xdr:rowOff>
    </xdr:to>
    <mc:AlternateContent xmlns:mc="http://schemas.openxmlformats.org/markup-compatibility/2006" xmlns:a14="http://schemas.microsoft.com/office/drawing/2010/main">
      <mc:Choice Requires="a14">
        <xdr:graphicFrame macro="">
          <xdr:nvGraphicFramePr>
            <xdr:cNvPr id="9" name="Age_Group">
              <a:extLst>
                <a:ext uri="{FF2B5EF4-FFF2-40B4-BE49-F238E27FC236}">
                  <a16:creationId xmlns:a16="http://schemas.microsoft.com/office/drawing/2014/main" id="{DE111912-DAB1-FB82-8DC9-928DEB4F07E2}"/>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7105650" y="285750"/>
              <a:ext cx="1828800" cy="2524125"/>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47625</xdr:colOff>
      <xdr:row>7</xdr:row>
      <xdr:rowOff>57150</xdr:rowOff>
    </xdr:from>
    <xdr:to>
      <xdr:col>12</xdr:col>
      <xdr:colOff>381000</xdr:colOff>
      <xdr:row>20</xdr:row>
      <xdr:rowOff>104775</xdr:rowOff>
    </xdr:to>
    <mc:AlternateContent xmlns:mc="http://schemas.openxmlformats.org/markup-compatibility/2006" xmlns:a14="http://schemas.microsoft.com/office/drawing/2010/main">
      <mc:Choice Requires="a14">
        <xdr:graphicFrame macro="">
          <xdr:nvGraphicFramePr>
            <xdr:cNvPr id="10" name="Gender">
              <a:extLst>
                <a:ext uri="{FF2B5EF4-FFF2-40B4-BE49-F238E27FC236}">
                  <a16:creationId xmlns:a16="http://schemas.microsoft.com/office/drawing/2014/main" id="{E5AAA3F8-3D88-47C6-A44B-CD5B82F24F3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258050" y="1390650"/>
              <a:ext cx="1828800" cy="2524125"/>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523875</xdr:colOff>
      <xdr:row>9</xdr:row>
      <xdr:rowOff>152400</xdr:rowOff>
    </xdr:from>
    <xdr:to>
      <xdr:col>14</xdr:col>
      <xdr:colOff>85725</xdr:colOff>
      <xdr:row>23</xdr:row>
      <xdr:rowOff>9525</xdr:rowOff>
    </xdr:to>
    <mc:AlternateContent xmlns:mc="http://schemas.openxmlformats.org/markup-compatibility/2006" xmlns:a14="http://schemas.microsoft.com/office/drawing/2010/main">
      <mc:Choice Requires="a14">
        <xdr:graphicFrame macro="">
          <xdr:nvGraphicFramePr>
            <xdr:cNvPr id="11" name="Admission_Type">
              <a:extLst>
                <a:ext uri="{FF2B5EF4-FFF2-40B4-BE49-F238E27FC236}">
                  <a16:creationId xmlns:a16="http://schemas.microsoft.com/office/drawing/2014/main" id="{70D6676C-1139-00DB-2AEB-862E158A49DA}"/>
                </a:ext>
              </a:extLst>
            </xdr:cNvPr>
            <xdr:cNvGraphicFramePr/>
          </xdr:nvGraphicFramePr>
          <xdr:xfrm>
            <a:off x="0" y="0"/>
            <a:ext cx="0" cy="0"/>
          </xdr:xfrm>
          <a:graphic>
            <a:graphicData uri="http://schemas.microsoft.com/office/drawing/2010/slicer">
              <sle:slicer xmlns:sle="http://schemas.microsoft.com/office/drawing/2010/slicer" name="Admission_Type"/>
            </a:graphicData>
          </a:graphic>
        </xdr:graphicFrame>
      </mc:Choice>
      <mc:Fallback xmlns="">
        <xdr:sp macro="" textlink="">
          <xdr:nvSpPr>
            <xdr:cNvPr id="0" name=""/>
            <xdr:cNvSpPr>
              <a:spLocks noTextEdit="1"/>
            </xdr:cNvSpPr>
          </xdr:nvSpPr>
          <xdr:spPr>
            <a:xfrm>
              <a:off x="7734300" y="1866900"/>
              <a:ext cx="1828800" cy="2524125"/>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114300</xdr:colOff>
      <xdr:row>12</xdr:row>
      <xdr:rowOff>57150</xdr:rowOff>
    </xdr:from>
    <xdr:to>
      <xdr:col>14</xdr:col>
      <xdr:colOff>561975</xdr:colOff>
      <xdr:row>25</xdr:row>
      <xdr:rowOff>104775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2941B23E-B025-B8E9-166A-66C5F862449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210550" y="2343150"/>
              <a:ext cx="1828800" cy="2524125"/>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590550</xdr:colOff>
      <xdr:row>14</xdr:row>
      <xdr:rowOff>152400</xdr:rowOff>
    </xdr:from>
    <xdr:to>
      <xdr:col>15</xdr:col>
      <xdr:colOff>428625</xdr:colOff>
      <xdr:row>28</xdr:row>
      <xdr:rowOff>9525</xdr:rowOff>
    </xdr:to>
    <mc:AlternateContent xmlns:mc="http://schemas.openxmlformats.org/markup-compatibility/2006" xmlns:a14="http://schemas.microsoft.com/office/drawing/2010/main">
      <mc:Choice Requires="a14">
        <xdr:graphicFrame macro="">
          <xdr:nvGraphicFramePr>
            <xdr:cNvPr id="13" name="Insurance_Provider">
              <a:extLst>
                <a:ext uri="{FF2B5EF4-FFF2-40B4-BE49-F238E27FC236}">
                  <a16:creationId xmlns:a16="http://schemas.microsoft.com/office/drawing/2014/main" id="{B26834E1-CD89-1196-720F-BBB52B4ACAF4}"/>
                </a:ext>
              </a:extLst>
            </xdr:cNvPr>
            <xdr:cNvGraphicFramePr/>
          </xdr:nvGraphicFramePr>
          <xdr:xfrm>
            <a:off x="0" y="0"/>
            <a:ext cx="0" cy="0"/>
          </xdr:xfrm>
          <a:graphic>
            <a:graphicData uri="http://schemas.microsoft.com/office/drawing/2010/slicer">
              <sle:slicer xmlns:sle="http://schemas.microsoft.com/office/drawing/2010/slicer" name="Insurance_Provider"/>
            </a:graphicData>
          </a:graphic>
        </xdr:graphicFrame>
      </mc:Choice>
      <mc:Fallback xmlns="">
        <xdr:sp macro="" textlink="">
          <xdr:nvSpPr>
            <xdr:cNvPr id="0" name=""/>
            <xdr:cNvSpPr>
              <a:spLocks noTextEdit="1"/>
            </xdr:cNvSpPr>
          </xdr:nvSpPr>
          <xdr:spPr>
            <a:xfrm>
              <a:off x="8686800" y="2819400"/>
              <a:ext cx="1828800" cy="2524125"/>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466725</xdr:colOff>
      <xdr:row>14</xdr:row>
      <xdr:rowOff>180975</xdr:rowOff>
    </xdr:from>
    <xdr:to>
      <xdr:col>14</xdr:col>
      <xdr:colOff>28575</xdr:colOff>
      <xdr:row>28</xdr:row>
      <xdr:rowOff>38100</xdr:rowOff>
    </xdr:to>
    <mc:AlternateContent xmlns:mc="http://schemas.openxmlformats.org/markup-compatibility/2006" xmlns:a14="http://schemas.microsoft.com/office/drawing/2010/main">
      <mc:Choice Requires="a14">
        <xdr:graphicFrame macro="">
          <xdr:nvGraphicFramePr>
            <xdr:cNvPr id="14" name="Readmitted_Within_30Days">
              <a:extLst>
                <a:ext uri="{FF2B5EF4-FFF2-40B4-BE49-F238E27FC236}">
                  <a16:creationId xmlns:a16="http://schemas.microsoft.com/office/drawing/2014/main" id="{8FAF66EB-C19F-77EB-70A7-46BBBB7A7A8D}"/>
                </a:ext>
              </a:extLst>
            </xdr:cNvPr>
            <xdr:cNvGraphicFramePr/>
          </xdr:nvGraphicFramePr>
          <xdr:xfrm>
            <a:off x="0" y="0"/>
            <a:ext cx="0" cy="0"/>
          </xdr:xfrm>
          <a:graphic>
            <a:graphicData uri="http://schemas.microsoft.com/office/drawing/2010/slicer">
              <sle:slicer xmlns:sle="http://schemas.microsoft.com/office/drawing/2010/slicer" name="Readmitted_Within_30Days"/>
            </a:graphicData>
          </a:graphic>
        </xdr:graphicFrame>
      </mc:Choice>
      <mc:Fallback xmlns="">
        <xdr:sp macro="" textlink="">
          <xdr:nvSpPr>
            <xdr:cNvPr id="0" name=""/>
            <xdr:cNvSpPr>
              <a:spLocks noTextEdit="1"/>
            </xdr:cNvSpPr>
          </xdr:nvSpPr>
          <xdr:spPr>
            <a:xfrm>
              <a:off x="7677150" y="2847975"/>
              <a:ext cx="1828800" cy="2524125"/>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209549</xdr:colOff>
      <xdr:row>10</xdr:row>
      <xdr:rowOff>95250</xdr:rowOff>
    </xdr:from>
    <xdr:to>
      <xdr:col>10</xdr:col>
      <xdr:colOff>85725</xdr:colOff>
      <xdr:row>17</xdr:row>
      <xdr:rowOff>133350</xdr:rowOff>
    </xdr:to>
    <mc:AlternateContent xmlns:mc="http://schemas.openxmlformats.org/markup-compatibility/2006" xmlns:tsle="http://schemas.microsoft.com/office/drawing/2012/timeslicer">
      <mc:Choice Requires="tsle">
        <xdr:graphicFrame macro="">
          <xdr:nvGraphicFramePr>
            <xdr:cNvPr id="16" name="Date_of_Admission">
              <a:extLst>
                <a:ext uri="{FF2B5EF4-FFF2-40B4-BE49-F238E27FC236}">
                  <a16:creationId xmlns:a16="http://schemas.microsoft.com/office/drawing/2014/main" id="{FCCA607A-7004-D0F9-61CA-A39731A71663}"/>
                </a:ext>
              </a:extLst>
            </xdr:cNvPr>
            <xdr:cNvGraphicFramePr/>
          </xdr:nvGraphicFramePr>
          <xdr:xfrm>
            <a:off x="0" y="0"/>
            <a:ext cx="0" cy="0"/>
          </xdr:xfrm>
          <a:graphic>
            <a:graphicData uri="http://schemas.microsoft.com/office/drawing/2012/timeslicer">
              <tsle:timeslicer name="Date_of_Admission"/>
            </a:graphicData>
          </a:graphic>
        </xdr:graphicFrame>
      </mc:Choice>
      <mc:Fallback xmlns="">
        <xdr:sp macro="" textlink="">
          <xdr:nvSpPr>
            <xdr:cNvPr id="0" name=""/>
            <xdr:cNvSpPr>
              <a:spLocks noTextEdit="1"/>
            </xdr:cNvSpPr>
          </xdr:nvSpPr>
          <xdr:spPr>
            <a:xfrm>
              <a:off x="3762374" y="2000250"/>
              <a:ext cx="3533776" cy="1371600"/>
            </a:xfrm>
            <a:prstGeom prst="rect">
              <a:avLst/>
            </a:prstGeom>
            <a:solidFill>
              <a:prstClr val="white"/>
            </a:solidFill>
            <a:ln w="1">
              <a:solidFill>
                <a:prstClr val="green"/>
              </a:solidFill>
            </a:ln>
          </xdr:spPr>
          <xdr:txBody>
            <a:bodyPr vertOverflow="clip" horzOverflow="clip"/>
            <a:lstStyle/>
            <a:p>
              <a:r>
                <a:rPr lang="en-DE"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1</xdr:rowOff>
    </xdr:from>
    <xdr:to>
      <xdr:col>24</xdr:col>
      <xdr:colOff>600075</xdr:colOff>
      <xdr:row>43</xdr:row>
      <xdr:rowOff>114301</xdr:rowOff>
    </xdr:to>
    <xdr:sp macro="" textlink="">
      <xdr:nvSpPr>
        <xdr:cNvPr id="2" name="Rectangle 1">
          <a:extLst>
            <a:ext uri="{FF2B5EF4-FFF2-40B4-BE49-F238E27FC236}">
              <a16:creationId xmlns:a16="http://schemas.microsoft.com/office/drawing/2014/main" id="{9AD530B7-3630-D222-3B02-EEBF35577154}"/>
            </a:ext>
          </a:extLst>
        </xdr:cNvPr>
        <xdr:cNvSpPr/>
      </xdr:nvSpPr>
      <xdr:spPr>
        <a:xfrm>
          <a:off x="19050" y="1"/>
          <a:ext cx="15440025" cy="8305800"/>
        </a:xfrm>
        <a:prstGeom prst="rect">
          <a:avLst/>
        </a:prstGeom>
        <a:solidFill>
          <a:srgbClr val="0F19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DE" sz="1100">
            <a:solidFill>
              <a:schemeClr val="lt1"/>
            </a:solidFill>
            <a:latin typeface="+mn-lt"/>
            <a:ea typeface="+mn-ea"/>
            <a:cs typeface="+mn-cs"/>
          </a:endParaRPr>
        </a:p>
      </xdr:txBody>
    </xdr:sp>
    <xdr:clientData/>
  </xdr:twoCellAnchor>
  <xdr:twoCellAnchor>
    <xdr:from>
      <xdr:col>25</xdr:col>
      <xdr:colOff>209550</xdr:colOff>
      <xdr:row>0</xdr:row>
      <xdr:rowOff>133350</xdr:rowOff>
    </xdr:from>
    <xdr:to>
      <xdr:col>29</xdr:col>
      <xdr:colOff>19050</xdr:colOff>
      <xdr:row>4</xdr:row>
      <xdr:rowOff>123825</xdr:rowOff>
    </xdr:to>
    <xdr:sp macro="" textlink="">
      <xdr:nvSpPr>
        <xdr:cNvPr id="3" name="Rectangle 2">
          <a:extLst>
            <a:ext uri="{FF2B5EF4-FFF2-40B4-BE49-F238E27FC236}">
              <a16:creationId xmlns:a16="http://schemas.microsoft.com/office/drawing/2014/main" id="{3439B755-AC79-FF51-7742-3D4408F1BEC8}"/>
            </a:ext>
          </a:extLst>
        </xdr:cNvPr>
        <xdr:cNvSpPr/>
      </xdr:nvSpPr>
      <xdr:spPr>
        <a:xfrm>
          <a:off x="15449550" y="133350"/>
          <a:ext cx="2247900" cy="752475"/>
        </a:xfrm>
        <a:prstGeom prst="rect">
          <a:avLst/>
        </a:prstGeom>
        <a:solidFill>
          <a:srgbClr val="0F19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clientData/>
  </xdr:twoCellAnchor>
  <xdr:twoCellAnchor>
    <xdr:from>
      <xdr:col>25</xdr:col>
      <xdr:colOff>276225</xdr:colOff>
      <xdr:row>6</xdr:row>
      <xdr:rowOff>28575</xdr:rowOff>
    </xdr:from>
    <xdr:to>
      <xdr:col>29</xdr:col>
      <xdr:colOff>85725</xdr:colOff>
      <xdr:row>10</xdr:row>
      <xdr:rowOff>19050</xdr:rowOff>
    </xdr:to>
    <xdr:sp macro="" textlink="">
      <xdr:nvSpPr>
        <xdr:cNvPr id="4" name="Rectangle 3">
          <a:extLst>
            <a:ext uri="{FF2B5EF4-FFF2-40B4-BE49-F238E27FC236}">
              <a16:creationId xmlns:a16="http://schemas.microsoft.com/office/drawing/2014/main" id="{871507D9-1DDD-0F1A-F125-CD737216B26D}"/>
            </a:ext>
          </a:extLst>
        </xdr:cNvPr>
        <xdr:cNvSpPr/>
      </xdr:nvSpPr>
      <xdr:spPr>
        <a:xfrm>
          <a:off x="15516225" y="1171575"/>
          <a:ext cx="2247900" cy="752475"/>
        </a:xfrm>
        <a:prstGeom prst="rect">
          <a:avLst/>
        </a:prstGeom>
        <a:solidFill>
          <a:srgbClr val="22384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clientData/>
  </xdr:twoCellAnchor>
  <xdr:twoCellAnchor>
    <xdr:from>
      <xdr:col>25</xdr:col>
      <xdr:colOff>323850</xdr:colOff>
      <xdr:row>12</xdr:row>
      <xdr:rowOff>38100</xdr:rowOff>
    </xdr:from>
    <xdr:to>
      <xdr:col>29</xdr:col>
      <xdr:colOff>133350</xdr:colOff>
      <xdr:row>16</xdr:row>
      <xdr:rowOff>28575</xdr:rowOff>
    </xdr:to>
    <xdr:sp macro="" textlink="">
      <xdr:nvSpPr>
        <xdr:cNvPr id="5" name="Rectangle 4">
          <a:extLst>
            <a:ext uri="{FF2B5EF4-FFF2-40B4-BE49-F238E27FC236}">
              <a16:creationId xmlns:a16="http://schemas.microsoft.com/office/drawing/2014/main" id="{2EA7A8B6-0CD5-FF16-2858-F0778CE0D2E3}"/>
            </a:ext>
          </a:extLst>
        </xdr:cNvPr>
        <xdr:cNvSpPr/>
      </xdr:nvSpPr>
      <xdr:spPr>
        <a:xfrm>
          <a:off x="15563850" y="2324100"/>
          <a:ext cx="2247900" cy="752475"/>
        </a:xfrm>
        <a:prstGeom prst="rect">
          <a:avLst/>
        </a:prstGeom>
        <a:solidFill>
          <a:srgbClr val="00A99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clientData/>
  </xdr:twoCellAnchor>
  <xdr:twoCellAnchor>
    <xdr:from>
      <xdr:col>25</xdr:col>
      <xdr:colOff>352425</xdr:colOff>
      <xdr:row>17</xdr:row>
      <xdr:rowOff>152400</xdr:rowOff>
    </xdr:from>
    <xdr:to>
      <xdr:col>29</xdr:col>
      <xdr:colOff>161925</xdr:colOff>
      <xdr:row>21</xdr:row>
      <xdr:rowOff>142875</xdr:rowOff>
    </xdr:to>
    <xdr:sp macro="" textlink="">
      <xdr:nvSpPr>
        <xdr:cNvPr id="6" name="Rectangle 5">
          <a:extLst>
            <a:ext uri="{FF2B5EF4-FFF2-40B4-BE49-F238E27FC236}">
              <a16:creationId xmlns:a16="http://schemas.microsoft.com/office/drawing/2014/main" id="{E8F007B7-7433-0918-E368-124CEF39E7DE}"/>
            </a:ext>
          </a:extLst>
        </xdr:cNvPr>
        <xdr:cNvSpPr/>
      </xdr:nvSpPr>
      <xdr:spPr>
        <a:xfrm>
          <a:off x="15592425" y="3390900"/>
          <a:ext cx="2247900" cy="752475"/>
        </a:xfrm>
        <a:prstGeom prst="rect">
          <a:avLst/>
        </a:prstGeom>
        <a:solidFill>
          <a:srgbClr val="D4EEF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clientData/>
  </xdr:twoCellAnchor>
  <xdr:twoCellAnchor>
    <xdr:from>
      <xdr:col>25</xdr:col>
      <xdr:colOff>457200</xdr:colOff>
      <xdr:row>23</xdr:row>
      <xdr:rowOff>161925</xdr:rowOff>
    </xdr:from>
    <xdr:to>
      <xdr:col>29</xdr:col>
      <xdr:colOff>266700</xdr:colOff>
      <xdr:row>27</xdr:row>
      <xdr:rowOff>152400</xdr:rowOff>
    </xdr:to>
    <xdr:sp macro="" textlink="">
      <xdr:nvSpPr>
        <xdr:cNvPr id="7" name="Rectangle 6">
          <a:extLst>
            <a:ext uri="{FF2B5EF4-FFF2-40B4-BE49-F238E27FC236}">
              <a16:creationId xmlns:a16="http://schemas.microsoft.com/office/drawing/2014/main" id="{026175A5-4C6A-00B9-255C-1E52E098B5A4}"/>
            </a:ext>
          </a:extLst>
        </xdr:cNvPr>
        <xdr:cNvSpPr/>
      </xdr:nvSpPr>
      <xdr:spPr>
        <a:xfrm>
          <a:off x="15697200" y="4543425"/>
          <a:ext cx="2247900" cy="752475"/>
        </a:xfrm>
        <a:prstGeom prst="rect">
          <a:avLst/>
        </a:prstGeom>
        <a:solidFill>
          <a:srgbClr val="F5A62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clientData/>
  </xdr:twoCellAnchor>
  <xdr:twoCellAnchor>
    <xdr:from>
      <xdr:col>25</xdr:col>
      <xdr:colOff>361950</xdr:colOff>
      <xdr:row>29</xdr:row>
      <xdr:rowOff>9525</xdr:rowOff>
    </xdr:from>
    <xdr:to>
      <xdr:col>29</xdr:col>
      <xdr:colOff>171450</xdr:colOff>
      <xdr:row>33</xdr:row>
      <xdr:rowOff>0</xdr:rowOff>
    </xdr:to>
    <xdr:sp macro="" textlink="">
      <xdr:nvSpPr>
        <xdr:cNvPr id="8" name="Rectangle 7">
          <a:extLst>
            <a:ext uri="{FF2B5EF4-FFF2-40B4-BE49-F238E27FC236}">
              <a16:creationId xmlns:a16="http://schemas.microsoft.com/office/drawing/2014/main" id="{9E5387E0-9097-8722-19F6-6103BC2D1491}"/>
            </a:ext>
          </a:extLst>
        </xdr:cNvPr>
        <xdr:cNvSpPr/>
      </xdr:nvSpPr>
      <xdr:spPr>
        <a:xfrm>
          <a:off x="15601950" y="5534025"/>
          <a:ext cx="2247900" cy="752475"/>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clientData/>
  </xdr:twoCellAnchor>
  <xdr:twoCellAnchor>
    <xdr:from>
      <xdr:col>6</xdr:col>
      <xdr:colOff>28575</xdr:colOff>
      <xdr:row>5</xdr:row>
      <xdr:rowOff>171451</xdr:rowOff>
    </xdr:from>
    <xdr:to>
      <xdr:col>11</xdr:col>
      <xdr:colOff>533400</xdr:colOff>
      <xdr:row>18</xdr:row>
      <xdr:rowOff>38101</xdr:rowOff>
    </xdr:to>
    <xdr:sp macro="" textlink="">
      <xdr:nvSpPr>
        <xdr:cNvPr id="28" name="Rectangle: Rounded Corners 27">
          <a:extLst>
            <a:ext uri="{FF2B5EF4-FFF2-40B4-BE49-F238E27FC236}">
              <a16:creationId xmlns:a16="http://schemas.microsoft.com/office/drawing/2014/main" id="{D75107ED-775A-F3BC-0A2F-A1097BC4F612}"/>
            </a:ext>
          </a:extLst>
        </xdr:cNvPr>
        <xdr:cNvSpPr/>
      </xdr:nvSpPr>
      <xdr:spPr>
        <a:xfrm>
          <a:off x="3743325" y="1123951"/>
          <a:ext cx="3600450" cy="2343150"/>
        </a:xfrm>
        <a:prstGeom prst="roundRect">
          <a:avLst>
            <a:gd name="adj" fmla="val 7001"/>
          </a:avLst>
        </a:prstGeom>
        <a:solidFill>
          <a:srgbClr val="22384E"/>
        </a:solidFill>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clientData/>
  </xdr:twoCellAnchor>
  <xdr:twoCellAnchor>
    <xdr:from>
      <xdr:col>6</xdr:col>
      <xdr:colOff>47624</xdr:colOff>
      <xdr:row>19</xdr:row>
      <xdr:rowOff>126642</xdr:rowOff>
    </xdr:from>
    <xdr:to>
      <xdr:col>15</xdr:col>
      <xdr:colOff>57150</xdr:colOff>
      <xdr:row>43</xdr:row>
      <xdr:rowOff>0</xdr:rowOff>
    </xdr:to>
    <xdr:sp macro="" textlink="">
      <xdr:nvSpPr>
        <xdr:cNvPr id="46" name="Rectangle: Rounded Corners 45">
          <a:extLst>
            <a:ext uri="{FF2B5EF4-FFF2-40B4-BE49-F238E27FC236}">
              <a16:creationId xmlns:a16="http://schemas.microsoft.com/office/drawing/2014/main" id="{9E44AE3D-6852-011D-747A-856CF0DE5D87}"/>
            </a:ext>
          </a:extLst>
        </xdr:cNvPr>
        <xdr:cNvSpPr/>
      </xdr:nvSpPr>
      <xdr:spPr>
        <a:xfrm>
          <a:off x="3762374" y="3746142"/>
          <a:ext cx="5581651" cy="4445358"/>
        </a:xfrm>
        <a:prstGeom prst="roundRect">
          <a:avLst>
            <a:gd name="adj" fmla="val 4280"/>
          </a:avLst>
        </a:prstGeom>
        <a:solidFill>
          <a:srgbClr val="22384E"/>
        </a:solidFill>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clientData/>
  </xdr:twoCellAnchor>
  <xdr:twoCellAnchor>
    <xdr:from>
      <xdr:col>15</xdr:col>
      <xdr:colOff>333375</xdr:colOff>
      <xdr:row>19</xdr:row>
      <xdr:rowOff>123825</xdr:rowOff>
    </xdr:from>
    <xdr:to>
      <xdr:col>24</xdr:col>
      <xdr:colOff>561975</xdr:colOff>
      <xdr:row>43</xdr:row>
      <xdr:rowOff>47625</xdr:rowOff>
    </xdr:to>
    <xdr:sp macro="" textlink="">
      <xdr:nvSpPr>
        <xdr:cNvPr id="47" name="Rectangle: Rounded Corners 46">
          <a:extLst>
            <a:ext uri="{FF2B5EF4-FFF2-40B4-BE49-F238E27FC236}">
              <a16:creationId xmlns:a16="http://schemas.microsoft.com/office/drawing/2014/main" id="{CDCE613B-BC67-207A-6AD3-12BEBBE7E917}"/>
            </a:ext>
          </a:extLst>
        </xdr:cNvPr>
        <xdr:cNvSpPr/>
      </xdr:nvSpPr>
      <xdr:spPr>
        <a:xfrm>
          <a:off x="9620250" y="3743325"/>
          <a:ext cx="5800725" cy="4495800"/>
        </a:xfrm>
        <a:prstGeom prst="roundRect">
          <a:avLst>
            <a:gd name="adj" fmla="val 3919"/>
          </a:avLst>
        </a:prstGeom>
        <a:solidFill>
          <a:srgbClr val="22384E"/>
        </a:solidFill>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clientData/>
  </xdr:twoCellAnchor>
  <xdr:twoCellAnchor>
    <xdr:from>
      <xdr:col>21</xdr:col>
      <xdr:colOff>28573</xdr:colOff>
      <xdr:row>0</xdr:row>
      <xdr:rowOff>85725</xdr:rowOff>
    </xdr:from>
    <xdr:to>
      <xdr:col>24</xdr:col>
      <xdr:colOff>323849</xdr:colOff>
      <xdr:row>4</xdr:row>
      <xdr:rowOff>180975</xdr:rowOff>
    </xdr:to>
    <xdr:sp macro="" textlink="">
      <xdr:nvSpPr>
        <xdr:cNvPr id="33" name="Rectangle: Rounded Corners 32">
          <a:extLst>
            <a:ext uri="{FF2B5EF4-FFF2-40B4-BE49-F238E27FC236}">
              <a16:creationId xmlns:a16="http://schemas.microsoft.com/office/drawing/2014/main" id="{0AD47B18-BF26-D260-B6E2-649AAF5B3525}"/>
            </a:ext>
          </a:extLst>
        </xdr:cNvPr>
        <xdr:cNvSpPr/>
      </xdr:nvSpPr>
      <xdr:spPr>
        <a:xfrm>
          <a:off x="13030198" y="85725"/>
          <a:ext cx="2152651" cy="857250"/>
        </a:xfrm>
        <a:prstGeom prst="roundRect">
          <a:avLst>
            <a:gd name="adj" fmla="val 9769"/>
          </a:avLst>
        </a:prstGeom>
        <a:solidFill>
          <a:srgbClr val="22384E"/>
        </a:solidFill>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clientData/>
  </xdr:twoCellAnchor>
  <xdr:twoCellAnchor>
    <xdr:from>
      <xdr:col>0</xdr:col>
      <xdr:colOff>266700</xdr:colOff>
      <xdr:row>5</xdr:row>
      <xdr:rowOff>142875</xdr:rowOff>
    </xdr:from>
    <xdr:to>
      <xdr:col>5</xdr:col>
      <xdr:colOff>476250</xdr:colOff>
      <xdr:row>43</xdr:row>
      <xdr:rowOff>38100</xdr:rowOff>
    </xdr:to>
    <xdr:sp macro="" textlink="">
      <xdr:nvSpPr>
        <xdr:cNvPr id="36" name="Rectangle: Rounded Corners 35">
          <a:extLst>
            <a:ext uri="{FF2B5EF4-FFF2-40B4-BE49-F238E27FC236}">
              <a16:creationId xmlns:a16="http://schemas.microsoft.com/office/drawing/2014/main" id="{C0F95B74-0FB0-B9E3-C28E-D855FF4155AA}"/>
            </a:ext>
          </a:extLst>
        </xdr:cNvPr>
        <xdr:cNvSpPr/>
      </xdr:nvSpPr>
      <xdr:spPr>
        <a:xfrm>
          <a:off x="266700" y="1095375"/>
          <a:ext cx="3305175" cy="7134225"/>
        </a:xfrm>
        <a:prstGeom prst="roundRect">
          <a:avLst>
            <a:gd name="adj" fmla="val 5910"/>
          </a:avLst>
        </a:prstGeom>
        <a:solidFill>
          <a:srgbClr val="22384E"/>
        </a:solidFill>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clientData/>
  </xdr:twoCellAnchor>
  <xdr:twoCellAnchor>
    <xdr:from>
      <xdr:col>12</xdr:col>
      <xdr:colOff>95250</xdr:colOff>
      <xdr:row>6</xdr:row>
      <xdr:rowOff>19050</xdr:rowOff>
    </xdr:from>
    <xdr:to>
      <xdr:col>18</xdr:col>
      <xdr:colOff>342900</xdr:colOff>
      <xdr:row>18</xdr:row>
      <xdr:rowOff>38100</xdr:rowOff>
    </xdr:to>
    <xdr:sp macro="" textlink="">
      <xdr:nvSpPr>
        <xdr:cNvPr id="37" name="Rectangle: Rounded Corners 36">
          <a:extLst>
            <a:ext uri="{FF2B5EF4-FFF2-40B4-BE49-F238E27FC236}">
              <a16:creationId xmlns:a16="http://schemas.microsoft.com/office/drawing/2014/main" id="{797C4208-E2E1-A108-0739-5D8C27486D8D}"/>
            </a:ext>
          </a:extLst>
        </xdr:cNvPr>
        <xdr:cNvSpPr/>
      </xdr:nvSpPr>
      <xdr:spPr>
        <a:xfrm>
          <a:off x="7524750" y="1162050"/>
          <a:ext cx="3962400" cy="2305050"/>
        </a:xfrm>
        <a:prstGeom prst="roundRect">
          <a:avLst>
            <a:gd name="adj" fmla="val 6275"/>
          </a:avLst>
        </a:prstGeom>
        <a:solidFill>
          <a:srgbClr val="22384E"/>
        </a:solidFill>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clientData/>
  </xdr:twoCellAnchor>
  <xdr:twoCellAnchor>
    <xdr:from>
      <xdr:col>18</xdr:col>
      <xdr:colOff>542924</xdr:colOff>
      <xdr:row>6</xdr:row>
      <xdr:rowOff>0</xdr:rowOff>
    </xdr:from>
    <xdr:to>
      <xdr:col>24</xdr:col>
      <xdr:colOff>304800</xdr:colOff>
      <xdr:row>18</xdr:row>
      <xdr:rowOff>14102</xdr:rowOff>
    </xdr:to>
    <xdr:sp macro="" textlink="">
      <xdr:nvSpPr>
        <xdr:cNvPr id="48" name="Rectangle: Rounded Corners 47">
          <a:extLst>
            <a:ext uri="{FF2B5EF4-FFF2-40B4-BE49-F238E27FC236}">
              <a16:creationId xmlns:a16="http://schemas.microsoft.com/office/drawing/2014/main" id="{451CBDBD-2E2A-67C7-6D55-EEE81C1C9408}"/>
            </a:ext>
          </a:extLst>
        </xdr:cNvPr>
        <xdr:cNvSpPr/>
      </xdr:nvSpPr>
      <xdr:spPr>
        <a:xfrm>
          <a:off x="11687174" y="1143000"/>
          <a:ext cx="3476626" cy="2300102"/>
        </a:xfrm>
        <a:prstGeom prst="roundRect">
          <a:avLst>
            <a:gd name="adj" fmla="val 6275"/>
          </a:avLst>
        </a:prstGeom>
        <a:solidFill>
          <a:srgbClr val="22384E"/>
        </a:solidFill>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clientData/>
  </xdr:twoCellAnchor>
  <xdr:twoCellAnchor>
    <xdr:from>
      <xdr:col>0</xdr:col>
      <xdr:colOff>381000</xdr:colOff>
      <xdr:row>0</xdr:row>
      <xdr:rowOff>104775</xdr:rowOff>
    </xdr:from>
    <xdr:to>
      <xdr:col>8</xdr:col>
      <xdr:colOff>123825</xdr:colOff>
      <xdr:row>4</xdr:row>
      <xdr:rowOff>161925</xdr:rowOff>
    </xdr:to>
    <xdr:sp macro="" textlink="">
      <xdr:nvSpPr>
        <xdr:cNvPr id="49" name="TextBox 48">
          <a:extLst>
            <a:ext uri="{FF2B5EF4-FFF2-40B4-BE49-F238E27FC236}">
              <a16:creationId xmlns:a16="http://schemas.microsoft.com/office/drawing/2014/main" id="{40E4B40D-B0B7-79B6-FE5F-E6F5D12665B6}"/>
            </a:ext>
          </a:extLst>
        </xdr:cNvPr>
        <xdr:cNvSpPr txBox="1"/>
      </xdr:nvSpPr>
      <xdr:spPr>
        <a:xfrm>
          <a:off x="381000" y="104775"/>
          <a:ext cx="4695825" cy="81915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a:solidFill>
                <a:srgbClr val="F5A623"/>
              </a:solidFill>
            </a:rPr>
            <a:t>Healthcare Cost Analytics</a:t>
          </a:r>
        </a:p>
        <a:p>
          <a:r>
            <a:rPr lang="en-GB" sz="1400" i="1">
              <a:solidFill>
                <a:schemeClr val="bg1"/>
              </a:solidFill>
            </a:rPr>
            <a:t>A Sample of Nigeria's healthcare cost</a:t>
          </a:r>
          <a:endParaRPr lang="en-DE" sz="1400" i="1">
            <a:solidFill>
              <a:schemeClr val="bg1"/>
            </a:solidFill>
          </a:endParaRPr>
        </a:p>
      </xdr:txBody>
    </xdr:sp>
    <xdr:clientData/>
  </xdr:twoCellAnchor>
  <xdr:twoCellAnchor>
    <xdr:from>
      <xdr:col>21</xdr:col>
      <xdr:colOff>114301</xdr:colOff>
      <xdr:row>0</xdr:row>
      <xdr:rowOff>152401</xdr:rowOff>
    </xdr:from>
    <xdr:to>
      <xdr:col>24</xdr:col>
      <xdr:colOff>285750</xdr:colOff>
      <xdr:row>2</xdr:row>
      <xdr:rowOff>66675</xdr:rowOff>
    </xdr:to>
    <xdr:sp macro="" textlink="">
      <xdr:nvSpPr>
        <xdr:cNvPr id="59" name="TextBox 58">
          <a:extLst>
            <a:ext uri="{FF2B5EF4-FFF2-40B4-BE49-F238E27FC236}">
              <a16:creationId xmlns:a16="http://schemas.microsoft.com/office/drawing/2014/main" id="{34E7E40B-1675-1EA1-294B-0EA7BC5770A1}"/>
            </a:ext>
          </a:extLst>
        </xdr:cNvPr>
        <xdr:cNvSpPr txBox="1"/>
      </xdr:nvSpPr>
      <xdr:spPr>
        <a:xfrm>
          <a:off x="13115926" y="152401"/>
          <a:ext cx="2028824" cy="295274"/>
        </a:xfrm>
        <a:prstGeom prst="rect">
          <a:avLst/>
        </a:prstGeom>
        <a:solidFill>
          <a:srgbClr val="22384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400">
              <a:solidFill>
                <a:srgbClr val="F5A623"/>
              </a:solidFill>
              <a:latin typeface="+mn-lt"/>
              <a:ea typeface="+mn-ea"/>
              <a:cs typeface="+mn-cs"/>
            </a:rPr>
            <a:t>Average Admission Time</a:t>
          </a:r>
          <a:endParaRPr lang="en-DE" sz="1400">
            <a:solidFill>
              <a:srgbClr val="F5A623"/>
            </a:solidFill>
            <a:latin typeface="+mn-lt"/>
            <a:ea typeface="+mn-ea"/>
            <a:cs typeface="+mn-cs"/>
          </a:endParaRPr>
        </a:p>
      </xdr:txBody>
    </xdr:sp>
    <xdr:clientData/>
  </xdr:twoCellAnchor>
  <xdr:twoCellAnchor>
    <xdr:from>
      <xdr:col>21</xdr:col>
      <xdr:colOff>28575</xdr:colOff>
      <xdr:row>0</xdr:row>
      <xdr:rowOff>152400</xdr:rowOff>
    </xdr:from>
    <xdr:to>
      <xdr:col>21</xdr:col>
      <xdr:colOff>123825</xdr:colOff>
      <xdr:row>3</xdr:row>
      <xdr:rowOff>47625</xdr:rowOff>
    </xdr:to>
    <xdr:sp macro="" textlink="">
      <xdr:nvSpPr>
        <xdr:cNvPr id="66" name="Rectangle 65">
          <a:extLst>
            <a:ext uri="{FF2B5EF4-FFF2-40B4-BE49-F238E27FC236}">
              <a16:creationId xmlns:a16="http://schemas.microsoft.com/office/drawing/2014/main" id="{26AD44B7-1B9F-741C-2A1B-944E1FFCAD88}"/>
            </a:ext>
          </a:extLst>
        </xdr:cNvPr>
        <xdr:cNvSpPr/>
      </xdr:nvSpPr>
      <xdr:spPr>
        <a:xfrm>
          <a:off x="13030200" y="152400"/>
          <a:ext cx="95250" cy="466725"/>
        </a:xfrm>
        <a:prstGeom prst="rect">
          <a:avLst/>
        </a:prstGeom>
        <a:solidFill>
          <a:srgbClr val="00A99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clientData/>
  </xdr:twoCellAnchor>
  <xdr:twoCellAnchor>
    <xdr:from>
      <xdr:col>17</xdr:col>
      <xdr:colOff>180973</xdr:colOff>
      <xdr:row>0</xdr:row>
      <xdr:rowOff>85725</xdr:rowOff>
    </xdr:from>
    <xdr:to>
      <xdr:col>20</xdr:col>
      <xdr:colOff>476249</xdr:colOff>
      <xdr:row>4</xdr:row>
      <xdr:rowOff>180975</xdr:rowOff>
    </xdr:to>
    <xdr:sp macro="" textlink="">
      <xdr:nvSpPr>
        <xdr:cNvPr id="67" name="Rectangle: Rounded Corners 66">
          <a:extLst>
            <a:ext uri="{FF2B5EF4-FFF2-40B4-BE49-F238E27FC236}">
              <a16:creationId xmlns:a16="http://schemas.microsoft.com/office/drawing/2014/main" id="{AB89A786-AB5D-FFCF-42B9-6ED19D3A73B9}"/>
            </a:ext>
          </a:extLst>
        </xdr:cNvPr>
        <xdr:cNvSpPr/>
      </xdr:nvSpPr>
      <xdr:spPr>
        <a:xfrm>
          <a:off x="10706098" y="85725"/>
          <a:ext cx="2152651" cy="857250"/>
        </a:xfrm>
        <a:prstGeom prst="roundRect">
          <a:avLst>
            <a:gd name="adj" fmla="val 9769"/>
          </a:avLst>
        </a:prstGeom>
        <a:solidFill>
          <a:srgbClr val="22384E"/>
        </a:solidFill>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clientData/>
  </xdr:twoCellAnchor>
  <xdr:twoCellAnchor>
    <xdr:from>
      <xdr:col>17</xdr:col>
      <xdr:colOff>266700</xdr:colOff>
      <xdr:row>0</xdr:row>
      <xdr:rowOff>180976</xdr:rowOff>
    </xdr:from>
    <xdr:to>
      <xdr:col>19</xdr:col>
      <xdr:colOff>590549</xdr:colOff>
      <xdr:row>2</xdr:row>
      <xdr:rowOff>47626</xdr:rowOff>
    </xdr:to>
    <xdr:sp macro="" textlink="">
      <xdr:nvSpPr>
        <xdr:cNvPr id="58" name="TextBox 57">
          <a:extLst>
            <a:ext uri="{FF2B5EF4-FFF2-40B4-BE49-F238E27FC236}">
              <a16:creationId xmlns:a16="http://schemas.microsoft.com/office/drawing/2014/main" id="{DACF8497-3B8F-1C61-A850-0283C4A2CE3E}"/>
            </a:ext>
          </a:extLst>
        </xdr:cNvPr>
        <xdr:cNvSpPr txBox="1"/>
      </xdr:nvSpPr>
      <xdr:spPr>
        <a:xfrm>
          <a:off x="10791825" y="180976"/>
          <a:ext cx="1562099" cy="247650"/>
        </a:xfrm>
        <a:prstGeom prst="rect">
          <a:avLst/>
        </a:prstGeom>
        <a:solidFill>
          <a:srgbClr val="22384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400">
              <a:solidFill>
                <a:srgbClr val="F5A623"/>
              </a:solidFill>
              <a:latin typeface="+mn-lt"/>
              <a:ea typeface="+mn-ea"/>
              <a:cs typeface="+mn-cs"/>
            </a:rPr>
            <a:t>Total Admissions</a:t>
          </a:r>
          <a:endParaRPr lang="en-DE" sz="1400">
            <a:solidFill>
              <a:srgbClr val="F5A623"/>
            </a:solidFill>
            <a:latin typeface="+mn-lt"/>
            <a:ea typeface="+mn-ea"/>
            <a:cs typeface="+mn-cs"/>
          </a:endParaRPr>
        </a:p>
      </xdr:txBody>
    </xdr:sp>
    <xdr:clientData/>
  </xdr:twoCellAnchor>
  <xdr:twoCellAnchor>
    <xdr:from>
      <xdr:col>17</xdr:col>
      <xdr:colOff>180975</xdr:colOff>
      <xdr:row>1</xdr:row>
      <xdr:rowOff>0</xdr:rowOff>
    </xdr:from>
    <xdr:to>
      <xdr:col>17</xdr:col>
      <xdr:colOff>276225</xdr:colOff>
      <xdr:row>3</xdr:row>
      <xdr:rowOff>85725</xdr:rowOff>
    </xdr:to>
    <xdr:sp macro="" textlink="">
      <xdr:nvSpPr>
        <xdr:cNvPr id="61" name="Rectangle 60">
          <a:extLst>
            <a:ext uri="{FF2B5EF4-FFF2-40B4-BE49-F238E27FC236}">
              <a16:creationId xmlns:a16="http://schemas.microsoft.com/office/drawing/2014/main" id="{679FD9F6-1C76-D503-1892-12910970ABEE}"/>
            </a:ext>
          </a:extLst>
        </xdr:cNvPr>
        <xdr:cNvSpPr/>
      </xdr:nvSpPr>
      <xdr:spPr>
        <a:xfrm>
          <a:off x="10706100" y="190500"/>
          <a:ext cx="95250" cy="466725"/>
        </a:xfrm>
        <a:prstGeom prst="rect">
          <a:avLst/>
        </a:prstGeom>
        <a:solidFill>
          <a:srgbClr val="00A99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clientData/>
  </xdr:twoCellAnchor>
  <xdr:twoCellAnchor>
    <xdr:from>
      <xdr:col>13</xdr:col>
      <xdr:colOff>323848</xdr:colOff>
      <xdr:row>0</xdr:row>
      <xdr:rowOff>104775</xdr:rowOff>
    </xdr:from>
    <xdr:to>
      <xdr:col>16</xdr:col>
      <xdr:colOff>619124</xdr:colOff>
      <xdr:row>5</xdr:row>
      <xdr:rowOff>9525</xdr:rowOff>
    </xdr:to>
    <xdr:sp macro="" textlink="">
      <xdr:nvSpPr>
        <xdr:cNvPr id="68" name="Rectangle: Rounded Corners 67">
          <a:extLst>
            <a:ext uri="{FF2B5EF4-FFF2-40B4-BE49-F238E27FC236}">
              <a16:creationId xmlns:a16="http://schemas.microsoft.com/office/drawing/2014/main" id="{C6986E0F-7413-3734-B10B-23E043320A81}"/>
            </a:ext>
          </a:extLst>
        </xdr:cNvPr>
        <xdr:cNvSpPr/>
      </xdr:nvSpPr>
      <xdr:spPr>
        <a:xfrm>
          <a:off x="8372473" y="104775"/>
          <a:ext cx="2152651" cy="857250"/>
        </a:xfrm>
        <a:prstGeom prst="roundRect">
          <a:avLst>
            <a:gd name="adj" fmla="val 9769"/>
          </a:avLst>
        </a:prstGeom>
        <a:solidFill>
          <a:srgbClr val="22384E"/>
        </a:solidFill>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clientData/>
  </xdr:twoCellAnchor>
  <xdr:twoCellAnchor>
    <xdr:from>
      <xdr:col>13</xdr:col>
      <xdr:colOff>381001</xdr:colOff>
      <xdr:row>1</xdr:row>
      <xdr:rowOff>19051</xdr:rowOff>
    </xdr:from>
    <xdr:to>
      <xdr:col>15</xdr:col>
      <xdr:colOff>590551</xdr:colOff>
      <xdr:row>2</xdr:row>
      <xdr:rowOff>76201</xdr:rowOff>
    </xdr:to>
    <xdr:sp macro="" textlink="">
      <xdr:nvSpPr>
        <xdr:cNvPr id="54" name="TextBox 53">
          <a:extLst>
            <a:ext uri="{FF2B5EF4-FFF2-40B4-BE49-F238E27FC236}">
              <a16:creationId xmlns:a16="http://schemas.microsoft.com/office/drawing/2014/main" id="{119DFDEA-47C6-BE23-AF56-6D9CB6EA86B9}"/>
            </a:ext>
          </a:extLst>
        </xdr:cNvPr>
        <xdr:cNvSpPr txBox="1"/>
      </xdr:nvSpPr>
      <xdr:spPr>
        <a:xfrm>
          <a:off x="8429626" y="209551"/>
          <a:ext cx="1447800" cy="247650"/>
        </a:xfrm>
        <a:prstGeom prst="rect">
          <a:avLst/>
        </a:prstGeom>
        <a:solidFill>
          <a:srgbClr val="22384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GB" sz="1400">
              <a:solidFill>
                <a:srgbClr val="F5A623"/>
              </a:solidFill>
              <a:latin typeface="+mn-lt"/>
              <a:ea typeface="+mn-ea"/>
              <a:cs typeface="+mn-cs"/>
            </a:rPr>
            <a:t>Total Billings </a:t>
          </a:r>
          <a:endParaRPr lang="en-DE" sz="1400">
            <a:solidFill>
              <a:srgbClr val="F5A623"/>
            </a:solidFill>
            <a:latin typeface="+mn-lt"/>
            <a:ea typeface="+mn-ea"/>
            <a:cs typeface="+mn-cs"/>
          </a:endParaRPr>
        </a:p>
      </xdr:txBody>
    </xdr:sp>
    <xdr:clientData/>
  </xdr:twoCellAnchor>
  <xdr:twoCellAnchor>
    <xdr:from>
      <xdr:col>13</xdr:col>
      <xdr:colOff>304800</xdr:colOff>
      <xdr:row>1</xdr:row>
      <xdr:rowOff>19050</xdr:rowOff>
    </xdr:from>
    <xdr:to>
      <xdr:col>13</xdr:col>
      <xdr:colOff>400050</xdr:colOff>
      <xdr:row>3</xdr:row>
      <xdr:rowOff>104775</xdr:rowOff>
    </xdr:to>
    <xdr:sp macro="" textlink="">
      <xdr:nvSpPr>
        <xdr:cNvPr id="60" name="Rectangle 59">
          <a:extLst>
            <a:ext uri="{FF2B5EF4-FFF2-40B4-BE49-F238E27FC236}">
              <a16:creationId xmlns:a16="http://schemas.microsoft.com/office/drawing/2014/main" id="{D8435018-EC87-47DD-B793-D7C24E32D355}"/>
            </a:ext>
          </a:extLst>
        </xdr:cNvPr>
        <xdr:cNvSpPr/>
      </xdr:nvSpPr>
      <xdr:spPr>
        <a:xfrm>
          <a:off x="8353425" y="209550"/>
          <a:ext cx="95250" cy="466725"/>
        </a:xfrm>
        <a:prstGeom prst="rect">
          <a:avLst/>
        </a:prstGeom>
        <a:solidFill>
          <a:srgbClr val="00A99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DE" sz="1100"/>
        </a:p>
      </xdr:txBody>
    </xdr:sp>
    <xdr:clientData/>
  </xdr:twoCellAnchor>
  <xdr:twoCellAnchor>
    <xdr:from>
      <xdr:col>13</xdr:col>
      <xdr:colOff>457200</xdr:colOff>
      <xdr:row>2</xdr:row>
      <xdr:rowOff>161924</xdr:rowOff>
    </xdr:from>
    <xdr:to>
      <xdr:col>16</xdr:col>
      <xdr:colOff>581025</xdr:colOff>
      <xdr:row>4</xdr:row>
      <xdr:rowOff>190499</xdr:rowOff>
    </xdr:to>
    <xdr:sp macro="" textlink="Wrangler!AA11">
      <xdr:nvSpPr>
        <xdr:cNvPr id="69" name="TextBox 68">
          <a:extLst>
            <a:ext uri="{FF2B5EF4-FFF2-40B4-BE49-F238E27FC236}">
              <a16:creationId xmlns:a16="http://schemas.microsoft.com/office/drawing/2014/main" id="{571DA738-824D-450A-C1B6-27FD31A69977}"/>
            </a:ext>
          </a:extLst>
        </xdr:cNvPr>
        <xdr:cNvSpPr txBox="1"/>
      </xdr:nvSpPr>
      <xdr:spPr>
        <a:xfrm>
          <a:off x="8505825" y="542924"/>
          <a:ext cx="1981200" cy="409575"/>
        </a:xfrm>
        <a:prstGeom prst="rect">
          <a:avLst/>
        </a:prstGeom>
        <a:solidFill>
          <a:srgbClr val="22384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440C201-EB9E-4DAB-BB03-B37E0AD9C415}" type="TxLink">
            <a:rPr lang="en-US" sz="2200" b="0" i="0" u="none" strike="noStrike">
              <a:solidFill>
                <a:schemeClr val="bg1"/>
              </a:solidFill>
              <a:latin typeface="Calibri"/>
              <a:ea typeface="Calibri"/>
              <a:cs typeface="Calibri"/>
            </a:rPr>
            <a:pPr marL="0" indent="0"/>
            <a:t> 15.590.787,59 </a:t>
          </a:fld>
          <a:endParaRPr lang="en-DE" sz="2200" b="1">
            <a:solidFill>
              <a:schemeClr val="bg1"/>
            </a:solidFill>
            <a:latin typeface="+mn-lt"/>
            <a:ea typeface="+mn-ea"/>
            <a:cs typeface="+mn-cs"/>
          </a:endParaRPr>
        </a:p>
      </xdr:txBody>
    </xdr:sp>
    <xdr:clientData/>
  </xdr:twoCellAnchor>
  <xdr:twoCellAnchor>
    <xdr:from>
      <xdr:col>17</xdr:col>
      <xdr:colOff>285750</xdr:colOff>
      <xdr:row>2</xdr:row>
      <xdr:rowOff>114299</xdr:rowOff>
    </xdr:from>
    <xdr:to>
      <xdr:col>20</xdr:col>
      <xdr:colOff>409575</xdr:colOff>
      <xdr:row>4</xdr:row>
      <xdr:rowOff>142874</xdr:rowOff>
    </xdr:to>
    <xdr:sp macro="" textlink="Wrangler!AC11">
      <xdr:nvSpPr>
        <xdr:cNvPr id="70" name="TextBox 69">
          <a:extLst>
            <a:ext uri="{FF2B5EF4-FFF2-40B4-BE49-F238E27FC236}">
              <a16:creationId xmlns:a16="http://schemas.microsoft.com/office/drawing/2014/main" id="{759B8B5F-58C4-DEFB-008D-B833088DF9C9}"/>
            </a:ext>
          </a:extLst>
        </xdr:cNvPr>
        <xdr:cNvSpPr txBox="1"/>
      </xdr:nvSpPr>
      <xdr:spPr>
        <a:xfrm>
          <a:off x="10810875" y="495299"/>
          <a:ext cx="1981200" cy="409575"/>
        </a:xfrm>
        <a:prstGeom prst="rect">
          <a:avLst/>
        </a:prstGeom>
        <a:solidFill>
          <a:srgbClr val="22384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9DCFE2-BA6F-41F0-B47B-7DC348A154FC}" type="TxLink">
            <a:rPr lang="en-US" sz="2200" b="0" i="0" u="none" strike="noStrike">
              <a:solidFill>
                <a:schemeClr val="bg1"/>
              </a:solidFill>
              <a:latin typeface="Calibri"/>
              <a:ea typeface="Calibri"/>
              <a:cs typeface="Calibri"/>
            </a:rPr>
            <a:pPr marL="0" indent="0"/>
            <a:t> 240 </a:t>
          </a:fld>
          <a:endParaRPr lang="en-DE" sz="2200" b="0" i="0" u="none" strike="noStrike">
            <a:solidFill>
              <a:schemeClr val="bg1"/>
            </a:solidFill>
            <a:latin typeface="Calibri"/>
            <a:ea typeface="Calibri"/>
            <a:cs typeface="Calibri"/>
          </a:endParaRPr>
        </a:p>
      </xdr:txBody>
    </xdr:sp>
    <xdr:clientData/>
  </xdr:twoCellAnchor>
  <xdr:twoCellAnchor>
    <xdr:from>
      <xdr:col>21</xdr:col>
      <xdr:colOff>161925</xdr:colOff>
      <xdr:row>2</xdr:row>
      <xdr:rowOff>114299</xdr:rowOff>
    </xdr:from>
    <xdr:to>
      <xdr:col>24</xdr:col>
      <xdr:colOff>285750</xdr:colOff>
      <xdr:row>4</xdr:row>
      <xdr:rowOff>142874</xdr:rowOff>
    </xdr:to>
    <xdr:sp macro="" textlink="Wrangler!AB11">
      <xdr:nvSpPr>
        <xdr:cNvPr id="71" name="TextBox 70">
          <a:extLst>
            <a:ext uri="{FF2B5EF4-FFF2-40B4-BE49-F238E27FC236}">
              <a16:creationId xmlns:a16="http://schemas.microsoft.com/office/drawing/2014/main" id="{D2FEE51A-FC8E-7934-C1AB-8CC01F75AC63}"/>
            </a:ext>
          </a:extLst>
        </xdr:cNvPr>
        <xdr:cNvSpPr txBox="1"/>
      </xdr:nvSpPr>
      <xdr:spPr>
        <a:xfrm>
          <a:off x="13163550" y="495299"/>
          <a:ext cx="1981200" cy="409575"/>
        </a:xfrm>
        <a:prstGeom prst="rect">
          <a:avLst/>
        </a:prstGeom>
        <a:solidFill>
          <a:srgbClr val="22384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4A1ED2-CA15-457B-B639-7F4DA403ED4F}" type="TxLink">
            <a:rPr lang="en-US" sz="2200" b="0" i="0" u="none" strike="noStrike">
              <a:solidFill>
                <a:schemeClr val="bg1"/>
              </a:solidFill>
              <a:latin typeface="Calibri"/>
              <a:ea typeface="Calibri"/>
              <a:cs typeface="Calibri"/>
            </a:rPr>
            <a:pPr marL="0" indent="0"/>
            <a:t> 8,87 </a:t>
          </a:fld>
          <a:endParaRPr lang="en-DE" sz="2200" b="0" i="0" u="none" strike="noStrike">
            <a:solidFill>
              <a:schemeClr val="bg1"/>
            </a:solidFill>
            <a:latin typeface="Calibri"/>
            <a:ea typeface="Calibri"/>
            <a:cs typeface="Calibri"/>
          </a:endParaRPr>
        </a:p>
      </xdr:txBody>
    </xdr:sp>
    <xdr:clientData/>
  </xdr:twoCellAnchor>
  <xdr:twoCellAnchor>
    <xdr:from>
      <xdr:col>6</xdr:col>
      <xdr:colOff>114299</xdr:colOff>
      <xdr:row>6</xdr:row>
      <xdr:rowOff>85725</xdr:rowOff>
    </xdr:from>
    <xdr:to>
      <xdr:col>11</xdr:col>
      <xdr:colOff>495299</xdr:colOff>
      <xdr:row>18</xdr:row>
      <xdr:rowOff>95249</xdr:rowOff>
    </xdr:to>
    <xdr:graphicFrame macro="">
      <xdr:nvGraphicFramePr>
        <xdr:cNvPr id="73" name="Chart 72">
          <a:extLst>
            <a:ext uri="{FF2B5EF4-FFF2-40B4-BE49-F238E27FC236}">
              <a16:creationId xmlns:a16="http://schemas.microsoft.com/office/drawing/2014/main" id="{EAD26632-B6B7-4BE9-80F5-B137DFFA8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142874</xdr:colOff>
      <xdr:row>6</xdr:row>
      <xdr:rowOff>57151</xdr:rowOff>
    </xdr:from>
    <xdr:to>
      <xdr:col>18</xdr:col>
      <xdr:colOff>304799</xdr:colOff>
      <xdr:row>17</xdr:row>
      <xdr:rowOff>152401</xdr:rowOff>
    </xdr:to>
    <xdr:graphicFrame macro="">
      <xdr:nvGraphicFramePr>
        <xdr:cNvPr id="75" name="Chart 74">
          <a:extLst>
            <a:ext uri="{FF2B5EF4-FFF2-40B4-BE49-F238E27FC236}">
              <a16:creationId xmlns:a16="http://schemas.microsoft.com/office/drawing/2014/main" id="{FDA62115-8FBF-4A62-BFF7-2FA351C89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542925</xdr:colOff>
      <xdr:row>6</xdr:row>
      <xdr:rowOff>0</xdr:rowOff>
    </xdr:from>
    <xdr:to>
      <xdr:col>24</xdr:col>
      <xdr:colOff>285750</xdr:colOff>
      <xdr:row>18</xdr:row>
      <xdr:rowOff>9525</xdr:rowOff>
    </xdr:to>
    <xdr:graphicFrame macro="">
      <xdr:nvGraphicFramePr>
        <xdr:cNvPr id="76" name="Chart 75">
          <a:extLst>
            <a:ext uri="{FF2B5EF4-FFF2-40B4-BE49-F238E27FC236}">
              <a16:creationId xmlns:a16="http://schemas.microsoft.com/office/drawing/2014/main" id="{D35D8BEC-6E90-4CBD-84B7-5E9C3486A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123825</xdr:colOff>
      <xdr:row>20</xdr:row>
      <xdr:rowOff>0</xdr:rowOff>
    </xdr:from>
    <xdr:to>
      <xdr:col>14</xdr:col>
      <xdr:colOff>609600</xdr:colOff>
      <xdr:row>42</xdr:row>
      <xdr:rowOff>114300</xdr:rowOff>
    </xdr:to>
    <xdr:graphicFrame macro="">
      <xdr:nvGraphicFramePr>
        <xdr:cNvPr id="78" name="Chart 77">
          <a:extLst>
            <a:ext uri="{FF2B5EF4-FFF2-40B4-BE49-F238E27FC236}">
              <a16:creationId xmlns:a16="http://schemas.microsoft.com/office/drawing/2014/main" id="{A79051D8-DEDA-4B59-BF2F-ED305293E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514350</xdr:colOff>
      <xdr:row>19</xdr:row>
      <xdr:rowOff>133351</xdr:rowOff>
    </xdr:from>
    <xdr:to>
      <xdr:col>24</xdr:col>
      <xdr:colOff>495300</xdr:colOff>
      <xdr:row>42</xdr:row>
      <xdr:rowOff>76201</xdr:rowOff>
    </xdr:to>
    <xdr:graphicFrame macro="">
      <xdr:nvGraphicFramePr>
        <xdr:cNvPr id="80" name="Chart 79">
          <a:extLst>
            <a:ext uri="{FF2B5EF4-FFF2-40B4-BE49-F238E27FC236}">
              <a16:creationId xmlns:a16="http://schemas.microsoft.com/office/drawing/2014/main" id="{30CAB3E1-629F-4920-88BC-E62988399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0</xdr:colOff>
      <xdr:row>12</xdr:row>
      <xdr:rowOff>133350</xdr:rowOff>
    </xdr:from>
    <xdr:to>
      <xdr:col>5</xdr:col>
      <xdr:colOff>447675</xdr:colOff>
      <xdr:row>22</xdr:row>
      <xdr:rowOff>19050</xdr:rowOff>
    </xdr:to>
    <mc:AlternateContent xmlns:mc="http://schemas.openxmlformats.org/markup-compatibility/2006" xmlns:a14="http://schemas.microsoft.com/office/drawing/2010/main">
      <mc:Choice Requires="a14">
        <xdr:graphicFrame macro="">
          <xdr:nvGraphicFramePr>
            <xdr:cNvPr id="86" name="Admission_Type 1">
              <a:extLst>
                <a:ext uri="{FF2B5EF4-FFF2-40B4-BE49-F238E27FC236}">
                  <a16:creationId xmlns:a16="http://schemas.microsoft.com/office/drawing/2014/main" id="{3491F355-08D2-48B2-9D25-F2D0A5F3DABF}"/>
                </a:ext>
              </a:extLst>
            </xdr:cNvPr>
            <xdr:cNvGraphicFramePr/>
          </xdr:nvGraphicFramePr>
          <xdr:xfrm>
            <a:off x="0" y="0"/>
            <a:ext cx="0" cy="0"/>
          </xdr:xfrm>
          <a:graphic>
            <a:graphicData uri="http://schemas.microsoft.com/office/drawing/2010/slicer">
              <sle:slicer xmlns:sle="http://schemas.microsoft.com/office/drawing/2010/slicer" name="Admission_Type 1"/>
            </a:graphicData>
          </a:graphic>
        </xdr:graphicFrame>
      </mc:Choice>
      <mc:Fallback xmlns="">
        <xdr:sp macro="" textlink="">
          <xdr:nvSpPr>
            <xdr:cNvPr id="0" name=""/>
            <xdr:cNvSpPr>
              <a:spLocks noTextEdit="1"/>
            </xdr:cNvSpPr>
          </xdr:nvSpPr>
          <xdr:spPr>
            <a:xfrm>
              <a:off x="1857375" y="2419350"/>
              <a:ext cx="1685925" cy="1790700"/>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114301</xdr:colOff>
      <xdr:row>21</xdr:row>
      <xdr:rowOff>70394</xdr:rowOff>
    </xdr:from>
    <xdr:to>
      <xdr:col>5</xdr:col>
      <xdr:colOff>247650</xdr:colOff>
      <xdr:row>31</xdr:row>
      <xdr:rowOff>142876</xdr:rowOff>
    </xdr:to>
    <mc:AlternateContent xmlns:mc="http://schemas.openxmlformats.org/markup-compatibility/2006" xmlns:a14="http://schemas.microsoft.com/office/drawing/2010/main">
      <mc:Choice Requires="a14">
        <xdr:graphicFrame macro="">
          <xdr:nvGraphicFramePr>
            <xdr:cNvPr id="88" name="Age_Group 1">
              <a:extLst>
                <a:ext uri="{FF2B5EF4-FFF2-40B4-BE49-F238E27FC236}">
                  <a16:creationId xmlns:a16="http://schemas.microsoft.com/office/drawing/2014/main" id="{A7174DD9-FFCD-41BD-BF9F-24E5FF066E9B}"/>
                </a:ext>
              </a:extLst>
            </xdr:cNvPr>
            <xdr:cNvGraphicFramePr/>
          </xdr:nvGraphicFramePr>
          <xdr:xfrm>
            <a:off x="0" y="0"/>
            <a:ext cx="0" cy="0"/>
          </xdr:xfrm>
          <a:graphic>
            <a:graphicData uri="http://schemas.microsoft.com/office/drawing/2010/slicer">
              <sle:slicer xmlns:sle="http://schemas.microsoft.com/office/drawing/2010/slicer" name="Age_Group 1"/>
            </a:graphicData>
          </a:graphic>
        </xdr:graphicFrame>
      </mc:Choice>
      <mc:Fallback xmlns="">
        <xdr:sp macro="" textlink="">
          <xdr:nvSpPr>
            <xdr:cNvPr id="0" name=""/>
            <xdr:cNvSpPr>
              <a:spLocks noTextEdit="1"/>
            </xdr:cNvSpPr>
          </xdr:nvSpPr>
          <xdr:spPr>
            <a:xfrm>
              <a:off x="1971676" y="4070894"/>
              <a:ext cx="1371599" cy="1977482"/>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352425</xdr:colOff>
      <xdr:row>7</xdr:row>
      <xdr:rowOff>79918</xdr:rowOff>
    </xdr:from>
    <xdr:to>
      <xdr:col>3</xdr:col>
      <xdr:colOff>0</xdr:colOff>
      <xdr:row>13</xdr:row>
      <xdr:rowOff>28575</xdr:rowOff>
    </xdr:to>
    <mc:AlternateContent xmlns:mc="http://schemas.openxmlformats.org/markup-compatibility/2006" xmlns:a14="http://schemas.microsoft.com/office/drawing/2010/main">
      <mc:Choice Requires="a14">
        <xdr:graphicFrame macro="">
          <xdr:nvGraphicFramePr>
            <xdr:cNvPr id="89" name="Gender 1">
              <a:extLst>
                <a:ext uri="{FF2B5EF4-FFF2-40B4-BE49-F238E27FC236}">
                  <a16:creationId xmlns:a16="http://schemas.microsoft.com/office/drawing/2014/main" id="{DEAE69DC-8C89-426A-83A8-CF20505D18F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52425" y="1413418"/>
              <a:ext cx="1504950" cy="1091657"/>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295275</xdr:colOff>
      <xdr:row>12</xdr:row>
      <xdr:rowOff>108495</xdr:rowOff>
    </xdr:from>
    <xdr:to>
      <xdr:col>2</xdr:col>
      <xdr:colOff>609600</xdr:colOff>
      <xdr:row>21</xdr:row>
      <xdr:rowOff>95251</xdr:rowOff>
    </xdr:to>
    <mc:AlternateContent xmlns:mc="http://schemas.openxmlformats.org/markup-compatibility/2006" xmlns:a14="http://schemas.microsoft.com/office/drawing/2010/main">
      <mc:Choice Requires="a14">
        <xdr:graphicFrame macro="">
          <xdr:nvGraphicFramePr>
            <xdr:cNvPr id="90" name="Region 1">
              <a:extLst>
                <a:ext uri="{FF2B5EF4-FFF2-40B4-BE49-F238E27FC236}">
                  <a16:creationId xmlns:a16="http://schemas.microsoft.com/office/drawing/2014/main" id="{3CADBAE0-9ECB-473B-A60C-6395B792D61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95275" y="2394495"/>
              <a:ext cx="1552575" cy="1701256"/>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323850</xdr:colOff>
      <xdr:row>21</xdr:row>
      <xdr:rowOff>32293</xdr:rowOff>
    </xdr:from>
    <xdr:to>
      <xdr:col>3</xdr:col>
      <xdr:colOff>38100</xdr:colOff>
      <xdr:row>31</xdr:row>
      <xdr:rowOff>114300</xdr:rowOff>
    </xdr:to>
    <mc:AlternateContent xmlns:mc="http://schemas.openxmlformats.org/markup-compatibility/2006" xmlns:a14="http://schemas.microsoft.com/office/drawing/2010/main">
      <mc:Choice Requires="a14">
        <xdr:graphicFrame macro="">
          <xdr:nvGraphicFramePr>
            <xdr:cNvPr id="91" name="Insurance_Provider 1">
              <a:extLst>
                <a:ext uri="{FF2B5EF4-FFF2-40B4-BE49-F238E27FC236}">
                  <a16:creationId xmlns:a16="http://schemas.microsoft.com/office/drawing/2014/main" id="{617C454A-F0F7-444F-AC15-1C53C90FB80A}"/>
                </a:ext>
              </a:extLst>
            </xdr:cNvPr>
            <xdr:cNvGraphicFramePr/>
          </xdr:nvGraphicFramePr>
          <xdr:xfrm>
            <a:off x="0" y="0"/>
            <a:ext cx="0" cy="0"/>
          </xdr:xfrm>
          <a:graphic>
            <a:graphicData uri="http://schemas.microsoft.com/office/drawing/2010/slicer">
              <sle:slicer xmlns:sle="http://schemas.microsoft.com/office/drawing/2010/slicer" name="Insurance_Provider 1"/>
            </a:graphicData>
          </a:graphic>
        </xdr:graphicFrame>
      </mc:Choice>
      <mc:Fallback xmlns="">
        <xdr:sp macro="" textlink="">
          <xdr:nvSpPr>
            <xdr:cNvPr id="0" name=""/>
            <xdr:cNvSpPr>
              <a:spLocks noTextEdit="1"/>
            </xdr:cNvSpPr>
          </xdr:nvSpPr>
          <xdr:spPr>
            <a:xfrm>
              <a:off x="323850" y="4032793"/>
              <a:ext cx="1571625" cy="1987007"/>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47625</xdr:colOff>
      <xdr:row>7</xdr:row>
      <xdr:rowOff>108493</xdr:rowOff>
    </xdr:from>
    <xdr:to>
      <xdr:col>5</xdr:col>
      <xdr:colOff>390525</xdr:colOff>
      <xdr:row>13</xdr:row>
      <xdr:rowOff>19050</xdr:rowOff>
    </xdr:to>
    <mc:AlternateContent xmlns:mc="http://schemas.openxmlformats.org/markup-compatibility/2006" xmlns:a14="http://schemas.microsoft.com/office/drawing/2010/main">
      <mc:Choice Requires="a14">
        <xdr:graphicFrame macro="">
          <xdr:nvGraphicFramePr>
            <xdr:cNvPr id="92" name="Readmitted_Within_30Days 1">
              <a:extLst>
                <a:ext uri="{FF2B5EF4-FFF2-40B4-BE49-F238E27FC236}">
                  <a16:creationId xmlns:a16="http://schemas.microsoft.com/office/drawing/2014/main" id="{76FB41A3-1876-4C86-B39D-5CD5315B35CC}"/>
                </a:ext>
              </a:extLst>
            </xdr:cNvPr>
            <xdr:cNvGraphicFramePr/>
          </xdr:nvGraphicFramePr>
          <xdr:xfrm>
            <a:off x="0" y="0"/>
            <a:ext cx="0" cy="0"/>
          </xdr:xfrm>
          <a:graphic>
            <a:graphicData uri="http://schemas.microsoft.com/office/drawing/2010/slicer">
              <sle:slicer xmlns:sle="http://schemas.microsoft.com/office/drawing/2010/slicer" name="Readmitted_Within_30Days 1"/>
            </a:graphicData>
          </a:graphic>
        </xdr:graphicFrame>
      </mc:Choice>
      <mc:Fallback xmlns="">
        <xdr:sp macro="" textlink="">
          <xdr:nvSpPr>
            <xdr:cNvPr id="0" name=""/>
            <xdr:cNvSpPr>
              <a:spLocks noTextEdit="1"/>
            </xdr:cNvSpPr>
          </xdr:nvSpPr>
          <xdr:spPr>
            <a:xfrm>
              <a:off x="1905000" y="1441993"/>
              <a:ext cx="1581150" cy="1053557"/>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295274</xdr:colOff>
      <xdr:row>33</xdr:row>
      <xdr:rowOff>95249</xdr:rowOff>
    </xdr:from>
    <xdr:to>
      <xdr:col>5</xdr:col>
      <xdr:colOff>476250</xdr:colOff>
      <xdr:row>41</xdr:row>
      <xdr:rowOff>180975</xdr:rowOff>
    </xdr:to>
    <mc:AlternateContent xmlns:mc="http://schemas.openxmlformats.org/markup-compatibility/2006" xmlns:tsle="http://schemas.microsoft.com/office/drawing/2012/timeslicer">
      <mc:Choice Requires="tsle">
        <xdr:graphicFrame macro="">
          <xdr:nvGraphicFramePr>
            <xdr:cNvPr id="93" name="Date_of_Admission 1">
              <a:extLst>
                <a:ext uri="{FF2B5EF4-FFF2-40B4-BE49-F238E27FC236}">
                  <a16:creationId xmlns:a16="http://schemas.microsoft.com/office/drawing/2014/main" id="{674EAC44-4B0F-45C2-A326-3A60B692856F}"/>
                </a:ext>
              </a:extLst>
            </xdr:cNvPr>
            <xdr:cNvGraphicFramePr/>
          </xdr:nvGraphicFramePr>
          <xdr:xfrm>
            <a:off x="0" y="0"/>
            <a:ext cx="0" cy="0"/>
          </xdr:xfrm>
          <a:graphic>
            <a:graphicData uri="http://schemas.microsoft.com/office/drawing/2012/timeslicer">
              <tsle:timeslicer name="Date_of_Admission 1"/>
            </a:graphicData>
          </a:graphic>
        </xdr:graphicFrame>
      </mc:Choice>
      <mc:Fallback xmlns="">
        <xdr:sp macro="" textlink="">
          <xdr:nvSpPr>
            <xdr:cNvPr id="0" name=""/>
            <xdr:cNvSpPr>
              <a:spLocks noTextEdit="1"/>
            </xdr:cNvSpPr>
          </xdr:nvSpPr>
          <xdr:spPr>
            <a:xfrm>
              <a:off x="295274" y="6381749"/>
              <a:ext cx="3276601" cy="1609726"/>
            </a:xfrm>
            <a:prstGeom prst="rect">
              <a:avLst/>
            </a:prstGeom>
            <a:solidFill>
              <a:prstClr val="white"/>
            </a:solidFill>
            <a:ln w="1">
              <a:solidFill>
                <a:prstClr val="green"/>
              </a:solidFill>
            </a:ln>
          </xdr:spPr>
          <xdr:txBody>
            <a:bodyPr vertOverflow="clip" horzOverflow="clip"/>
            <a:lstStyle/>
            <a:p>
              <a:r>
                <a:rPr lang="en-DE"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uel Somuyiwa" refreshedDate="46147.420963657409" createdVersion="8" refreshedVersion="8" minRefreshableVersion="3" recordCount="2000" xr:uid="{4912D7B8-038D-4D71-97D2-EE9B704CB53B}">
  <cacheSource type="worksheet">
    <worksheetSource name="_xlnm.Database"/>
  </cacheSource>
  <cacheFields count="25">
    <cacheField name="Patient_ID" numFmtId="0">
      <sharedItems count="2000">
        <s v="PT-1001"/>
        <s v="PT-1002"/>
        <s v="PT-1003"/>
        <s v="PT-1004"/>
        <s v="PT-1005"/>
        <s v="PT-1006"/>
        <s v="PT-1007"/>
        <s v="PT-1008"/>
        <s v="PT-1009"/>
        <s v="PT-1010"/>
        <s v="PT-1011"/>
        <s v="PT-1012"/>
        <s v="PT-1013"/>
        <s v="PT-1014"/>
        <s v="PT-1015"/>
        <s v="PT-1016"/>
        <s v="PT-1017"/>
        <s v="PT-1018"/>
        <s v="PT-1019"/>
        <s v="PT-1020"/>
        <s v="PT-1021"/>
        <s v="PT-1022"/>
        <s v="PT-1023"/>
        <s v="PT-1024"/>
        <s v="PT-1025"/>
        <s v="PT-1026"/>
        <s v="PT-1027"/>
        <s v="PT-1028"/>
        <s v="PT-1029"/>
        <s v="PT-1030"/>
        <s v="PT-1031"/>
        <s v="PT-1032"/>
        <s v="PT-1033"/>
        <s v="PT-1034"/>
        <s v="PT-1035"/>
        <s v="PT-1036"/>
        <s v="PT-1037"/>
        <s v="PT-1038"/>
        <s v="PT-1039"/>
        <s v="PT-1040"/>
        <s v="PT-1041"/>
        <s v="PT-1042"/>
        <s v="PT-1043"/>
        <s v="PT-1044"/>
        <s v="PT-1045"/>
        <s v="PT-1046"/>
        <s v="PT-1047"/>
        <s v="PT-1048"/>
        <s v="PT-1049"/>
        <s v="PT-1050"/>
        <s v="PT-1051"/>
        <s v="PT-1052"/>
        <s v="PT-1053"/>
        <s v="PT-1054"/>
        <s v="PT-1055"/>
        <s v="PT-1056"/>
        <s v="PT-1057"/>
        <s v="PT-1058"/>
        <s v="PT-1059"/>
        <s v="PT-1060"/>
        <s v="PT-1061"/>
        <s v="PT-1062"/>
        <s v="PT-1063"/>
        <s v="PT-1064"/>
        <s v="PT-1065"/>
        <s v="PT-1066"/>
        <s v="PT-1067"/>
        <s v="PT-1068"/>
        <s v="PT-1069"/>
        <s v="PT-1070"/>
        <s v="PT-1071"/>
        <s v="PT-1072"/>
        <s v="PT-1073"/>
        <s v="PT-1074"/>
        <s v="PT-1075"/>
        <s v="PT-1076"/>
        <s v="PT-1077"/>
        <s v="PT-1078"/>
        <s v="PT-1079"/>
        <s v="PT-1080"/>
        <s v="PT-1081"/>
        <s v="PT-1082"/>
        <s v="PT-1083"/>
        <s v="PT-1084"/>
        <s v="PT-1085"/>
        <s v="PT-1086"/>
        <s v="PT-1087"/>
        <s v="PT-1088"/>
        <s v="PT-1089"/>
        <s v="PT-1090"/>
        <s v="PT-1091"/>
        <s v="PT-1092"/>
        <s v="PT-1093"/>
        <s v="PT-1094"/>
        <s v="PT-1095"/>
        <s v="PT-1096"/>
        <s v="PT-1097"/>
        <s v="PT-1098"/>
        <s v="PT-1099"/>
        <s v="PT-1100"/>
        <s v="PT-1101"/>
        <s v="PT-1102"/>
        <s v="PT-1103"/>
        <s v="PT-1104"/>
        <s v="PT-1105"/>
        <s v="PT-1106"/>
        <s v="PT-1107"/>
        <s v="PT-1108"/>
        <s v="PT-1109"/>
        <s v="PT-1110"/>
        <s v="PT-1111"/>
        <s v="PT-1112"/>
        <s v="PT-1113"/>
        <s v="PT-1114"/>
        <s v="PT-1115"/>
        <s v="PT-1116"/>
        <s v="PT-1117"/>
        <s v="PT-1118"/>
        <s v="PT-1119"/>
        <s v="PT-1120"/>
        <s v="PT-1121"/>
        <s v="PT-1122"/>
        <s v="PT-1123"/>
        <s v="PT-1124"/>
        <s v="PT-1125"/>
        <s v="PT-1126"/>
        <s v="PT-1127"/>
        <s v="PT-1128"/>
        <s v="PT-1129"/>
        <s v="PT-1130"/>
        <s v="PT-1131"/>
        <s v="PT-1132"/>
        <s v="PT-1133"/>
        <s v="PT-1134"/>
        <s v="PT-1135"/>
        <s v="PT-1136"/>
        <s v="PT-1137"/>
        <s v="PT-1138"/>
        <s v="PT-1139"/>
        <s v="PT-1140"/>
        <s v="PT-1141"/>
        <s v="PT-1142"/>
        <s v="PT-1143"/>
        <s v="PT-1144"/>
        <s v="PT-1145"/>
        <s v="PT-1146"/>
        <s v="PT-1147"/>
        <s v="PT-1148"/>
        <s v="PT-1149"/>
        <s v="PT-1150"/>
        <s v="PT-1151"/>
        <s v="PT-1152"/>
        <s v="PT-1153"/>
        <s v="PT-1154"/>
        <s v="PT-1155"/>
        <s v="PT-1156"/>
        <s v="PT-1157"/>
        <s v="PT-1158"/>
        <s v="PT-1159"/>
        <s v="PT-1160"/>
        <s v="PT-1161"/>
        <s v="PT-1162"/>
        <s v="PT-1163"/>
        <s v="PT-1164"/>
        <s v="PT-1165"/>
        <s v="PT-1166"/>
        <s v="PT-1167"/>
        <s v="PT-1168"/>
        <s v="PT-1169"/>
        <s v="PT-1170"/>
        <s v="PT-1171"/>
        <s v="PT-1172"/>
        <s v="PT-1173"/>
        <s v="PT-1174"/>
        <s v="PT-1175"/>
        <s v="PT-1176"/>
        <s v="PT-1177"/>
        <s v="PT-1178"/>
        <s v="PT-1179"/>
        <s v="PT-1180"/>
        <s v="PT-1181"/>
        <s v="PT-1182"/>
        <s v="PT-1183"/>
        <s v="PT-1184"/>
        <s v="PT-1185"/>
        <s v="PT-1186"/>
        <s v="PT-1187"/>
        <s v="PT-1188"/>
        <s v="PT-1189"/>
        <s v="PT-1190"/>
        <s v="PT-1191"/>
        <s v="PT-1192"/>
        <s v="PT-1193"/>
        <s v="PT-1194"/>
        <s v="PT-1195"/>
        <s v="PT-1196"/>
        <s v="PT-1197"/>
        <s v="PT-1198"/>
        <s v="PT-1199"/>
        <s v="PT-1200"/>
        <s v="PT-1201"/>
        <s v="PT-1202"/>
        <s v="PT-1203"/>
        <s v="PT-1204"/>
        <s v="PT-1205"/>
        <s v="PT-1206"/>
        <s v="PT-1207"/>
        <s v="PT-1208"/>
        <s v="PT-1209"/>
        <s v="PT-1210"/>
        <s v="PT-1211"/>
        <s v="PT-1212"/>
        <s v="PT-1213"/>
        <s v="PT-1214"/>
        <s v="PT-1215"/>
        <s v="PT-1216"/>
        <s v="PT-1217"/>
        <s v="PT-1218"/>
        <s v="PT-1219"/>
        <s v="PT-1220"/>
        <s v="PT-1221"/>
        <s v="PT-1222"/>
        <s v="PT-1223"/>
        <s v="PT-1224"/>
        <s v="PT-1225"/>
        <s v="PT-1226"/>
        <s v="PT-1227"/>
        <s v="PT-1228"/>
        <s v="PT-1229"/>
        <s v="PT-1230"/>
        <s v="PT-1231"/>
        <s v="PT-1232"/>
        <s v="PT-1233"/>
        <s v="PT-1234"/>
        <s v="PT-1235"/>
        <s v="PT-1236"/>
        <s v="PT-1237"/>
        <s v="PT-1238"/>
        <s v="PT-1239"/>
        <s v="PT-1240"/>
        <s v="PT-1241"/>
        <s v="PT-1242"/>
        <s v="PT-1243"/>
        <s v="PT-1244"/>
        <s v="PT-1245"/>
        <s v="PT-1246"/>
        <s v="PT-1247"/>
        <s v="PT-1248"/>
        <s v="PT-1249"/>
        <s v="PT-1250"/>
        <s v="PT-1251"/>
        <s v="PT-1252"/>
        <s v="PT-1253"/>
        <s v="PT-1254"/>
        <s v="PT-1255"/>
        <s v="PT-1256"/>
        <s v="PT-1257"/>
        <s v="PT-1258"/>
        <s v="PT-1259"/>
        <s v="PT-1260"/>
        <s v="PT-1261"/>
        <s v="PT-1262"/>
        <s v="PT-1263"/>
        <s v="PT-1264"/>
        <s v="PT-1265"/>
        <s v="PT-1266"/>
        <s v="PT-1267"/>
        <s v="PT-1268"/>
        <s v="PT-1269"/>
        <s v="PT-1270"/>
        <s v="PT-1271"/>
        <s v="PT-1272"/>
        <s v="PT-1273"/>
        <s v="PT-1274"/>
        <s v="PT-1275"/>
        <s v="PT-1276"/>
        <s v="PT-1277"/>
        <s v="PT-1278"/>
        <s v="PT-1279"/>
        <s v="PT-1280"/>
        <s v="PT-1281"/>
        <s v="PT-1282"/>
        <s v="PT-1283"/>
        <s v="PT-1284"/>
        <s v="PT-1285"/>
        <s v="PT-1286"/>
        <s v="PT-1287"/>
        <s v="PT-1288"/>
        <s v="PT-1289"/>
        <s v="PT-1290"/>
        <s v="PT-1291"/>
        <s v="PT-1292"/>
        <s v="PT-1293"/>
        <s v="PT-1294"/>
        <s v="PT-1295"/>
        <s v="PT-1296"/>
        <s v="PT-1297"/>
        <s v="PT-1298"/>
        <s v="PT-1299"/>
        <s v="PT-1300"/>
        <s v="PT-1301"/>
        <s v="PT-1302"/>
        <s v="PT-1303"/>
        <s v="PT-1304"/>
        <s v="PT-1305"/>
        <s v="PT-1306"/>
        <s v="PT-1307"/>
        <s v="PT-1308"/>
        <s v="PT-1309"/>
        <s v="PT-1310"/>
        <s v="PT-1311"/>
        <s v="PT-1312"/>
        <s v="PT-1313"/>
        <s v="PT-1314"/>
        <s v="PT-1315"/>
        <s v="PT-1316"/>
        <s v="PT-1317"/>
        <s v="PT-1318"/>
        <s v="PT-1319"/>
        <s v="PT-1320"/>
        <s v="PT-1321"/>
        <s v="PT-1322"/>
        <s v="PT-1323"/>
        <s v="PT-1324"/>
        <s v="PT-1325"/>
        <s v="PT-1326"/>
        <s v="PT-1327"/>
        <s v="PT-1328"/>
        <s v="PT-1329"/>
        <s v="PT-1330"/>
        <s v="PT-1331"/>
        <s v="PT-1332"/>
        <s v="PT-1333"/>
        <s v="PT-1334"/>
        <s v="PT-1335"/>
        <s v="PT-1336"/>
        <s v="PT-1337"/>
        <s v="PT-1338"/>
        <s v="PT-1339"/>
        <s v="PT-1340"/>
        <s v="PT-1341"/>
        <s v="PT-1342"/>
        <s v="PT-1343"/>
        <s v="PT-1344"/>
        <s v="PT-1345"/>
        <s v="PT-1346"/>
        <s v="PT-1347"/>
        <s v="PT-1348"/>
        <s v="PT-1349"/>
        <s v="PT-1350"/>
        <s v="PT-1351"/>
        <s v="PT-1352"/>
        <s v="PT-1353"/>
        <s v="PT-1354"/>
        <s v="PT-1355"/>
        <s v="PT-1356"/>
        <s v="PT-1357"/>
        <s v="PT-1358"/>
        <s v="PT-1359"/>
        <s v="PT-1360"/>
        <s v="PT-1361"/>
        <s v="PT-1362"/>
        <s v="PT-1363"/>
        <s v="PT-1364"/>
        <s v="PT-1365"/>
        <s v="PT-1366"/>
        <s v="PT-1367"/>
        <s v="PT-1368"/>
        <s v="PT-1369"/>
        <s v="PT-1370"/>
        <s v="PT-1371"/>
        <s v="PT-1372"/>
        <s v="PT-1373"/>
        <s v="PT-1374"/>
        <s v="PT-1375"/>
        <s v="PT-1376"/>
        <s v="PT-1377"/>
        <s v="PT-1378"/>
        <s v="PT-1379"/>
        <s v="PT-1380"/>
        <s v="PT-1381"/>
        <s v="PT-1382"/>
        <s v="PT-1383"/>
        <s v="PT-1384"/>
        <s v="PT-1385"/>
        <s v="PT-1386"/>
        <s v="PT-1387"/>
        <s v="PT-1388"/>
        <s v="PT-1389"/>
        <s v="PT-1390"/>
        <s v="PT-1391"/>
        <s v="PT-1392"/>
        <s v="PT-1393"/>
        <s v="PT-1394"/>
        <s v="PT-1395"/>
        <s v="PT-1396"/>
        <s v="PT-1397"/>
        <s v="PT-1398"/>
        <s v="PT-1399"/>
        <s v="PT-1400"/>
        <s v="PT-1401"/>
        <s v="PT-1402"/>
        <s v="PT-1403"/>
        <s v="PT-1404"/>
        <s v="PT-1405"/>
        <s v="PT-1406"/>
        <s v="PT-1407"/>
        <s v="PT-1408"/>
        <s v="PT-1409"/>
        <s v="PT-1410"/>
        <s v="PT-1411"/>
        <s v="PT-1412"/>
        <s v="PT-1413"/>
        <s v="PT-1414"/>
        <s v="PT-1415"/>
        <s v="PT-1416"/>
        <s v="PT-1417"/>
        <s v="PT-1418"/>
        <s v="PT-1419"/>
        <s v="PT-1420"/>
        <s v="PT-1421"/>
        <s v="PT-1422"/>
        <s v="PT-1423"/>
        <s v="PT-1424"/>
        <s v="PT-1425"/>
        <s v="PT-1426"/>
        <s v="PT-1427"/>
        <s v="PT-1428"/>
        <s v="PT-1429"/>
        <s v="PT-1430"/>
        <s v="PT-1431"/>
        <s v="PT-1432"/>
        <s v="PT-1433"/>
        <s v="PT-1434"/>
        <s v="PT-1435"/>
        <s v="PT-1436"/>
        <s v="PT-1437"/>
        <s v="PT-1438"/>
        <s v="PT-1439"/>
        <s v="PT-1440"/>
        <s v="PT-1441"/>
        <s v="PT-1442"/>
        <s v="PT-1443"/>
        <s v="PT-1444"/>
        <s v="PT-1445"/>
        <s v="PT-1446"/>
        <s v="PT-1447"/>
        <s v="PT-1448"/>
        <s v="PT-1449"/>
        <s v="PT-1450"/>
        <s v="PT-1451"/>
        <s v="PT-1452"/>
        <s v="PT-1453"/>
        <s v="PT-1454"/>
        <s v="PT-1455"/>
        <s v="PT-1456"/>
        <s v="PT-1457"/>
        <s v="PT-1458"/>
        <s v="PT-1459"/>
        <s v="PT-1460"/>
        <s v="PT-1461"/>
        <s v="PT-1462"/>
        <s v="PT-1463"/>
        <s v="PT-1464"/>
        <s v="PT-1465"/>
        <s v="PT-1466"/>
        <s v="PT-1467"/>
        <s v="PT-1468"/>
        <s v="PT-1469"/>
        <s v="PT-1470"/>
        <s v="PT-1471"/>
        <s v="PT-1472"/>
        <s v="PT-1473"/>
        <s v="PT-1474"/>
        <s v="PT-1475"/>
        <s v="PT-1476"/>
        <s v="PT-1477"/>
        <s v="PT-1478"/>
        <s v="PT-1479"/>
        <s v="PT-1480"/>
        <s v="PT-1481"/>
        <s v="PT-1482"/>
        <s v="PT-1483"/>
        <s v="PT-1484"/>
        <s v="PT-1485"/>
        <s v="PT-1486"/>
        <s v="PT-1487"/>
        <s v="PT-1488"/>
        <s v="PT-1489"/>
        <s v="PT-1490"/>
        <s v="PT-1491"/>
        <s v="PT-1492"/>
        <s v="PT-1493"/>
        <s v="PT-1494"/>
        <s v="PT-1495"/>
        <s v="PT-1496"/>
        <s v="PT-1497"/>
        <s v="PT-1498"/>
        <s v="PT-1499"/>
        <s v="PT-1500"/>
        <s v="PT-1501"/>
        <s v="PT-1502"/>
        <s v="PT-1503"/>
        <s v="PT-1504"/>
        <s v="PT-1505"/>
        <s v="PT-1506"/>
        <s v="PT-1507"/>
        <s v="PT-1508"/>
        <s v="PT-1509"/>
        <s v="PT-1510"/>
        <s v="PT-1511"/>
        <s v="PT-1512"/>
        <s v="PT-1513"/>
        <s v="PT-1514"/>
        <s v="PT-1515"/>
        <s v="PT-1516"/>
        <s v="PT-1517"/>
        <s v="PT-1518"/>
        <s v="PT-1519"/>
        <s v="PT-1520"/>
        <s v="PT-1521"/>
        <s v="PT-1522"/>
        <s v="PT-1523"/>
        <s v="PT-1524"/>
        <s v="PT-1525"/>
        <s v="PT-1526"/>
        <s v="PT-1527"/>
        <s v="PT-1528"/>
        <s v="PT-1529"/>
        <s v="PT-1530"/>
        <s v="PT-1531"/>
        <s v="PT-1532"/>
        <s v="PT-1533"/>
        <s v="PT-1534"/>
        <s v="PT-1535"/>
        <s v="PT-1536"/>
        <s v="PT-1537"/>
        <s v="PT-1538"/>
        <s v="PT-1539"/>
        <s v="PT-1540"/>
        <s v="PT-1541"/>
        <s v="PT-1542"/>
        <s v="PT-1543"/>
        <s v="PT-1544"/>
        <s v="PT-1545"/>
        <s v="PT-1546"/>
        <s v="PT-1547"/>
        <s v="PT-1548"/>
        <s v="PT-1549"/>
        <s v="PT-1550"/>
        <s v="PT-1551"/>
        <s v="PT-1552"/>
        <s v="PT-1553"/>
        <s v="PT-1554"/>
        <s v="PT-1555"/>
        <s v="PT-1556"/>
        <s v="PT-1557"/>
        <s v="PT-1558"/>
        <s v="PT-1559"/>
        <s v="PT-1560"/>
        <s v="PT-1561"/>
        <s v="PT-1562"/>
        <s v="PT-1563"/>
        <s v="PT-1564"/>
        <s v="PT-1565"/>
        <s v="PT-1566"/>
        <s v="PT-1567"/>
        <s v="PT-1568"/>
        <s v="PT-1569"/>
        <s v="PT-1570"/>
        <s v="PT-1571"/>
        <s v="PT-1572"/>
        <s v="PT-1573"/>
        <s v="PT-1574"/>
        <s v="PT-1575"/>
        <s v="PT-1576"/>
        <s v="PT-1577"/>
        <s v="PT-1578"/>
        <s v="PT-1579"/>
        <s v="PT-1580"/>
        <s v="PT-1581"/>
        <s v="PT-1582"/>
        <s v="PT-1583"/>
        <s v="PT-1584"/>
        <s v="PT-1585"/>
        <s v="PT-1586"/>
        <s v="PT-1587"/>
        <s v="PT-1588"/>
        <s v="PT-1589"/>
        <s v="PT-1590"/>
        <s v="PT-1591"/>
        <s v="PT-1592"/>
        <s v="PT-1593"/>
        <s v="PT-1594"/>
        <s v="PT-1595"/>
        <s v="PT-1596"/>
        <s v="PT-1597"/>
        <s v="PT-1598"/>
        <s v="PT-1599"/>
        <s v="PT-1600"/>
        <s v="PT-1601"/>
        <s v="PT-1602"/>
        <s v="PT-1603"/>
        <s v="PT-1604"/>
        <s v="PT-1605"/>
        <s v="PT-1606"/>
        <s v="PT-1607"/>
        <s v="PT-1608"/>
        <s v="PT-1609"/>
        <s v="PT-1610"/>
        <s v="PT-1611"/>
        <s v="PT-1612"/>
        <s v="PT-1613"/>
        <s v="PT-1614"/>
        <s v="PT-1615"/>
        <s v="PT-1616"/>
        <s v="PT-1617"/>
        <s v="PT-1618"/>
        <s v="PT-1619"/>
        <s v="PT-1620"/>
        <s v="PT-1621"/>
        <s v="PT-1622"/>
        <s v="PT-1623"/>
        <s v="PT-1624"/>
        <s v="PT-1625"/>
        <s v="PT-1626"/>
        <s v="PT-1627"/>
        <s v="PT-1628"/>
        <s v="PT-1629"/>
        <s v="PT-1630"/>
        <s v="PT-1631"/>
        <s v="PT-1632"/>
        <s v="PT-1633"/>
        <s v="PT-1634"/>
        <s v="PT-1635"/>
        <s v="PT-1636"/>
        <s v="PT-1637"/>
        <s v="PT-1638"/>
        <s v="PT-1639"/>
        <s v="PT-1640"/>
        <s v="PT-1641"/>
        <s v="PT-1642"/>
        <s v="PT-1643"/>
        <s v="PT-1644"/>
        <s v="PT-1645"/>
        <s v="PT-1646"/>
        <s v="PT-1647"/>
        <s v="PT-1648"/>
        <s v="PT-1649"/>
        <s v="PT-1650"/>
        <s v="PT-1651"/>
        <s v="PT-1652"/>
        <s v="PT-1653"/>
        <s v="PT-1654"/>
        <s v="PT-1655"/>
        <s v="PT-1656"/>
        <s v="PT-1657"/>
        <s v="PT-1658"/>
        <s v="PT-1659"/>
        <s v="PT-1660"/>
        <s v="PT-1661"/>
        <s v="PT-1662"/>
        <s v="PT-1663"/>
        <s v="PT-1664"/>
        <s v="PT-1665"/>
        <s v="PT-1666"/>
        <s v="PT-1667"/>
        <s v="PT-1668"/>
        <s v="PT-1669"/>
        <s v="PT-1670"/>
        <s v="PT-1671"/>
        <s v="PT-1672"/>
        <s v="PT-1673"/>
        <s v="PT-1674"/>
        <s v="PT-1675"/>
        <s v="PT-1676"/>
        <s v="PT-1677"/>
        <s v="PT-1678"/>
        <s v="PT-1679"/>
        <s v="PT-1680"/>
        <s v="PT-1681"/>
        <s v="PT-1682"/>
        <s v="PT-1683"/>
        <s v="PT-1684"/>
        <s v="PT-1685"/>
        <s v="PT-1686"/>
        <s v="PT-1687"/>
        <s v="PT-1688"/>
        <s v="PT-1689"/>
        <s v="PT-1690"/>
        <s v="PT-1691"/>
        <s v="PT-1692"/>
        <s v="PT-1693"/>
        <s v="PT-1694"/>
        <s v="PT-1695"/>
        <s v="PT-1696"/>
        <s v="PT-1697"/>
        <s v="PT-1698"/>
        <s v="PT-1699"/>
        <s v="PT-1700"/>
        <s v="PT-1701"/>
        <s v="PT-1702"/>
        <s v="PT-1703"/>
        <s v="PT-1704"/>
        <s v="PT-1705"/>
        <s v="PT-1706"/>
        <s v="PT-1707"/>
        <s v="PT-1708"/>
        <s v="PT-1709"/>
        <s v="PT-1710"/>
        <s v="PT-1711"/>
        <s v="PT-1712"/>
        <s v="PT-1713"/>
        <s v="PT-1714"/>
        <s v="PT-1715"/>
        <s v="PT-1716"/>
        <s v="PT-1717"/>
        <s v="PT-1718"/>
        <s v="PT-1719"/>
        <s v="PT-1720"/>
        <s v="PT-1721"/>
        <s v="PT-1722"/>
        <s v="PT-1723"/>
        <s v="PT-1724"/>
        <s v="PT-1725"/>
        <s v="PT-1726"/>
        <s v="PT-1727"/>
        <s v="PT-1728"/>
        <s v="PT-1729"/>
        <s v="PT-1730"/>
        <s v="PT-1731"/>
        <s v="PT-1732"/>
        <s v="PT-1733"/>
        <s v="PT-1734"/>
        <s v="PT-1735"/>
        <s v="PT-1736"/>
        <s v="PT-1737"/>
        <s v="PT-1738"/>
        <s v="PT-1739"/>
        <s v="PT-1740"/>
        <s v="PT-1741"/>
        <s v="PT-1742"/>
        <s v="PT-1743"/>
        <s v="PT-1744"/>
        <s v="PT-1745"/>
        <s v="PT-1746"/>
        <s v="PT-1747"/>
        <s v="PT-1748"/>
        <s v="PT-1749"/>
        <s v="PT-1750"/>
        <s v="PT-1751"/>
        <s v="PT-1752"/>
        <s v="PT-1753"/>
        <s v="PT-1754"/>
        <s v="PT-1755"/>
        <s v="PT-1756"/>
        <s v="PT-1757"/>
        <s v="PT-1758"/>
        <s v="PT-1759"/>
        <s v="PT-1760"/>
        <s v="PT-1761"/>
        <s v="PT-1762"/>
        <s v="PT-1763"/>
        <s v="PT-1764"/>
        <s v="PT-1765"/>
        <s v="PT-1766"/>
        <s v="PT-1767"/>
        <s v="PT-1768"/>
        <s v="PT-1769"/>
        <s v="PT-1770"/>
        <s v="PT-1771"/>
        <s v="PT-1772"/>
        <s v="PT-1773"/>
        <s v="PT-1774"/>
        <s v="PT-1775"/>
        <s v="PT-1776"/>
        <s v="PT-1777"/>
        <s v="PT-1778"/>
        <s v="PT-1779"/>
        <s v="PT-1780"/>
        <s v="PT-1781"/>
        <s v="PT-1782"/>
        <s v="PT-1783"/>
        <s v="PT-1784"/>
        <s v="PT-1785"/>
        <s v="PT-1786"/>
        <s v="PT-1787"/>
        <s v="PT-1788"/>
        <s v="PT-1789"/>
        <s v="PT-1790"/>
        <s v="PT-1791"/>
        <s v="PT-1792"/>
        <s v="PT-1793"/>
        <s v="PT-1794"/>
        <s v="PT-1795"/>
        <s v="PT-1796"/>
        <s v="PT-1797"/>
        <s v="PT-1798"/>
        <s v="PT-1799"/>
        <s v="PT-1800"/>
        <s v="PT-1801"/>
        <s v="PT-1802"/>
        <s v="PT-1803"/>
        <s v="PT-1804"/>
        <s v="PT-1805"/>
        <s v="PT-1806"/>
        <s v="PT-1807"/>
        <s v="PT-1808"/>
        <s v="PT-1809"/>
        <s v="PT-1810"/>
        <s v="PT-1811"/>
        <s v="PT-1812"/>
        <s v="PT-1813"/>
        <s v="PT-1814"/>
        <s v="PT-1815"/>
        <s v="PT-1816"/>
        <s v="PT-1817"/>
        <s v="PT-1818"/>
        <s v="PT-1819"/>
        <s v="PT-1820"/>
        <s v="PT-1821"/>
        <s v="PT-1822"/>
        <s v="PT-1823"/>
        <s v="PT-1824"/>
        <s v="PT-1825"/>
        <s v="PT-1826"/>
        <s v="PT-1827"/>
        <s v="PT-1828"/>
        <s v="PT-1829"/>
        <s v="PT-1830"/>
        <s v="PT-1831"/>
        <s v="PT-1832"/>
        <s v="PT-1833"/>
        <s v="PT-1834"/>
        <s v="PT-1835"/>
        <s v="PT-1836"/>
        <s v="PT-1837"/>
        <s v="PT-1838"/>
        <s v="PT-1839"/>
        <s v="PT-1840"/>
        <s v="PT-1841"/>
        <s v="PT-1842"/>
        <s v="PT-1843"/>
        <s v="PT-1844"/>
        <s v="PT-1845"/>
        <s v="PT-1846"/>
        <s v="PT-1847"/>
        <s v="PT-1848"/>
        <s v="PT-1849"/>
        <s v="PT-1850"/>
        <s v="PT-1851"/>
        <s v="PT-1852"/>
        <s v="PT-1853"/>
        <s v="PT-1854"/>
        <s v="PT-1855"/>
        <s v="PT-1856"/>
        <s v="PT-1857"/>
        <s v="PT-1858"/>
        <s v="PT-1859"/>
        <s v="PT-1860"/>
        <s v="PT-1861"/>
        <s v="PT-1862"/>
        <s v="PT-1863"/>
        <s v="PT-1864"/>
        <s v="PT-1865"/>
        <s v="PT-1866"/>
        <s v="PT-1867"/>
        <s v="PT-1868"/>
        <s v="PT-1869"/>
        <s v="PT-1870"/>
        <s v="PT-1871"/>
        <s v="PT-1872"/>
        <s v="PT-1873"/>
        <s v="PT-1874"/>
        <s v="PT-1875"/>
        <s v="PT-1876"/>
        <s v="PT-1877"/>
        <s v="PT-1878"/>
        <s v="PT-1879"/>
        <s v="PT-1880"/>
        <s v="PT-1881"/>
        <s v="PT-1882"/>
        <s v="PT-1883"/>
        <s v="PT-1884"/>
        <s v="PT-1885"/>
        <s v="PT-1886"/>
        <s v="PT-1887"/>
        <s v="PT-1888"/>
        <s v="PT-1889"/>
        <s v="PT-1890"/>
        <s v="PT-1891"/>
        <s v="PT-1892"/>
        <s v="PT-1893"/>
        <s v="PT-1894"/>
        <s v="PT-1895"/>
        <s v="PT-1896"/>
        <s v="PT-1897"/>
        <s v="PT-1898"/>
        <s v="PT-1899"/>
        <s v="PT-1900"/>
        <s v="PT-1901"/>
        <s v="PT-1902"/>
        <s v="PT-1903"/>
        <s v="PT-1904"/>
        <s v="PT-1905"/>
        <s v="PT-1906"/>
        <s v="PT-1907"/>
        <s v="PT-1908"/>
        <s v="PT-1909"/>
        <s v="PT-1910"/>
        <s v="PT-1911"/>
        <s v="PT-1912"/>
        <s v="PT-1913"/>
        <s v="PT-1914"/>
        <s v="PT-1915"/>
        <s v="PT-1916"/>
        <s v="PT-1917"/>
        <s v="PT-1918"/>
        <s v="PT-1919"/>
        <s v="PT-1920"/>
        <s v="PT-1921"/>
        <s v="PT-1922"/>
        <s v="PT-1923"/>
        <s v="PT-1924"/>
        <s v="PT-1925"/>
        <s v="PT-1926"/>
        <s v="PT-1927"/>
        <s v="PT-1928"/>
        <s v="PT-1929"/>
        <s v="PT-1930"/>
        <s v="PT-1931"/>
        <s v="PT-1932"/>
        <s v="PT-1933"/>
        <s v="PT-1934"/>
        <s v="PT-1935"/>
        <s v="PT-1936"/>
        <s v="PT-1937"/>
        <s v="PT-1938"/>
        <s v="PT-1939"/>
        <s v="PT-1940"/>
        <s v="PT-1941"/>
        <s v="PT-1942"/>
        <s v="PT-1943"/>
        <s v="PT-1944"/>
        <s v="PT-1945"/>
        <s v="PT-1946"/>
        <s v="PT-1947"/>
        <s v="PT-1948"/>
        <s v="PT-1949"/>
        <s v="PT-1950"/>
        <s v="PT-1951"/>
        <s v="PT-1952"/>
        <s v="PT-1953"/>
        <s v="PT-1954"/>
        <s v="PT-1955"/>
        <s v="PT-1956"/>
        <s v="PT-1957"/>
        <s v="PT-1958"/>
        <s v="PT-1959"/>
        <s v="PT-1960"/>
        <s v="PT-1961"/>
        <s v="PT-1962"/>
        <s v="PT-1963"/>
        <s v="PT-1964"/>
        <s v="PT-1965"/>
        <s v="PT-1966"/>
        <s v="PT-1967"/>
        <s v="PT-1968"/>
        <s v="PT-1969"/>
        <s v="PT-1970"/>
        <s v="PT-1971"/>
        <s v="PT-1972"/>
        <s v="PT-1973"/>
        <s v="PT-1974"/>
        <s v="PT-1975"/>
        <s v="PT-1976"/>
        <s v="PT-1977"/>
        <s v="PT-1978"/>
        <s v="PT-1979"/>
        <s v="PT-1980"/>
        <s v="PT-1981"/>
        <s v="PT-1982"/>
        <s v="PT-1983"/>
        <s v="PT-1984"/>
        <s v="PT-1985"/>
        <s v="PT-1986"/>
        <s v="PT-1987"/>
        <s v="PT-1988"/>
        <s v="PT-1989"/>
        <s v="PT-1990"/>
        <s v="PT-1991"/>
        <s v="PT-1992"/>
        <s v="PT-1993"/>
        <s v="PT-1994"/>
        <s v="PT-1995"/>
        <s v="PT-1996"/>
        <s v="PT-1997"/>
        <s v="PT-1998"/>
        <s v="PT-1999"/>
        <s v="PT-2000"/>
        <s v="PT-2001"/>
        <s v="PT-2002"/>
        <s v="PT-2003"/>
        <s v="PT-2004"/>
        <s v="PT-2005"/>
        <s v="PT-2006"/>
        <s v="PT-2007"/>
        <s v="PT-2008"/>
        <s v="PT-2009"/>
        <s v="PT-2010"/>
        <s v="PT-2011"/>
        <s v="PT-2012"/>
        <s v="PT-2013"/>
        <s v="PT-2014"/>
        <s v="PT-2015"/>
        <s v="PT-2016"/>
        <s v="PT-2017"/>
        <s v="PT-2018"/>
        <s v="PT-2019"/>
        <s v="PT-2020"/>
        <s v="PT-2021"/>
        <s v="PT-2022"/>
        <s v="PT-2023"/>
        <s v="PT-2024"/>
        <s v="PT-2025"/>
        <s v="PT-2026"/>
        <s v="PT-2027"/>
        <s v="PT-2028"/>
        <s v="PT-2029"/>
        <s v="PT-2030"/>
        <s v="PT-2031"/>
        <s v="PT-2032"/>
        <s v="PT-2033"/>
        <s v="PT-2034"/>
        <s v="PT-2035"/>
        <s v="PT-2036"/>
        <s v="PT-2037"/>
        <s v="PT-2038"/>
        <s v="PT-2039"/>
        <s v="PT-2040"/>
        <s v="PT-2041"/>
        <s v="PT-2042"/>
        <s v="PT-2043"/>
        <s v="PT-2044"/>
        <s v="PT-2045"/>
        <s v="PT-2046"/>
        <s v="PT-2047"/>
        <s v="PT-2048"/>
        <s v="PT-2049"/>
        <s v="PT-2050"/>
        <s v="PT-2051"/>
        <s v="PT-2052"/>
        <s v="PT-2053"/>
        <s v="PT-2054"/>
        <s v="PT-2055"/>
        <s v="PT-2056"/>
        <s v="PT-2057"/>
        <s v="PT-2058"/>
        <s v="PT-2059"/>
        <s v="PT-2060"/>
        <s v="PT-2061"/>
        <s v="PT-2062"/>
        <s v="PT-2063"/>
        <s v="PT-2064"/>
        <s v="PT-2065"/>
        <s v="PT-2066"/>
        <s v="PT-2067"/>
        <s v="PT-2068"/>
        <s v="PT-2069"/>
        <s v="PT-2070"/>
        <s v="PT-2071"/>
        <s v="PT-2072"/>
        <s v="PT-2073"/>
        <s v="PT-2074"/>
        <s v="PT-2075"/>
        <s v="PT-2076"/>
        <s v="PT-2077"/>
        <s v="PT-2078"/>
        <s v="PT-2079"/>
        <s v="PT-2080"/>
        <s v="PT-2081"/>
        <s v="PT-2082"/>
        <s v="PT-2083"/>
        <s v="PT-2084"/>
        <s v="PT-2085"/>
        <s v="PT-2086"/>
        <s v="PT-2087"/>
        <s v="PT-2088"/>
        <s v="PT-2089"/>
        <s v="PT-2090"/>
        <s v="PT-2091"/>
        <s v="PT-2092"/>
        <s v="PT-2093"/>
        <s v="PT-2094"/>
        <s v="PT-2095"/>
        <s v="PT-2096"/>
        <s v="PT-2097"/>
        <s v="PT-2098"/>
        <s v="PT-2099"/>
        <s v="PT-2100"/>
        <s v="PT-2101"/>
        <s v="PT-2102"/>
        <s v="PT-2103"/>
        <s v="PT-2104"/>
        <s v="PT-2105"/>
        <s v="PT-2106"/>
        <s v="PT-2107"/>
        <s v="PT-2108"/>
        <s v="PT-2109"/>
        <s v="PT-2110"/>
        <s v="PT-2111"/>
        <s v="PT-2112"/>
        <s v="PT-2113"/>
        <s v="PT-2114"/>
        <s v="PT-2115"/>
        <s v="PT-2116"/>
        <s v="PT-2117"/>
        <s v="PT-2118"/>
        <s v="PT-2119"/>
        <s v="PT-2120"/>
        <s v="PT-2121"/>
        <s v="PT-2122"/>
        <s v="PT-2123"/>
        <s v="PT-2124"/>
        <s v="PT-2125"/>
        <s v="PT-2126"/>
        <s v="PT-2127"/>
        <s v="PT-2128"/>
        <s v="PT-2129"/>
        <s v="PT-2130"/>
        <s v="PT-2131"/>
        <s v="PT-2132"/>
        <s v="PT-2133"/>
        <s v="PT-2134"/>
        <s v="PT-2135"/>
        <s v="PT-2136"/>
        <s v="PT-2137"/>
        <s v="PT-2138"/>
        <s v="PT-2139"/>
        <s v="PT-2140"/>
        <s v="PT-2141"/>
        <s v="PT-2142"/>
        <s v="PT-2143"/>
        <s v="PT-2144"/>
        <s v="PT-2145"/>
        <s v="PT-2146"/>
        <s v="PT-2147"/>
        <s v="PT-2148"/>
        <s v="PT-2149"/>
        <s v="PT-2150"/>
        <s v="PT-2151"/>
        <s v="PT-2152"/>
        <s v="PT-2153"/>
        <s v="PT-2154"/>
        <s v="PT-2155"/>
        <s v="PT-2156"/>
        <s v="PT-2157"/>
        <s v="PT-2158"/>
        <s v="PT-2159"/>
        <s v="PT-2160"/>
        <s v="PT-2161"/>
        <s v="PT-2162"/>
        <s v="PT-2163"/>
        <s v="PT-2164"/>
        <s v="PT-2165"/>
        <s v="PT-2166"/>
        <s v="PT-2167"/>
        <s v="PT-2168"/>
        <s v="PT-2169"/>
        <s v="PT-2170"/>
        <s v="PT-2171"/>
        <s v="PT-2172"/>
        <s v="PT-2173"/>
        <s v="PT-2174"/>
        <s v="PT-2175"/>
        <s v="PT-2176"/>
        <s v="PT-2177"/>
        <s v="PT-2178"/>
        <s v="PT-2179"/>
        <s v="PT-2180"/>
        <s v="PT-2181"/>
        <s v="PT-2182"/>
        <s v="PT-2183"/>
        <s v="PT-2184"/>
        <s v="PT-2185"/>
        <s v="PT-2186"/>
        <s v="PT-2187"/>
        <s v="PT-2188"/>
        <s v="PT-2189"/>
        <s v="PT-2190"/>
        <s v="PT-2191"/>
        <s v="PT-2192"/>
        <s v="PT-2193"/>
        <s v="PT-2194"/>
        <s v="PT-2195"/>
        <s v="PT-2196"/>
        <s v="PT-2197"/>
        <s v="PT-2198"/>
        <s v="PT-2199"/>
        <s v="PT-2200"/>
        <s v="PT-2201"/>
        <s v="PT-2202"/>
        <s v="PT-2203"/>
        <s v="PT-2204"/>
        <s v="PT-2205"/>
        <s v="PT-2206"/>
        <s v="PT-2207"/>
        <s v="PT-2208"/>
        <s v="PT-2209"/>
        <s v="PT-2210"/>
        <s v="PT-2211"/>
        <s v="PT-2212"/>
        <s v="PT-2213"/>
        <s v="PT-2214"/>
        <s v="PT-2215"/>
        <s v="PT-2216"/>
        <s v="PT-2217"/>
        <s v="PT-2218"/>
        <s v="PT-2219"/>
        <s v="PT-2220"/>
        <s v="PT-2221"/>
        <s v="PT-2222"/>
        <s v="PT-2223"/>
        <s v="PT-2224"/>
        <s v="PT-2225"/>
        <s v="PT-2226"/>
        <s v="PT-2227"/>
        <s v="PT-2228"/>
        <s v="PT-2229"/>
        <s v="PT-2230"/>
        <s v="PT-2231"/>
        <s v="PT-2232"/>
        <s v="PT-2233"/>
        <s v="PT-2234"/>
        <s v="PT-2235"/>
        <s v="PT-2236"/>
        <s v="PT-2237"/>
        <s v="PT-2238"/>
        <s v="PT-2239"/>
        <s v="PT-2240"/>
        <s v="PT-2241"/>
        <s v="PT-2242"/>
        <s v="PT-2243"/>
        <s v="PT-2244"/>
        <s v="PT-2245"/>
        <s v="PT-2246"/>
        <s v="PT-2247"/>
        <s v="PT-2248"/>
        <s v="PT-2249"/>
        <s v="PT-2250"/>
        <s v="PT-2251"/>
        <s v="PT-2252"/>
        <s v="PT-2253"/>
        <s v="PT-2254"/>
        <s v="PT-2255"/>
        <s v="PT-2256"/>
        <s v="PT-2257"/>
        <s v="PT-2258"/>
        <s v="PT-2259"/>
        <s v="PT-2260"/>
        <s v="PT-2261"/>
        <s v="PT-2262"/>
        <s v="PT-2263"/>
        <s v="PT-2264"/>
        <s v="PT-2265"/>
        <s v="PT-2266"/>
        <s v="PT-2267"/>
        <s v="PT-2268"/>
        <s v="PT-2269"/>
        <s v="PT-2270"/>
        <s v="PT-2271"/>
        <s v="PT-2272"/>
        <s v="PT-2273"/>
        <s v="PT-2274"/>
        <s v="PT-2275"/>
        <s v="PT-2276"/>
        <s v="PT-2277"/>
        <s v="PT-2278"/>
        <s v="PT-2279"/>
        <s v="PT-2280"/>
        <s v="PT-2281"/>
        <s v="PT-2282"/>
        <s v="PT-2283"/>
        <s v="PT-2284"/>
        <s v="PT-2285"/>
        <s v="PT-2286"/>
        <s v="PT-2287"/>
        <s v="PT-2288"/>
        <s v="PT-2289"/>
        <s v="PT-2290"/>
        <s v="PT-2291"/>
        <s v="PT-2292"/>
        <s v="PT-2293"/>
        <s v="PT-2294"/>
        <s v="PT-2295"/>
        <s v="PT-2296"/>
        <s v="PT-2297"/>
        <s v="PT-2298"/>
        <s v="PT-2299"/>
        <s v="PT-2300"/>
        <s v="PT-2301"/>
        <s v="PT-2302"/>
        <s v="PT-2303"/>
        <s v="PT-2304"/>
        <s v="PT-2305"/>
        <s v="PT-2306"/>
        <s v="PT-2307"/>
        <s v="PT-2308"/>
        <s v="PT-2309"/>
        <s v="PT-2310"/>
        <s v="PT-2311"/>
        <s v="PT-2312"/>
        <s v="PT-2313"/>
        <s v="PT-2314"/>
        <s v="PT-2315"/>
        <s v="PT-2316"/>
        <s v="PT-2317"/>
        <s v="PT-2318"/>
        <s v="PT-2319"/>
        <s v="PT-2320"/>
        <s v="PT-2321"/>
        <s v="PT-2322"/>
        <s v="PT-2323"/>
        <s v="PT-2324"/>
        <s v="PT-2325"/>
        <s v="PT-2326"/>
        <s v="PT-2327"/>
        <s v="PT-2328"/>
        <s v="PT-2329"/>
        <s v="PT-2330"/>
        <s v="PT-2331"/>
        <s v="PT-2332"/>
        <s v="PT-2333"/>
        <s v="PT-2334"/>
        <s v="PT-2335"/>
        <s v="PT-2336"/>
        <s v="PT-2337"/>
        <s v="PT-2338"/>
        <s v="PT-2339"/>
        <s v="PT-2340"/>
        <s v="PT-2341"/>
        <s v="PT-2342"/>
        <s v="PT-2343"/>
        <s v="PT-2344"/>
        <s v="PT-2345"/>
        <s v="PT-2346"/>
        <s v="PT-2347"/>
        <s v="PT-2348"/>
        <s v="PT-2349"/>
        <s v="PT-2350"/>
        <s v="PT-2351"/>
        <s v="PT-2352"/>
        <s v="PT-2353"/>
        <s v="PT-2354"/>
        <s v="PT-2355"/>
        <s v="PT-2356"/>
        <s v="PT-2357"/>
        <s v="PT-2358"/>
        <s v="PT-2359"/>
        <s v="PT-2360"/>
        <s v="PT-2361"/>
        <s v="PT-2362"/>
        <s v="PT-2363"/>
        <s v="PT-2364"/>
        <s v="PT-2365"/>
        <s v="PT-2366"/>
        <s v="PT-2367"/>
        <s v="PT-2368"/>
        <s v="PT-2369"/>
        <s v="PT-2370"/>
        <s v="PT-2371"/>
        <s v="PT-2372"/>
        <s v="PT-2373"/>
        <s v="PT-2374"/>
        <s v="PT-2375"/>
        <s v="PT-2376"/>
        <s v="PT-2377"/>
        <s v="PT-2378"/>
        <s v="PT-2379"/>
        <s v="PT-2380"/>
        <s v="PT-2381"/>
        <s v="PT-2382"/>
        <s v="PT-2383"/>
        <s v="PT-2384"/>
        <s v="PT-2385"/>
        <s v="PT-2386"/>
        <s v="PT-2387"/>
        <s v="PT-2388"/>
        <s v="PT-2389"/>
        <s v="PT-2390"/>
        <s v="PT-2391"/>
        <s v="PT-2392"/>
        <s v="PT-2393"/>
        <s v="PT-2394"/>
        <s v="PT-2395"/>
        <s v="PT-2396"/>
        <s v="PT-2397"/>
        <s v="PT-2398"/>
        <s v="PT-2399"/>
        <s v="PT-2400"/>
        <s v="PT-2401"/>
        <s v="PT-2402"/>
        <s v="PT-2403"/>
        <s v="PT-2404"/>
        <s v="PT-2405"/>
        <s v="PT-2406"/>
        <s v="PT-2407"/>
        <s v="PT-2408"/>
        <s v="PT-2409"/>
        <s v="PT-2410"/>
        <s v="PT-2411"/>
        <s v="PT-2412"/>
        <s v="PT-2413"/>
        <s v="PT-2414"/>
        <s v="PT-2415"/>
        <s v="PT-2416"/>
        <s v="PT-2417"/>
        <s v="PT-2418"/>
        <s v="PT-2419"/>
        <s v="PT-2420"/>
        <s v="PT-2421"/>
        <s v="PT-2422"/>
        <s v="PT-2423"/>
        <s v="PT-2424"/>
        <s v="PT-2425"/>
        <s v="PT-2426"/>
        <s v="PT-2427"/>
        <s v="PT-2428"/>
        <s v="PT-2429"/>
        <s v="PT-2430"/>
        <s v="PT-2431"/>
        <s v="PT-2432"/>
        <s v="PT-2433"/>
        <s v="PT-2434"/>
        <s v="PT-2435"/>
        <s v="PT-2436"/>
        <s v="PT-2437"/>
        <s v="PT-2438"/>
        <s v="PT-2439"/>
        <s v="PT-2440"/>
        <s v="PT-2441"/>
        <s v="PT-2442"/>
        <s v="PT-2443"/>
        <s v="PT-2444"/>
        <s v="PT-2445"/>
        <s v="PT-2446"/>
        <s v="PT-2447"/>
        <s v="PT-2448"/>
        <s v="PT-2449"/>
        <s v="PT-2450"/>
        <s v="PT-2451"/>
        <s v="PT-2452"/>
        <s v="PT-2453"/>
        <s v="PT-2454"/>
        <s v="PT-2455"/>
        <s v="PT-2456"/>
        <s v="PT-2457"/>
        <s v="PT-2458"/>
        <s v="PT-2459"/>
        <s v="PT-2460"/>
        <s v="PT-2461"/>
        <s v="PT-2462"/>
        <s v="PT-2463"/>
        <s v="PT-2464"/>
        <s v="PT-2465"/>
        <s v="PT-2466"/>
        <s v="PT-2467"/>
        <s v="PT-2468"/>
        <s v="PT-2469"/>
        <s v="PT-2470"/>
        <s v="PT-2471"/>
        <s v="PT-2472"/>
        <s v="PT-2473"/>
        <s v="PT-2474"/>
        <s v="PT-2475"/>
        <s v="PT-2476"/>
        <s v="PT-2477"/>
        <s v="PT-2478"/>
        <s v="PT-2479"/>
        <s v="PT-2480"/>
        <s v="PT-2481"/>
        <s v="PT-2482"/>
        <s v="PT-2483"/>
        <s v="PT-2484"/>
        <s v="PT-2485"/>
        <s v="PT-2486"/>
        <s v="PT-2487"/>
        <s v="PT-2488"/>
        <s v="PT-2489"/>
        <s v="PT-2490"/>
        <s v="PT-2491"/>
        <s v="PT-2492"/>
        <s v="PT-2493"/>
        <s v="PT-2494"/>
        <s v="PT-2495"/>
        <s v="PT-2496"/>
        <s v="PT-2497"/>
        <s v="PT-2498"/>
        <s v="PT-2499"/>
        <s v="PT-2500"/>
        <s v="PT-2501"/>
        <s v="PT-2502"/>
        <s v="PT-2503"/>
        <s v="PT-2504"/>
        <s v="PT-2505"/>
        <s v="PT-2506"/>
        <s v="PT-2507"/>
        <s v="PT-2508"/>
        <s v="PT-2509"/>
        <s v="PT-2510"/>
        <s v="PT-2511"/>
        <s v="PT-2512"/>
        <s v="PT-2513"/>
        <s v="PT-2514"/>
        <s v="PT-2515"/>
        <s v="PT-2516"/>
        <s v="PT-2517"/>
        <s v="PT-2518"/>
        <s v="PT-2519"/>
        <s v="PT-2520"/>
        <s v="PT-2521"/>
        <s v="PT-2522"/>
        <s v="PT-2523"/>
        <s v="PT-2524"/>
        <s v="PT-2525"/>
        <s v="PT-2526"/>
        <s v="PT-2527"/>
        <s v="PT-2528"/>
        <s v="PT-2529"/>
        <s v="PT-2530"/>
        <s v="PT-2531"/>
        <s v="PT-2532"/>
        <s v="PT-2533"/>
        <s v="PT-2534"/>
        <s v="PT-2535"/>
        <s v="PT-2536"/>
        <s v="PT-2537"/>
        <s v="PT-2538"/>
        <s v="PT-2539"/>
        <s v="PT-2540"/>
        <s v="PT-2541"/>
        <s v="PT-2542"/>
        <s v="PT-2543"/>
        <s v="PT-2544"/>
        <s v="PT-2545"/>
        <s v="PT-2546"/>
        <s v="PT-2547"/>
        <s v="PT-2548"/>
        <s v="PT-2549"/>
        <s v="PT-2550"/>
        <s v="PT-2551"/>
        <s v="PT-2552"/>
        <s v="PT-2553"/>
        <s v="PT-2554"/>
        <s v="PT-2555"/>
        <s v="PT-2556"/>
        <s v="PT-2557"/>
        <s v="PT-2558"/>
        <s v="PT-2559"/>
        <s v="PT-2560"/>
        <s v="PT-2561"/>
        <s v="PT-2562"/>
        <s v="PT-2563"/>
        <s v="PT-2564"/>
        <s v="PT-2565"/>
        <s v="PT-2566"/>
        <s v="PT-2567"/>
        <s v="PT-2568"/>
        <s v="PT-2569"/>
        <s v="PT-2570"/>
        <s v="PT-2571"/>
        <s v="PT-2572"/>
        <s v="PT-2573"/>
        <s v="PT-2574"/>
        <s v="PT-2575"/>
        <s v="PT-2576"/>
        <s v="PT-2577"/>
        <s v="PT-2578"/>
        <s v="PT-2579"/>
        <s v="PT-2580"/>
        <s v="PT-2581"/>
        <s v="PT-2582"/>
        <s v="PT-2583"/>
        <s v="PT-2584"/>
        <s v="PT-2585"/>
        <s v="PT-2586"/>
        <s v="PT-2587"/>
        <s v="PT-2588"/>
        <s v="PT-2589"/>
        <s v="PT-2590"/>
        <s v="PT-2591"/>
        <s v="PT-2592"/>
        <s v="PT-2593"/>
        <s v="PT-2594"/>
        <s v="PT-2595"/>
        <s v="PT-2596"/>
        <s v="PT-2597"/>
        <s v="PT-2598"/>
        <s v="PT-2599"/>
        <s v="PT-2600"/>
        <s v="PT-2601"/>
        <s v="PT-2602"/>
        <s v="PT-2603"/>
        <s v="PT-2604"/>
        <s v="PT-2605"/>
        <s v="PT-2606"/>
        <s v="PT-2607"/>
        <s v="PT-2608"/>
        <s v="PT-2609"/>
        <s v="PT-2610"/>
        <s v="PT-2611"/>
        <s v="PT-2612"/>
        <s v="PT-2613"/>
        <s v="PT-2614"/>
        <s v="PT-2615"/>
        <s v="PT-2616"/>
        <s v="PT-2617"/>
        <s v="PT-2618"/>
        <s v="PT-2619"/>
        <s v="PT-2620"/>
        <s v="PT-2621"/>
        <s v="PT-2622"/>
        <s v="PT-2623"/>
        <s v="PT-2624"/>
        <s v="PT-2625"/>
        <s v="PT-2626"/>
        <s v="PT-2627"/>
        <s v="PT-2628"/>
        <s v="PT-2629"/>
        <s v="PT-2630"/>
        <s v="PT-2631"/>
        <s v="PT-2632"/>
        <s v="PT-2633"/>
        <s v="PT-2634"/>
        <s v="PT-2635"/>
        <s v="PT-2636"/>
        <s v="PT-2637"/>
        <s v="PT-2638"/>
        <s v="PT-2639"/>
        <s v="PT-2640"/>
        <s v="PT-2641"/>
        <s v="PT-2642"/>
        <s v="PT-2643"/>
        <s v="PT-2644"/>
        <s v="PT-2645"/>
        <s v="PT-2646"/>
        <s v="PT-2647"/>
        <s v="PT-2648"/>
        <s v="PT-2649"/>
        <s v="PT-2650"/>
        <s v="PT-2651"/>
        <s v="PT-2652"/>
        <s v="PT-2653"/>
        <s v="PT-2654"/>
        <s v="PT-2655"/>
        <s v="PT-2656"/>
        <s v="PT-2657"/>
        <s v="PT-2658"/>
        <s v="PT-2659"/>
        <s v="PT-2660"/>
        <s v="PT-2661"/>
        <s v="PT-2662"/>
        <s v="PT-2663"/>
        <s v="PT-2664"/>
        <s v="PT-2665"/>
        <s v="PT-2666"/>
        <s v="PT-2667"/>
        <s v="PT-2668"/>
        <s v="PT-2669"/>
        <s v="PT-2670"/>
        <s v="PT-2671"/>
        <s v="PT-2672"/>
        <s v="PT-2673"/>
        <s v="PT-2674"/>
        <s v="PT-2675"/>
        <s v="PT-2676"/>
        <s v="PT-2677"/>
        <s v="PT-2678"/>
        <s v="PT-2679"/>
        <s v="PT-2680"/>
        <s v="PT-2681"/>
        <s v="PT-2682"/>
        <s v="PT-2683"/>
        <s v="PT-2684"/>
        <s v="PT-2685"/>
        <s v="PT-2686"/>
        <s v="PT-2687"/>
        <s v="PT-2688"/>
        <s v="PT-2689"/>
        <s v="PT-2690"/>
        <s v="PT-2691"/>
        <s v="PT-2692"/>
        <s v="PT-2693"/>
        <s v="PT-2694"/>
        <s v="PT-2695"/>
        <s v="PT-2696"/>
        <s v="PT-2697"/>
        <s v="PT-2698"/>
        <s v="PT-2699"/>
        <s v="PT-2700"/>
        <s v="PT-2701"/>
        <s v="PT-2702"/>
        <s v="PT-2703"/>
        <s v="PT-2704"/>
        <s v="PT-2705"/>
        <s v="PT-2706"/>
        <s v="PT-2707"/>
        <s v="PT-2708"/>
        <s v="PT-2709"/>
        <s v="PT-2710"/>
        <s v="PT-2711"/>
        <s v="PT-2712"/>
        <s v="PT-2713"/>
        <s v="PT-2714"/>
        <s v="PT-2715"/>
        <s v="PT-2716"/>
        <s v="PT-2717"/>
        <s v="PT-2718"/>
        <s v="PT-2719"/>
        <s v="PT-2720"/>
        <s v="PT-2721"/>
        <s v="PT-2722"/>
        <s v="PT-2723"/>
        <s v="PT-2724"/>
        <s v="PT-2725"/>
        <s v="PT-2726"/>
        <s v="PT-2727"/>
        <s v="PT-2728"/>
        <s v="PT-2729"/>
        <s v="PT-2730"/>
        <s v="PT-2731"/>
        <s v="PT-2732"/>
        <s v="PT-2733"/>
        <s v="PT-2734"/>
        <s v="PT-2735"/>
        <s v="PT-2736"/>
        <s v="PT-2737"/>
        <s v="PT-2738"/>
        <s v="PT-2739"/>
        <s v="PT-2740"/>
        <s v="PT-2741"/>
        <s v="PT-2742"/>
        <s v="PT-2743"/>
        <s v="PT-2744"/>
        <s v="PT-2745"/>
        <s v="PT-2746"/>
        <s v="PT-2747"/>
        <s v="PT-2748"/>
        <s v="PT-2749"/>
        <s v="PT-2750"/>
        <s v="PT-2751"/>
        <s v="PT-2752"/>
        <s v="PT-2753"/>
        <s v="PT-2754"/>
        <s v="PT-2755"/>
        <s v="PT-2756"/>
        <s v="PT-2757"/>
        <s v="PT-2758"/>
        <s v="PT-2759"/>
        <s v="PT-2760"/>
        <s v="PT-2761"/>
        <s v="PT-2762"/>
        <s v="PT-2763"/>
        <s v="PT-2764"/>
        <s v="PT-2765"/>
        <s v="PT-2766"/>
        <s v="PT-2767"/>
        <s v="PT-2768"/>
        <s v="PT-2769"/>
        <s v="PT-2770"/>
        <s v="PT-2771"/>
        <s v="PT-2772"/>
        <s v="PT-2773"/>
        <s v="PT-2774"/>
        <s v="PT-2775"/>
        <s v="PT-2776"/>
        <s v="PT-2777"/>
        <s v="PT-2778"/>
        <s v="PT-2779"/>
        <s v="PT-2780"/>
        <s v="PT-2781"/>
        <s v="PT-2782"/>
        <s v="PT-2783"/>
        <s v="PT-2784"/>
        <s v="PT-2785"/>
        <s v="PT-2786"/>
        <s v="PT-2787"/>
        <s v="PT-2788"/>
        <s v="PT-2789"/>
        <s v="PT-2790"/>
        <s v="PT-2791"/>
        <s v="PT-2792"/>
        <s v="PT-2793"/>
        <s v="PT-2794"/>
        <s v="PT-2795"/>
        <s v="PT-2796"/>
        <s v="PT-2797"/>
        <s v="PT-2798"/>
        <s v="PT-2799"/>
        <s v="PT-2800"/>
        <s v="PT-2801"/>
        <s v="PT-2802"/>
        <s v="PT-2803"/>
        <s v="PT-2804"/>
        <s v="PT-2805"/>
        <s v="PT-2806"/>
        <s v="PT-2807"/>
        <s v="PT-2808"/>
        <s v="PT-2809"/>
        <s v="PT-2810"/>
        <s v="PT-2811"/>
        <s v="PT-2812"/>
        <s v="PT-2813"/>
        <s v="PT-2814"/>
        <s v="PT-2815"/>
        <s v="PT-2816"/>
        <s v="PT-2817"/>
        <s v="PT-2818"/>
        <s v="PT-2819"/>
        <s v="PT-2820"/>
        <s v="PT-2821"/>
        <s v="PT-2822"/>
        <s v="PT-2823"/>
        <s v="PT-2824"/>
        <s v="PT-2825"/>
        <s v="PT-2826"/>
        <s v="PT-2827"/>
        <s v="PT-2828"/>
        <s v="PT-2829"/>
        <s v="PT-2830"/>
        <s v="PT-2831"/>
        <s v="PT-2832"/>
        <s v="PT-2833"/>
        <s v="PT-2834"/>
        <s v="PT-2835"/>
        <s v="PT-2836"/>
        <s v="PT-2837"/>
        <s v="PT-2838"/>
        <s v="PT-2839"/>
        <s v="PT-2840"/>
        <s v="PT-2841"/>
        <s v="PT-2842"/>
        <s v="PT-2843"/>
        <s v="PT-2844"/>
        <s v="PT-2845"/>
        <s v="PT-2846"/>
        <s v="PT-2847"/>
        <s v="PT-2848"/>
        <s v="PT-2849"/>
        <s v="PT-2850"/>
        <s v="PT-2851"/>
        <s v="PT-2852"/>
        <s v="PT-2853"/>
        <s v="PT-2854"/>
        <s v="PT-2855"/>
        <s v="PT-2856"/>
        <s v="PT-2857"/>
        <s v="PT-2858"/>
        <s v="PT-2859"/>
        <s v="PT-2860"/>
        <s v="PT-2861"/>
        <s v="PT-2862"/>
        <s v="PT-2863"/>
        <s v="PT-2864"/>
        <s v="PT-2865"/>
        <s v="PT-2866"/>
        <s v="PT-2867"/>
        <s v="PT-2868"/>
        <s v="PT-2869"/>
        <s v="PT-2870"/>
        <s v="PT-2871"/>
        <s v="PT-2872"/>
        <s v="PT-2873"/>
        <s v="PT-2874"/>
        <s v="PT-2875"/>
        <s v="PT-2876"/>
        <s v="PT-2877"/>
        <s v="PT-2878"/>
        <s v="PT-2879"/>
        <s v="PT-2880"/>
        <s v="PT-2881"/>
        <s v="PT-2882"/>
        <s v="PT-2883"/>
        <s v="PT-2884"/>
        <s v="PT-2885"/>
        <s v="PT-2886"/>
        <s v="PT-2887"/>
        <s v="PT-2888"/>
        <s v="PT-2889"/>
        <s v="PT-2890"/>
        <s v="PT-2891"/>
        <s v="PT-2892"/>
        <s v="PT-2893"/>
        <s v="PT-2894"/>
        <s v="PT-2895"/>
        <s v="PT-2896"/>
        <s v="PT-2897"/>
        <s v="PT-2898"/>
        <s v="PT-2899"/>
        <s v="PT-2900"/>
        <s v="PT-2901"/>
        <s v="PT-2902"/>
        <s v="PT-2903"/>
        <s v="PT-2904"/>
        <s v="PT-2905"/>
        <s v="PT-2906"/>
        <s v="PT-2907"/>
        <s v="PT-2908"/>
        <s v="PT-2909"/>
        <s v="PT-2910"/>
        <s v="PT-2911"/>
        <s v="PT-2912"/>
        <s v="PT-2913"/>
        <s v="PT-2914"/>
        <s v="PT-2915"/>
        <s v="PT-2916"/>
        <s v="PT-2917"/>
        <s v="PT-2918"/>
        <s v="PT-2919"/>
        <s v="PT-2920"/>
        <s v="PT-2921"/>
        <s v="PT-2922"/>
        <s v="PT-2923"/>
        <s v="PT-2924"/>
        <s v="PT-2925"/>
        <s v="PT-2926"/>
        <s v="PT-2927"/>
        <s v="PT-2928"/>
        <s v="PT-2929"/>
        <s v="PT-2930"/>
        <s v="PT-2931"/>
        <s v="PT-2932"/>
        <s v="PT-2933"/>
        <s v="PT-2934"/>
        <s v="PT-2935"/>
        <s v="PT-2936"/>
        <s v="PT-2937"/>
        <s v="PT-2938"/>
        <s v="PT-2939"/>
        <s v="PT-2940"/>
        <s v="PT-2941"/>
        <s v="PT-2942"/>
        <s v="PT-2943"/>
        <s v="PT-2944"/>
        <s v="PT-2945"/>
        <s v="PT-2946"/>
        <s v="PT-2947"/>
        <s v="PT-2948"/>
        <s v="PT-2949"/>
        <s v="PT-2950"/>
        <s v="PT-2951"/>
        <s v="PT-2952"/>
        <s v="PT-2953"/>
        <s v="PT-2954"/>
        <s v="PT-2955"/>
        <s v="PT-2956"/>
        <s v="PT-2957"/>
        <s v="PT-2958"/>
        <s v="PT-2959"/>
        <s v="PT-2960"/>
        <s v="PT-2961"/>
        <s v="PT-2962"/>
        <s v="PT-2963"/>
        <s v="PT-2964"/>
        <s v="PT-2965"/>
        <s v="PT-2966"/>
        <s v="PT-2967"/>
        <s v="PT-2968"/>
        <s v="PT-2969"/>
        <s v="PT-2970"/>
        <s v="PT-2971"/>
        <s v="PT-2972"/>
        <s v="PT-2973"/>
        <s v="PT-2974"/>
        <s v="PT-2975"/>
        <s v="PT-2976"/>
        <s v="PT-2977"/>
        <s v="PT-2978"/>
        <s v="PT-2979"/>
        <s v="PT-2980"/>
        <s v="PT-2981"/>
        <s v="PT-2982"/>
        <s v="PT-2983"/>
        <s v="PT-2984"/>
        <s v="PT-2985"/>
        <s v="PT-2986"/>
        <s v="PT-2987"/>
        <s v="PT-2988"/>
        <s v="PT-2989"/>
        <s v="PT-2990"/>
        <s v="PT-2991"/>
        <s v="PT-2992"/>
        <s v="PT-2993"/>
        <s v="PT-2994"/>
        <s v="PT-2995"/>
        <s v="PT-2996"/>
        <s v="PT-2997"/>
        <s v="PT-2998"/>
        <s v="PT-2999"/>
        <s v="PT-3000"/>
      </sharedItems>
    </cacheField>
    <cacheField name="Full_Name_Clean" numFmtId="0">
      <sharedItems/>
    </cacheField>
    <cacheField name="Age" numFmtId="0">
      <sharedItems containsSemiMixedTypes="0" containsString="0" containsNumber="1" containsInteger="1" minValue="2" maxValue="92"/>
    </cacheField>
    <cacheField name="Age_Group" numFmtId="0">
      <sharedItems count="6">
        <s v="0-17"/>
        <s v="75+"/>
        <s v="18-34"/>
        <s v="55-64"/>
        <s v="65-74"/>
        <s v="35-54"/>
      </sharedItems>
    </cacheField>
    <cacheField name="Gender" numFmtId="0">
      <sharedItems count="2">
        <s v="Male"/>
        <s v="Female"/>
      </sharedItems>
    </cacheField>
    <cacheField name="Blood_Type_Clean" numFmtId="0">
      <sharedItems/>
    </cacheField>
    <cacheField name="Condition" numFmtId="0">
      <sharedItems count="8">
        <s v="Oncology"/>
        <s v="Diabetes"/>
        <s v="Neurology"/>
        <s v="General Surgery"/>
        <s v="Gastroenterology"/>
        <s v="Cardiac"/>
        <s v="Respiratory"/>
        <s v="Orthopaedics"/>
      </sharedItems>
    </cacheField>
    <cacheField name="Admission_Type" numFmtId="0">
      <sharedItems count="4">
        <s v="Emergency"/>
        <s v="Elective"/>
        <s v="Urgent"/>
        <s v="Maternity"/>
      </sharedItems>
    </cacheField>
    <cacheField name="Date_of_Admission" numFmtId="164">
      <sharedItems containsSemiMixedTypes="0" containsNonDate="0" containsDate="1" containsString="0" minDate="2019-01-01T00:00:00" maxDate="2025-01-01T00:00:00" count="1266">
        <d v="2021-06-14T00:00:00"/>
        <d v="2021-07-22T00:00:00"/>
        <d v="2023-06-09T00:00:00"/>
        <d v="2022-04-17T00:00:00"/>
        <d v="2019-10-11T00:00:00"/>
        <d v="2024-04-20T00:00:00"/>
        <d v="2020-12-11T00:00:00"/>
        <d v="2021-08-21T00:00:00"/>
        <d v="2020-11-15T00:00:00"/>
        <d v="2020-03-04T00:00:00"/>
        <d v="2021-10-13T00:00:00"/>
        <d v="2024-09-25T00:00:00"/>
        <d v="2022-08-12T00:00:00"/>
        <d v="2023-12-15T00:00:00"/>
        <d v="2020-09-09T00:00:00"/>
        <d v="2023-07-15T00:00:00"/>
        <d v="2020-05-10T00:00:00"/>
        <d v="2023-09-17T00:00:00"/>
        <d v="2022-05-02T00:00:00"/>
        <d v="2020-02-16T00:00:00"/>
        <d v="2022-05-29T00:00:00"/>
        <d v="2021-12-19T00:00:00"/>
        <d v="2019-06-14T00:00:00"/>
        <d v="2021-02-07T00:00:00"/>
        <d v="2024-04-18T00:00:00"/>
        <d v="2023-01-05T00:00:00"/>
        <d v="2022-03-23T00:00:00"/>
        <d v="2024-11-09T00:00:00"/>
        <d v="2023-11-12T00:00:00"/>
        <d v="2021-12-09T00:00:00"/>
        <d v="2020-02-10T00:00:00"/>
        <d v="2022-07-09T00:00:00"/>
        <d v="2023-10-13T00:00:00"/>
        <d v="2019-10-02T00:00:00"/>
        <d v="2019-04-18T00:00:00"/>
        <d v="2019-12-12T00:00:00"/>
        <d v="2023-09-07T00:00:00"/>
        <d v="2020-12-26T00:00:00"/>
        <d v="2021-02-10T00:00:00"/>
        <d v="2020-08-02T00:00:00"/>
        <d v="2022-10-11T00:00:00"/>
        <d v="2021-10-21T00:00:00"/>
        <d v="2020-07-22T00:00:00"/>
        <d v="2019-12-17T00:00:00"/>
        <d v="2020-07-06T00:00:00"/>
        <d v="2023-10-30T00:00:00"/>
        <d v="2021-08-24T00:00:00"/>
        <d v="2022-11-24T00:00:00"/>
        <d v="2024-10-20T00:00:00"/>
        <d v="2019-06-18T00:00:00"/>
        <d v="2020-11-05T00:00:00"/>
        <d v="2023-07-02T00:00:00"/>
        <d v="2022-10-05T00:00:00"/>
        <d v="2019-03-19T00:00:00"/>
        <d v="2022-03-29T00:00:00"/>
        <d v="2022-09-14T00:00:00"/>
        <d v="2022-03-31T00:00:00"/>
        <d v="2022-11-08T00:00:00"/>
        <d v="2019-12-02T00:00:00"/>
        <d v="2019-09-04T00:00:00"/>
        <d v="2020-07-04T00:00:00"/>
        <d v="2023-10-16T00:00:00"/>
        <d v="2021-02-19T00:00:00"/>
        <d v="2024-03-23T00:00:00"/>
        <d v="2019-08-29T00:00:00"/>
        <d v="2021-10-30T00:00:00"/>
        <d v="2024-01-05T00:00:00"/>
        <d v="2023-03-18T00:00:00"/>
        <d v="2019-02-20T00:00:00"/>
        <d v="2023-11-23T00:00:00"/>
        <d v="2024-07-08T00:00:00"/>
        <d v="2024-10-25T00:00:00"/>
        <d v="2020-03-23T00:00:00"/>
        <d v="2022-07-07T00:00:00"/>
        <d v="2022-07-12T00:00:00"/>
        <d v="2019-06-20T00:00:00"/>
        <d v="2020-11-20T00:00:00"/>
        <d v="2021-05-17T00:00:00"/>
        <d v="2019-08-01T00:00:00"/>
        <d v="2024-11-07T00:00:00"/>
        <d v="2021-07-09T00:00:00"/>
        <d v="2021-12-04T00:00:00"/>
        <d v="2020-04-05T00:00:00"/>
        <d v="2022-06-13T00:00:00"/>
        <d v="2020-09-28T00:00:00"/>
        <d v="2020-02-22T00:00:00"/>
        <d v="2020-08-31T00:00:00"/>
        <d v="2021-11-08T00:00:00"/>
        <d v="2021-05-04T00:00:00"/>
        <d v="2020-12-28T00:00:00"/>
        <d v="2023-08-23T00:00:00"/>
        <d v="2021-02-17T00:00:00"/>
        <d v="2021-12-14T00:00:00"/>
        <d v="2020-07-05T00:00:00"/>
        <d v="2021-12-17T00:00:00"/>
        <d v="2020-01-01T00:00:00"/>
        <d v="2022-12-03T00:00:00"/>
        <d v="2023-06-15T00:00:00"/>
        <d v="2023-12-27T00:00:00"/>
        <d v="2024-10-19T00:00:00"/>
        <d v="2023-10-25T00:00:00"/>
        <d v="2020-04-27T00:00:00"/>
        <d v="2022-01-06T00:00:00"/>
        <d v="2023-08-04T00:00:00"/>
        <d v="2023-04-25T00:00:00"/>
        <d v="2023-11-16T00:00:00"/>
        <d v="2019-12-07T00:00:00"/>
        <d v="2020-06-16T00:00:00"/>
        <d v="2021-09-25T00:00:00"/>
        <d v="2020-09-21T00:00:00"/>
        <d v="2020-08-13T00:00:00"/>
        <d v="2022-09-17T00:00:00"/>
        <d v="2020-11-18T00:00:00"/>
        <d v="2020-11-10T00:00:00"/>
        <d v="2019-11-15T00:00:00"/>
        <d v="2023-11-08T00:00:00"/>
        <d v="2019-09-10T00:00:00"/>
        <d v="2022-12-06T00:00:00"/>
        <d v="2021-04-14T00:00:00"/>
        <d v="2023-11-19T00:00:00"/>
        <d v="2023-06-07T00:00:00"/>
        <d v="2021-09-23T00:00:00"/>
        <d v="2022-12-29T00:00:00"/>
        <d v="2022-07-16T00:00:00"/>
        <d v="2024-10-18T00:00:00"/>
        <d v="2020-08-16T00:00:00"/>
        <d v="2023-11-25T00:00:00"/>
        <d v="2020-01-02T00:00:00"/>
        <d v="2022-01-18T00:00:00"/>
        <d v="2024-03-14T00:00:00"/>
        <d v="2024-05-25T00:00:00"/>
        <d v="2021-10-18T00:00:00"/>
        <d v="2023-01-31T00:00:00"/>
        <d v="2019-10-18T00:00:00"/>
        <d v="2022-10-14T00:00:00"/>
        <d v="2022-04-02T00:00:00"/>
        <d v="2022-10-01T00:00:00"/>
        <d v="2019-07-21T00:00:00"/>
        <d v="2020-08-20T00:00:00"/>
        <d v="2024-11-27T00:00:00"/>
        <d v="2021-12-12T00:00:00"/>
        <d v="2021-08-04T00:00:00"/>
        <d v="2024-04-04T00:00:00"/>
        <d v="2019-06-07T00:00:00"/>
        <d v="2020-08-07T00:00:00"/>
        <d v="2020-09-06T00:00:00"/>
        <d v="2019-05-31T00:00:00"/>
        <d v="2024-12-06T00:00:00"/>
        <d v="2021-04-04T00:00:00"/>
        <d v="2020-04-26T00:00:00"/>
        <d v="2024-03-22T00:00:00"/>
        <d v="2020-03-14T00:00:00"/>
        <d v="2020-03-21T00:00:00"/>
        <d v="2020-06-06T00:00:00"/>
        <d v="2021-07-13T00:00:00"/>
        <d v="2019-11-16T00:00:00"/>
        <d v="2022-02-12T00:00:00"/>
        <d v="2022-11-14T00:00:00"/>
        <d v="2023-05-22T00:00:00"/>
        <d v="2021-01-26T00:00:00"/>
        <d v="2024-09-12T00:00:00"/>
        <d v="2023-05-02T00:00:00"/>
        <d v="2019-06-25T00:00:00"/>
        <d v="2019-09-16T00:00:00"/>
        <d v="2022-03-08T00:00:00"/>
        <d v="2021-03-04T00:00:00"/>
        <d v="2021-06-22T00:00:00"/>
        <d v="2023-08-14T00:00:00"/>
        <d v="2023-01-08T00:00:00"/>
        <d v="2024-11-02T00:00:00"/>
        <d v="2020-05-17T00:00:00"/>
        <d v="2019-03-29T00:00:00"/>
        <d v="2020-09-20T00:00:00"/>
        <d v="2020-08-25T00:00:00"/>
        <d v="2023-01-18T00:00:00"/>
        <d v="2023-01-21T00:00:00"/>
        <d v="2022-11-27T00:00:00"/>
        <d v="2024-01-11T00:00:00"/>
        <d v="2020-03-15T00:00:00"/>
        <d v="2023-02-14T00:00:00"/>
        <d v="2024-07-29T00:00:00"/>
        <d v="2019-05-15T00:00:00"/>
        <d v="2022-10-29T00:00:00"/>
        <d v="2021-04-23T00:00:00"/>
        <d v="2023-11-09T00:00:00"/>
        <d v="2023-08-08T00:00:00"/>
        <d v="2022-12-10T00:00:00"/>
        <d v="2024-01-07T00:00:00"/>
        <d v="2021-12-11T00:00:00"/>
        <d v="2019-08-02T00:00:00"/>
        <d v="2019-03-26T00:00:00"/>
        <d v="2022-03-05T00:00:00"/>
        <d v="2023-04-10T00:00:00"/>
        <d v="2020-09-11T00:00:00"/>
        <d v="2021-01-09T00:00:00"/>
        <d v="2020-06-13T00:00:00"/>
        <d v="2023-09-27T00:00:00"/>
        <d v="2021-03-11T00:00:00"/>
        <d v="2024-06-16T00:00:00"/>
        <d v="2021-09-20T00:00:00"/>
        <d v="2020-04-23T00:00:00"/>
        <d v="2024-08-07T00:00:00"/>
        <d v="2020-03-09T00:00:00"/>
        <d v="2023-06-03T00:00:00"/>
        <d v="2024-12-26T00:00:00"/>
        <d v="2023-03-27T00:00:00"/>
        <d v="2024-02-09T00:00:00"/>
        <d v="2020-05-16T00:00:00"/>
        <d v="2019-12-04T00:00:00"/>
        <d v="2019-04-09T00:00:00"/>
        <d v="2022-11-18T00:00:00"/>
        <d v="2021-10-24T00:00:00"/>
        <d v="2019-03-07T00:00:00"/>
        <d v="2023-05-01T00:00:00"/>
        <d v="2024-12-22T00:00:00"/>
        <d v="2019-09-15T00:00:00"/>
        <d v="2023-11-04T00:00:00"/>
        <d v="2019-06-30T00:00:00"/>
        <d v="2022-05-12T00:00:00"/>
        <d v="2021-10-04T00:00:00"/>
        <d v="2023-03-13T00:00:00"/>
        <d v="2022-09-10T00:00:00"/>
        <d v="2019-12-18T00:00:00"/>
        <d v="2023-05-21T00:00:00"/>
        <d v="2023-05-13T00:00:00"/>
        <d v="2023-08-28T00:00:00"/>
        <d v="2021-07-03T00:00:00"/>
        <d v="2023-12-16T00:00:00"/>
        <d v="2021-02-15T00:00:00"/>
        <d v="2023-05-11T00:00:00"/>
        <d v="2022-09-08T00:00:00"/>
        <d v="2021-04-17T00:00:00"/>
        <d v="2021-11-19T00:00:00"/>
        <d v="2022-11-28T00:00:00"/>
        <d v="2024-08-12T00:00:00"/>
        <d v="2021-05-20T00:00:00"/>
        <d v="2022-10-12T00:00:00"/>
        <d v="2020-04-18T00:00:00"/>
        <d v="2024-08-09T00:00:00"/>
        <d v="2019-03-30T00:00:00"/>
        <d v="2023-03-23T00:00:00"/>
        <d v="2024-09-18T00:00:00"/>
        <d v="2024-01-06T00:00:00"/>
        <d v="2023-12-11T00:00:00"/>
        <d v="2020-11-30T00:00:00"/>
        <d v="2021-07-26T00:00:00"/>
        <d v="2021-09-27T00:00:00"/>
        <d v="2019-08-24T00:00:00"/>
        <d v="2021-03-23T00:00:00"/>
        <d v="2020-09-16T00:00:00"/>
        <d v="2022-11-16T00:00:00"/>
        <d v="2021-02-18T00:00:00"/>
        <d v="2022-02-11T00:00:00"/>
        <d v="2021-04-24T00:00:00"/>
        <d v="2019-02-18T00:00:00"/>
        <d v="2022-05-20T00:00:00"/>
        <d v="2022-09-27T00:00:00"/>
        <d v="2024-12-05T00:00:00"/>
        <d v="2019-05-12T00:00:00"/>
        <d v="2024-11-14T00:00:00"/>
        <d v="2020-06-21T00:00:00"/>
        <d v="2024-03-02T00:00:00"/>
        <d v="2019-11-08T00:00:00"/>
        <d v="2023-01-20T00:00:00"/>
        <d v="2020-08-15T00:00:00"/>
        <d v="2023-01-30T00:00:00"/>
        <d v="2020-02-13T00:00:00"/>
        <d v="2019-11-19T00:00:00"/>
        <d v="2020-12-07T00:00:00"/>
        <d v="2020-03-16T00:00:00"/>
        <d v="2021-10-08T00:00:00"/>
        <d v="2019-01-20T00:00:00"/>
        <d v="2023-11-20T00:00:00"/>
        <d v="2022-02-23T00:00:00"/>
        <d v="2023-01-29T00:00:00"/>
        <d v="2024-02-07T00:00:00"/>
        <d v="2022-11-29T00:00:00"/>
        <d v="2024-06-23T00:00:00"/>
        <d v="2020-07-24T00:00:00"/>
        <d v="2024-09-28T00:00:00"/>
        <d v="2020-09-25T00:00:00"/>
        <d v="2019-05-01T00:00:00"/>
        <d v="2022-11-22T00:00:00"/>
        <d v="2019-11-17T00:00:00"/>
        <d v="2023-10-27T00:00:00"/>
        <d v="2023-10-15T00:00:00"/>
        <d v="2024-02-02T00:00:00"/>
        <d v="2019-08-22T00:00:00"/>
        <d v="2020-05-24T00:00:00"/>
        <d v="2022-07-23T00:00:00"/>
        <d v="2019-04-15T00:00:00"/>
        <d v="2023-01-22T00:00:00"/>
        <d v="2024-07-17T00:00:00"/>
        <d v="2024-01-13T00:00:00"/>
        <d v="2019-06-21T00:00:00"/>
        <d v="2022-02-28T00:00:00"/>
        <d v="2021-08-19T00:00:00"/>
        <d v="2022-01-20T00:00:00"/>
        <d v="2023-12-17T00:00:00"/>
        <d v="2022-06-29T00:00:00"/>
        <d v="2023-09-09T00:00:00"/>
        <d v="2021-07-02T00:00:00"/>
        <d v="2023-04-18T00:00:00"/>
        <d v="2022-06-30T00:00:00"/>
        <d v="2019-06-12T00:00:00"/>
        <d v="2023-04-08T00:00:00"/>
        <d v="2022-03-21T00:00:00"/>
        <d v="2024-10-03T00:00:00"/>
        <d v="2024-04-23T00:00:00"/>
        <d v="2019-04-21T00:00:00"/>
        <d v="2023-12-26T00:00:00"/>
        <d v="2020-05-20T00:00:00"/>
        <d v="2021-04-27T00:00:00"/>
        <d v="2019-02-09T00:00:00"/>
        <d v="2024-10-17T00:00:00"/>
        <d v="2021-07-24T00:00:00"/>
        <d v="2020-06-26T00:00:00"/>
        <d v="2023-07-26T00:00:00"/>
        <d v="2024-12-12T00:00:00"/>
        <d v="2023-05-09T00:00:00"/>
        <d v="2021-10-20T00:00:00"/>
        <d v="2023-01-19T00:00:00"/>
        <d v="2024-12-20T00:00:00"/>
        <d v="2022-10-15T00:00:00"/>
        <d v="2022-05-16T00:00:00"/>
        <d v="2021-12-22T00:00:00"/>
        <d v="2020-06-09T00:00:00"/>
        <d v="2019-05-21T00:00:00"/>
        <d v="2024-10-27T00:00:00"/>
        <d v="2024-12-14T00:00:00"/>
        <d v="2020-10-18T00:00:00"/>
        <d v="2022-10-30T00:00:00"/>
        <d v="2021-07-21T00:00:00"/>
        <d v="2023-07-16T00:00:00"/>
        <d v="2024-02-06T00:00:00"/>
        <d v="2021-11-18T00:00:00"/>
        <d v="2023-05-06T00:00:00"/>
        <d v="2023-03-16T00:00:00"/>
        <d v="2019-09-26T00:00:00"/>
        <d v="2019-04-12T00:00:00"/>
        <d v="2020-08-11T00:00:00"/>
        <d v="2022-01-21T00:00:00"/>
        <d v="2021-07-04T00:00:00"/>
        <d v="2019-08-20T00:00:00"/>
        <d v="2024-10-02T00:00:00"/>
        <d v="2021-07-18T00:00:00"/>
        <d v="2023-08-16T00:00:00"/>
        <d v="2019-08-05T00:00:00"/>
        <d v="2023-12-28T00:00:00"/>
        <d v="2023-09-08T00:00:00"/>
        <d v="2023-10-05T00:00:00"/>
        <d v="2021-02-14T00:00:00"/>
        <d v="2024-01-01T00:00:00"/>
        <d v="2023-09-15T00:00:00"/>
        <d v="2022-04-07T00:00:00"/>
        <d v="2019-02-10T00:00:00"/>
        <d v="2021-12-05T00:00:00"/>
        <d v="2023-03-17T00:00:00"/>
        <d v="2019-10-25T00:00:00"/>
        <d v="2019-11-27T00:00:00"/>
        <d v="2021-03-30T00:00:00"/>
        <d v="2019-12-01T00:00:00"/>
        <d v="2022-01-23T00:00:00"/>
        <d v="2020-07-17T00:00:00"/>
        <d v="2023-03-10T00:00:00"/>
        <d v="2019-10-20T00:00:00"/>
        <d v="2019-12-22T00:00:00"/>
        <d v="2019-07-19T00:00:00"/>
        <d v="2020-02-20T00:00:00"/>
        <d v="2023-10-03T00:00:00"/>
        <d v="2020-10-06T00:00:00"/>
        <d v="2022-10-13T00:00:00"/>
        <d v="2024-06-28T00:00:00"/>
        <d v="2021-06-19T00:00:00"/>
        <d v="2023-04-24T00:00:00"/>
        <d v="2019-03-31T00:00:00"/>
        <d v="2021-11-11T00:00:00"/>
        <d v="2024-12-25T00:00:00"/>
        <d v="2023-07-13T00:00:00"/>
        <d v="2021-03-15T00:00:00"/>
        <d v="2023-03-05T00:00:00"/>
        <d v="2024-09-02T00:00:00"/>
        <d v="2022-01-09T00:00:00"/>
        <d v="2019-12-27T00:00:00"/>
        <d v="2023-09-26T00:00:00"/>
        <d v="2021-03-16T00:00:00"/>
        <d v="2021-09-05T00:00:00"/>
        <d v="2019-11-23T00:00:00"/>
        <d v="2024-12-29T00:00:00"/>
        <d v="2024-03-06T00:00:00"/>
        <d v="2022-10-27T00:00:00"/>
        <d v="2023-01-24T00:00:00"/>
        <d v="2023-10-18T00:00:00"/>
        <d v="2022-03-24T00:00:00"/>
        <d v="2023-01-01T00:00:00"/>
        <d v="2022-02-22T00:00:00"/>
        <d v="2020-04-02T00:00:00"/>
        <d v="2021-10-23T00:00:00"/>
        <d v="2020-07-07T00:00:00"/>
        <d v="2019-05-05T00:00:00"/>
        <d v="2024-04-08T00:00:00"/>
        <d v="2023-03-29T00:00:00"/>
        <d v="2023-05-16T00:00:00"/>
        <d v="2019-10-09T00:00:00"/>
        <d v="2022-03-07T00:00:00"/>
        <d v="2019-11-11T00:00:00"/>
        <d v="2020-09-22T00:00:00"/>
        <d v="2021-08-30T00:00:00"/>
        <d v="2023-03-20T00:00:00"/>
        <d v="2023-07-14T00:00:00"/>
        <d v="2019-01-13T00:00:00"/>
        <d v="2020-02-09T00:00:00"/>
        <d v="2019-10-27T00:00:00"/>
        <d v="2020-11-03T00:00:00"/>
        <d v="2024-01-25T00:00:00"/>
        <d v="2020-12-04T00:00:00"/>
        <d v="2020-10-10T00:00:00"/>
        <d v="2019-09-18T00:00:00"/>
        <d v="2023-05-18T00:00:00"/>
        <d v="2020-11-09T00:00:00"/>
        <d v="2024-06-20T00:00:00"/>
        <d v="2024-10-07T00:00:00"/>
        <d v="2022-03-25T00:00:00"/>
        <d v="2023-10-10T00:00:00"/>
        <d v="2023-01-27T00:00:00"/>
        <d v="2020-12-02T00:00:00"/>
        <d v="2020-04-22T00:00:00"/>
        <d v="2020-01-19T00:00:00"/>
        <d v="2024-12-03T00:00:00"/>
        <d v="2023-06-06T00:00:00"/>
        <d v="2023-01-10T00:00:00"/>
        <d v="2019-11-04T00:00:00"/>
        <d v="2019-09-20T00:00:00"/>
        <d v="2024-06-09T00:00:00"/>
        <d v="2022-05-30T00:00:00"/>
        <d v="2022-01-12T00:00:00"/>
        <d v="2023-06-19T00:00:00"/>
        <d v="2021-06-28T00:00:00"/>
        <d v="2022-10-31T00:00:00"/>
        <d v="2024-10-13T00:00:00"/>
        <d v="2020-05-01T00:00:00"/>
        <d v="2019-08-17T00:00:00"/>
        <d v="2023-02-22T00:00:00"/>
        <d v="2020-02-29T00:00:00"/>
        <d v="2023-10-07T00:00:00"/>
        <d v="2024-03-28T00:00:00"/>
        <d v="2019-09-06T00:00:00"/>
        <d v="2020-06-12T00:00:00"/>
        <d v="2019-11-02T00:00:00"/>
        <d v="2022-04-20T00:00:00"/>
        <d v="2020-06-27T00:00:00"/>
        <d v="2023-07-08T00:00:00"/>
        <d v="2024-05-26T00:00:00"/>
        <d v="2024-08-27T00:00:00"/>
        <d v="2019-05-26T00:00:00"/>
        <d v="2022-07-26T00:00:00"/>
        <d v="2019-01-09T00:00:00"/>
        <d v="2023-05-28T00:00:00"/>
        <d v="2021-09-24T00:00:00"/>
        <d v="2023-02-24T00:00:00"/>
        <d v="2024-08-22T00:00:00"/>
        <d v="2024-10-05T00:00:00"/>
        <d v="2019-02-23T00:00:00"/>
        <d v="2024-10-01T00:00:00"/>
        <d v="2023-04-19T00:00:00"/>
        <d v="2022-02-27T00:00:00"/>
        <d v="2022-02-05T00:00:00"/>
        <d v="2020-08-27T00:00:00"/>
        <d v="2021-03-09T00:00:00"/>
        <d v="2021-05-23T00:00:00"/>
        <d v="2019-01-10T00:00:00"/>
        <d v="2022-06-02T00:00:00"/>
        <d v="2022-01-17T00:00:00"/>
        <d v="2021-02-06T00:00:00"/>
        <d v="2020-05-25T00:00:00"/>
        <d v="2023-04-29T00:00:00"/>
        <d v="2021-04-01T00:00:00"/>
        <d v="2021-09-28T00:00:00"/>
        <d v="2023-12-30T00:00:00"/>
        <d v="2021-06-10T00:00:00"/>
        <d v="2020-01-03T00:00:00"/>
        <d v="2020-03-17T00:00:00"/>
        <d v="2023-02-05T00:00:00"/>
        <d v="2020-05-03T00:00:00"/>
        <d v="2019-12-09T00:00:00"/>
        <d v="2021-11-27T00:00:00"/>
        <d v="2020-07-31T00:00:00"/>
        <d v="2020-10-20T00:00:00"/>
        <d v="2020-12-01T00:00:00"/>
        <d v="2023-07-07T00:00:00"/>
        <d v="2023-06-12T00:00:00"/>
        <d v="2020-11-13T00:00:00"/>
        <d v="2021-08-12T00:00:00"/>
        <d v="2022-08-18T00:00:00"/>
        <d v="2021-11-07T00:00:00"/>
        <d v="2021-12-06T00:00:00"/>
        <d v="2024-02-25T00:00:00"/>
        <d v="2021-01-13T00:00:00"/>
        <d v="2022-05-03T00:00:00"/>
        <d v="2022-01-31T00:00:00"/>
        <d v="2022-07-28T00:00:00"/>
        <d v="2022-06-11T00:00:00"/>
        <d v="2021-09-07T00:00:00"/>
        <d v="2023-10-23T00:00:00"/>
        <d v="2022-07-22T00:00:00"/>
        <d v="2020-11-02T00:00:00"/>
        <d v="2024-04-28T00:00:00"/>
        <d v="2020-11-07T00:00:00"/>
        <d v="2020-06-22T00:00:00"/>
        <d v="2019-12-29T00:00:00"/>
        <d v="2020-11-12T00:00:00"/>
        <d v="2024-11-13T00:00:00"/>
        <d v="2024-12-01T00:00:00"/>
        <d v="2020-07-25T00:00:00"/>
        <d v="2024-04-07T00:00:00"/>
        <d v="2023-10-02T00:00:00"/>
        <d v="2023-02-28T00:00:00"/>
        <d v="2019-05-13T00:00:00"/>
        <d v="2024-11-15T00:00:00"/>
        <d v="2020-06-15T00:00:00"/>
        <d v="2020-06-07T00:00:00"/>
        <d v="2019-01-19T00:00:00"/>
        <d v="2023-03-25T00:00:00"/>
        <d v="2020-03-31T00:00:00"/>
        <d v="2021-04-13T00:00:00"/>
        <d v="2019-04-05T00:00:00"/>
        <d v="2019-08-23T00:00:00"/>
        <d v="2019-03-21T00:00:00"/>
        <d v="2022-08-24T00:00:00"/>
        <d v="2019-01-03T00:00:00"/>
        <d v="2024-11-26T00:00:00"/>
        <d v="2020-02-14T00:00:00"/>
        <d v="2022-09-21T00:00:00"/>
        <d v="2021-10-25T00:00:00"/>
        <d v="2024-05-11T00:00:00"/>
        <d v="2020-01-07T00:00:00"/>
        <d v="2021-06-18T00:00:00"/>
        <d v="2022-12-20T00:00:00"/>
        <d v="2019-10-05T00:00:00"/>
        <d v="2022-05-10T00:00:00"/>
        <d v="2019-05-14T00:00:00"/>
        <d v="2019-03-10T00:00:00"/>
        <d v="2024-09-16T00:00:00"/>
        <d v="2019-10-13T00:00:00"/>
        <d v="2024-10-23T00:00:00"/>
        <d v="2019-11-05T00:00:00"/>
        <d v="2019-07-11T00:00:00"/>
        <d v="2019-10-03T00:00:00"/>
        <d v="2023-07-29T00:00:00"/>
        <d v="2020-12-14T00:00:00"/>
        <d v="2021-06-02T00:00:00"/>
        <d v="2021-08-08T00:00:00"/>
        <d v="2022-04-04T00:00:00"/>
        <d v="2021-01-23T00:00:00"/>
        <d v="2019-03-17T00:00:00"/>
        <d v="2022-12-05T00:00:00"/>
        <d v="2022-10-20T00:00:00"/>
        <d v="2023-12-14T00:00:00"/>
        <d v="2020-01-05T00:00:00"/>
        <d v="2024-12-17T00:00:00"/>
        <d v="2023-07-11T00:00:00"/>
        <d v="2022-10-17T00:00:00"/>
        <d v="2023-12-18T00:00:00"/>
        <d v="2020-10-16T00:00:00"/>
        <d v="2024-07-31T00:00:00"/>
        <d v="2022-01-15T00:00:00"/>
        <d v="2021-04-06T00:00:00"/>
        <d v="2022-12-11T00:00:00"/>
        <d v="2024-10-15T00:00:00"/>
        <d v="2024-01-19T00:00:00"/>
        <d v="2019-08-26T00:00:00"/>
        <d v="2024-12-11T00:00:00"/>
        <d v="2023-08-22T00:00:00"/>
        <d v="2019-09-11T00:00:00"/>
        <d v="2021-12-29T00:00:00"/>
        <d v="2019-12-30T00:00:00"/>
        <d v="2024-06-17T00:00:00"/>
        <d v="2021-09-15T00:00:00"/>
        <d v="2023-11-28T00:00:00"/>
        <d v="2023-04-04T00:00:00"/>
        <d v="2022-03-27T00:00:00"/>
        <d v="2021-05-25T00:00:00"/>
        <d v="2020-06-11T00:00:00"/>
        <d v="2020-01-27T00:00:00"/>
        <d v="2021-04-30T00:00:00"/>
        <d v="2019-12-08T00:00:00"/>
        <d v="2023-03-09T00:00:00"/>
        <d v="2022-10-19T00:00:00"/>
        <d v="2024-11-10T00:00:00"/>
        <d v="2022-01-25T00:00:00"/>
        <d v="2020-05-02T00:00:00"/>
        <d v="2019-12-20T00:00:00"/>
        <d v="2019-10-21T00:00:00"/>
        <d v="2024-07-28T00:00:00"/>
        <d v="2020-02-15T00:00:00"/>
        <d v="2020-04-17T00:00:00"/>
        <d v="2022-05-19T00:00:00"/>
        <d v="2021-08-09T00:00:00"/>
        <d v="2024-01-27T00:00:00"/>
        <d v="2020-07-30T00:00:00"/>
        <d v="2022-12-24T00:00:00"/>
        <d v="2024-07-09T00:00:00"/>
        <d v="2023-10-19T00:00:00"/>
        <d v="2023-04-06T00:00:00"/>
        <d v="2023-02-19T00:00:00"/>
        <d v="2020-08-08T00:00:00"/>
        <d v="2019-01-26T00:00:00"/>
        <d v="2020-07-29T00:00:00"/>
        <d v="2019-09-03T00:00:00"/>
        <d v="2019-02-19T00:00:00"/>
        <d v="2024-09-04T00:00:00"/>
        <d v="2020-05-30T00:00:00"/>
        <d v="2023-05-17T00:00:00"/>
        <d v="2024-08-02T00:00:00"/>
        <d v="2021-04-02T00:00:00"/>
        <d v="2021-04-10T00:00:00"/>
        <d v="2023-01-04T00:00:00"/>
        <d v="2024-05-06T00:00:00"/>
        <d v="2021-12-18T00:00:00"/>
        <d v="2019-09-05T00:00:00"/>
        <d v="2024-12-13T00:00:00"/>
        <d v="2021-04-11T00:00:00"/>
        <d v="2024-08-24T00:00:00"/>
        <d v="2024-03-01T00:00:00"/>
        <d v="2019-02-21T00:00:00"/>
        <d v="2023-09-18T00:00:00"/>
        <d v="2024-11-19T00:00:00"/>
        <d v="2023-08-30T00:00:00"/>
        <d v="2023-08-11T00:00:00"/>
        <d v="2023-08-25T00:00:00"/>
        <d v="2021-01-24T00:00:00"/>
        <d v="2023-11-13T00:00:00"/>
        <d v="2024-04-11T00:00:00"/>
        <d v="2020-11-19T00:00:00"/>
        <d v="2022-08-03T00:00:00"/>
        <d v="2019-02-03T00:00:00"/>
        <d v="2021-11-23T00:00:00"/>
        <d v="2022-04-13T00:00:00"/>
        <d v="2024-04-15T00:00:00"/>
        <d v="2019-12-13T00:00:00"/>
        <d v="2022-12-23T00:00:00"/>
        <d v="2020-06-17T00:00:00"/>
        <d v="2022-07-02T00:00:00"/>
        <d v="2021-11-28T00:00:00"/>
        <d v="2021-03-14T00:00:00"/>
        <d v="2021-10-10T00:00:00"/>
        <d v="2019-03-12T00:00:00"/>
        <d v="2019-01-16T00:00:00"/>
        <d v="2019-06-29T00:00:00"/>
        <d v="2021-08-31T00:00:00"/>
        <d v="2022-09-20T00:00:00"/>
        <d v="2021-06-15T00:00:00"/>
        <d v="2024-11-28T00:00:00"/>
        <d v="2019-12-03T00:00:00"/>
        <d v="2019-07-15T00:00:00"/>
        <d v="2021-10-27T00:00:00"/>
        <d v="2019-05-08T00:00:00"/>
        <d v="2022-01-02T00:00:00"/>
        <d v="2023-11-17T00:00:00"/>
        <d v="2024-06-15T00:00:00"/>
        <d v="2023-04-14T00:00:00"/>
        <d v="2021-08-26T00:00:00"/>
        <d v="2024-06-04T00:00:00"/>
        <d v="2023-07-23T00:00:00"/>
        <d v="2020-06-23T00:00:00"/>
        <d v="2023-10-14T00:00:00"/>
        <d v="2020-11-06T00:00:00"/>
        <d v="2022-01-05T00:00:00"/>
        <d v="2022-06-26T00:00:00"/>
        <d v="2020-11-22T00:00:00"/>
        <d v="2019-09-08T00:00:00"/>
        <d v="2021-05-02T00:00:00"/>
        <d v="2019-03-08T00:00:00"/>
        <d v="2024-10-04T00:00:00"/>
        <d v="2023-04-28T00:00:00"/>
        <d v="2023-04-30T00:00:00"/>
        <d v="2020-04-04T00:00:00"/>
        <d v="2024-05-24T00:00:00"/>
        <d v="2020-03-02T00:00:00"/>
        <d v="2020-04-15T00:00:00"/>
        <d v="2022-02-24T00:00:00"/>
        <d v="2019-06-01T00:00:00"/>
        <d v="2019-04-19T00:00:00"/>
        <d v="2022-11-30T00:00:00"/>
        <d v="2020-12-05T00:00:00"/>
        <d v="2019-08-13T00:00:00"/>
        <d v="2022-05-25T00:00:00"/>
        <d v="2021-07-23T00:00:00"/>
        <d v="2024-10-29T00:00:00"/>
        <d v="2024-09-14T00:00:00"/>
        <d v="2024-11-18T00:00:00"/>
        <d v="2021-06-24T00:00:00"/>
        <d v="2019-01-25T00:00:00"/>
        <d v="2022-06-21T00:00:00"/>
        <d v="2023-12-10T00:00:00"/>
        <d v="2022-03-11T00:00:00"/>
        <d v="2021-02-24T00:00:00"/>
        <d v="2023-09-13T00:00:00"/>
        <d v="2019-02-13T00:00:00"/>
        <d v="2020-10-03T00:00:00"/>
        <d v="2024-01-23T00:00:00"/>
        <d v="2021-11-24T00:00:00"/>
        <d v="2020-08-28T00:00:00"/>
        <d v="2024-02-10T00:00:00"/>
        <d v="2024-01-26T00:00:00"/>
        <d v="2023-01-15T00:00:00"/>
        <d v="2019-09-14T00:00:00"/>
        <d v="2019-10-06T00:00:00"/>
        <d v="2021-08-11T00:00:00"/>
        <d v="2019-08-31T00:00:00"/>
        <d v="2023-11-03T00:00:00"/>
        <d v="2023-02-12T00:00:00"/>
        <d v="2019-08-21T00:00:00"/>
        <d v="2024-05-13T00:00:00"/>
        <d v="2021-06-09T00:00:00"/>
        <d v="2019-05-04T00:00:00"/>
        <d v="2019-05-07T00:00:00"/>
        <d v="2019-07-18T00:00:00"/>
        <d v="2019-12-19T00:00:00"/>
        <d v="2023-06-28T00:00:00"/>
        <d v="2023-06-26T00:00:00"/>
        <d v="2023-01-17T00:00:00"/>
        <d v="2024-05-03T00:00:00"/>
        <d v="2022-10-18T00:00:00"/>
        <d v="2023-11-01T00:00:00"/>
        <d v="2019-01-12T00:00:00"/>
        <d v="2020-01-24T00:00:00"/>
        <d v="2019-03-28T00:00:00"/>
        <d v="2023-08-06T00:00:00"/>
        <d v="2024-02-15T00:00:00"/>
        <d v="2024-04-13T00:00:00"/>
        <d v="2024-06-06T00:00:00"/>
        <d v="2022-08-26T00:00:00"/>
        <d v="2023-05-30T00:00:00"/>
        <d v="2023-12-08T00:00:00"/>
        <d v="2024-12-21T00:00:00"/>
        <d v="2022-11-09T00:00:00"/>
        <d v="2019-07-08T00:00:00"/>
        <d v="2024-06-11T00:00:00"/>
        <d v="2023-07-31T00:00:00"/>
        <d v="2024-05-15T00:00:00"/>
        <d v="2024-02-24T00:00:00"/>
        <d v="2019-12-28T00:00:00"/>
        <d v="2023-02-08T00:00:00"/>
        <d v="2019-01-01T00:00:00"/>
        <d v="2023-06-04T00:00:00"/>
        <d v="2022-12-07T00:00:00"/>
        <d v="2024-11-17T00:00:00"/>
        <d v="2022-10-07T00:00:00"/>
        <d v="2024-04-27T00:00:00"/>
        <d v="2023-01-03T00:00:00"/>
        <d v="2019-06-09T00:00:00"/>
        <d v="2020-03-05T00:00:00"/>
        <d v="2022-06-09T00:00:00"/>
        <d v="2024-09-13T00:00:00"/>
        <d v="2022-03-10T00:00:00"/>
        <d v="2021-03-17T00:00:00"/>
        <d v="2024-01-29T00:00:00"/>
        <d v="2024-10-28T00:00:00"/>
        <d v="2019-12-23T00:00:00"/>
        <d v="2023-11-24T00:00:00"/>
        <d v="2024-12-02T00:00:00"/>
        <d v="2022-07-17T00:00:00"/>
        <d v="2019-06-26T00:00:00"/>
        <d v="2019-09-23T00:00:00"/>
        <d v="2020-12-16T00:00:00"/>
        <d v="2020-11-25T00:00:00"/>
        <d v="2020-10-04T00:00:00"/>
        <d v="2019-11-20T00:00:00"/>
        <d v="2020-04-10T00:00:00"/>
        <d v="2019-11-12T00:00:00"/>
        <d v="2024-10-22T00:00:00"/>
        <d v="2023-06-14T00:00:00"/>
        <d v="2020-02-21T00:00:00"/>
        <d v="2024-08-06T00:00:00"/>
        <d v="2021-04-29T00:00:00"/>
        <d v="2021-04-08T00:00:00"/>
        <d v="2024-02-12T00:00:00"/>
        <d v="2020-02-12T00:00:00"/>
        <d v="2020-04-03T00:00:00"/>
        <d v="2023-11-05T00:00:00"/>
        <d v="2022-09-29T00:00:00"/>
        <d v="2023-09-19T00:00:00"/>
        <d v="2023-02-13T00:00:00"/>
        <d v="2022-12-21T00:00:00"/>
        <d v="2021-12-21T00:00:00"/>
        <d v="2021-06-06T00:00:00"/>
        <d v="2019-04-20T00:00:00"/>
        <d v="2023-05-20T00:00:00"/>
        <d v="2020-10-17T00:00:00"/>
        <d v="2023-01-28T00:00:00"/>
        <d v="2022-11-01T00:00:00"/>
        <d v="2022-11-05T00:00:00"/>
        <d v="2020-03-03T00:00:00"/>
        <d v="2021-10-22T00:00:00"/>
        <d v="2024-10-12T00:00:00"/>
        <d v="2023-01-25T00:00:00"/>
        <d v="2019-01-31T00:00:00"/>
        <d v="2024-05-19T00:00:00"/>
        <d v="2023-03-11T00:00:00"/>
        <d v="2022-08-20T00:00:00"/>
        <d v="2019-02-26T00:00:00"/>
        <d v="2021-02-02T00:00:00"/>
        <d v="2023-10-21T00:00:00"/>
        <d v="2021-11-03T00:00:00"/>
        <d v="2019-09-19T00:00:00"/>
        <d v="2023-02-20T00:00:00"/>
        <d v="2021-05-12T00:00:00"/>
        <d v="2024-06-13T00:00:00"/>
        <d v="2019-09-01T00:00:00"/>
        <d v="2021-01-11T00:00:00"/>
        <d v="2024-06-29T00:00:00"/>
        <d v="2020-07-10T00:00:00"/>
        <d v="2020-12-13T00:00:00"/>
        <d v="2019-11-28T00:00:00"/>
        <d v="2020-12-18T00:00:00"/>
        <d v="2020-02-06T00:00:00"/>
        <d v="2022-12-15T00:00:00"/>
        <d v="2024-08-23T00:00:00"/>
        <d v="2019-07-25T00:00:00"/>
        <d v="2024-01-21T00:00:00"/>
        <d v="2022-04-08T00:00:00"/>
        <d v="2024-04-17T00:00:00"/>
        <d v="2023-11-27T00:00:00"/>
        <d v="2023-07-06T00:00:00"/>
        <d v="2021-06-30T00:00:00"/>
        <d v="2021-06-23T00:00:00"/>
        <d v="2020-05-14T00:00:00"/>
        <d v="2020-08-10T00:00:00"/>
        <d v="2023-12-25T00:00:00"/>
        <d v="2021-05-13T00:00:00"/>
        <d v="2020-09-04T00:00:00"/>
        <d v="2024-06-25T00:00:00"/>
        <d v="2019-10-15T00:00:00"/>
        <d v="2024-12-10T00:00:00"/>
        <d v="2024-05-21T00:00:00"/>
        <d v="2019-12-16T00:00:00"/>
        <d v="2019-04-07T00:00:00"/>
        <d v="2020-11-04T00:00:00"/>
        <d v="2019-02-04T00:00:00"/>
        <d v="2024-01-04T00:00:00"/>
        <d v="2021-12-25T00:00:00"/>
        <d v="2019-03-16T00:00:00"/>
        <d v="2023-09-25T00:00:00"/>
        <d v="2022-12-12T00:00:00"/>
        <d v="2024-07-10T00:00:00"/>
        <d v="2022-09-18T00:00:00"/>
        <d v="2019-07-10T00:00:00"/>
        <d v="2023-07-01T00:00:00"/>
        <d v="2019-07-03T00:00:00"/>
        <d v="2021-11-17T00:00:00"/>
        <d v="2019-07-26T00:00:00"/>
        <d v="2022-10-02T00:00:00"/>
        <d v="2020-12-27T00:00:00"/>
        <d v="2021-08-16T00:00:00"/>
        <d v="2020-06-18T00:00:00"/>
        <d v="2023-01-23T00:00:00"/>
        <d v="2024-03-19T00:00:00"/>
        <d v="2022-07-15T00:00:00"/>
        <d v="2024-02-11T00:00:00"/>
        <d v="2024-08-18T00:00:00"/>
        <d v="2023-06-01T00:00:00"/>
        <d v="2023-10-04T00:00:00"/>
        <d v="2024-02-19T00:00:00"/>
        <d v="2021-04-25T00:00:00"/>
        <d v="2024-11-08T00:00:00"/>
        <d v="2020-08-22T00:00:00"/>
        <d v="2020-01-16T00:00:00"/>
        <d v="2020-04-12T00:00:00"/>
        <d v="2023-05-10T00:00:00"/>
        <d v="2019-04-26T00:00:00"/>
        <d v="2024-07-13T00:00:00"/>
        <d v="2024-08-04T00:00:00"/>
        <d v="2024-07-26T00:00:00"/>
        <d v="2021-10-15T00:00:00"/>
        <d v="2022-12-22T00:00:00"/>
        <d v="2019-08-09T00:00:00"/>
        <d v="2024-07-27T00:00:00"/>
        <d v="2023-12-06T00:00:00"/>
        <d v="2020-01-28T00:00:00"/>
        <d v="2020-07-12T00:00:00"/>
        <d v="2022-09-23T00:00:00"/>
        <d v="2022-12-01T00:00:00"/>
        <d v="2021-05-14T00:00:00"/>
        <d v="2021-11-09T00:00:00"/>
        <d v="2023-09-14T00:00:00"/>
        <d v="2020-04-01T00:00:00"/>
        <d v="2019-11-21T00:00:00"/>
        <d v="2020-12-19T00:00:00"/>
        <d v="2022-06-04T00:00:00"/>
        <d v="2020-11-08T00:00:00"/>
        <d v="2022-07-25T00:00:00"/>
        <d v="2023-12-29T00:00:00"/>
        <d v="2024-07-18T00:00:00"/>
        <d v="2020-02-02T00:00:00"/>
        <d v="2019-06-28T00:00:00"/>
        <d v="2024-03-29T00:00:00"/>
        <d v="2019-07-07T00:00:00"/>
        <d v="2022-01-01T00:00:00"/>
        <d v="2021-09-13T00:00:00"/>
        <d v="2019-08-07T00:00:00"/>
        <d v="2023-02-23T00:00:00"/>
        <d v="2019-12-21T00:00:00"/>
        <d v="2020-07-21T00:00:00"/>
        <d v="2019-12-05T00:00:00"/>
        <d v="2021-01-01T00:00:00"/>
        <d v="2019-05-29T00:00:00"/>
        <d v="2024-02-18T00:00:00"/>
        <d v="2024-11-03T00:00:00"/>
        <d v="2024-11-21T00:00:00"/>
        <d v="2019-09-28T00:00:00"/>
        <d v="2024-09-23T00:00:00"/>
        <d v="2024-07-24T00:00:00"/>
        <d v="2020-11-29T00:00:00"/>
        <d v="2020-04-30T00:00:00"/>
        <d v="2023-05-24T00:00:00"/>
        <d v="2022-02-08T00:00:00"/>
        <d v="2019-07-24T00:00:00"/>
        <d v="2022-08-13T00:00:00"/>
        <d v="2020-02-07T00:00:00"/>
        <d v="2020-02-25T00:00:00"/>
        <d v="2021-10-01T00:00:00"/>
        <d v="2020-10-07T00:00:00"/>
        <d v="2024-04-19T00:00:00"/>
        <d v="2023-05-03T00:00:00"/>
        <d v="2021-01-10T00:00:00"/>
        <d v="2019-01-30T00:00:00"/>
        <d v="2020-09-05T00:00:00"/>
        <d v="2019-01-29T00:00:00"/>
        <d v="2019-05-03T00:00:00"/>
        <d v="2022-06-10T00:00:00"/>
        <d v="2019-03-02T00:00:00"/>
        <d v="2023-08-03T00:00:00"/>
        <d v="2019-10-08T00:00:00"/>
        <d v="2024-12-31T00:00:00"/>
        <d v="2023-11-21T00:00:00"/>
        <d v="2024-02-05T00:00:00"/>
        <d v="2019-01-18T00:00:00"/>
        <d v="2020-10-30T00:00:00"/>
        <d v="2024-04-12T00:00:00"/>
        <d v="2023-07-12T00:00:00"/>
        <d v="2020-06-28T00:00:00"/>
        <d v="2019-06-05T00:00:00"/>
        <d v="2022-12-18T00:00:00"/>
        <d v="2024-03-30T00:00:00"/>
        <d v="2019-11-22T00:00:00"/>
        <d v="2023-12-20T00:00:00"/>
        <d v="2022-04-30T00:00:00"/>
        <d v="2024-06-01T00:00:00"/>
        <d v="2021-08-06T00:00:00"/>
        <d v="2022-06-12T00:00:00"/>
        <d v="2024-12-24T00:00:00"/>
        <d v="2020-01-22T00:00:00"/>
        <d v="2024-02-04T00:00:00"/>
        <d v="2021-10-03T00:00:00"/>
        <d v="2019-01-11T00:00:00"/>
        <d v="2021-07-29T00:00:00"/>
        <d v="2024-11-06T00:00:00"/>
        <d v="2023-12-07T00:00:00"/>
        <d v="2024-05-20T00:00:00"/>
        <d v="2023-10-22T00:00:00"/>
        <d v="2019-06-02T00:00:00"/>
        <d v="2020-11-01T00:00:00"/>
        <d v="2024-11-04T00:00:00"/>
        <d v="2020-10-19T00:00:00"/>
        <d v="2021-10-19T00:00:00"/>
        <d v="2024-09-09T00:00:00"/>
        <d v="2019-12-11T00:00:00"/>
        <d v="2019-10-28T00:00:00"/>
        <d v="2019-03-23T00:00:00"/>
        <d v="2022-12-28T00:00:00"/>
        <d v="2020-09-10T00:00:00"/>
        <d v="2022-11-20T00:00:00"/>
        <d v="2019-10-04T00:00:00"/>
        <d v="2024-06-26T00:00:00"/>
        <d v="2019-06-04T00:00:00"/>
        <d v="2022-04-21T00:00:00"/>
        <d v="2019-02-15T00:00:00"/>
        <d v="2021-08-18T00:00:00"/>
        <d v="2021-12-01T00:00:00"/>
        <d v="2021-03-02T00:00:00"/>
        <d v="2024-08-31T00:00:00"/>
        <d v="2023-09-02T00:00:00"/>
        <d v="2019-04-13T00:00:00"/>
        <d v="2019-10-29T00:00:00"/>
        <d v="2020-10-15T00:00:00"/>
        <d v="2024-10-09T00:00:00"/>
        <d v="2023-12-04T00:00:00"/>
        <d v="2023-02-16T00:00:00"/>
        <d v="2024-07-02T00:00:00"/>
        <d v="2020-06-03T00:00:00"/>
        <d v="2022-02-09T00:00:00"/>
        <d v="2021-11-26T00:00:00"/>
        <d v="2020-03-13T00:00:00"/>
        <d v="2019-05-27T00:00:00"/>
        <d v="2024-07-30T00:00:00"/>
        <d v="2019-02-28T00:00:00"/>
        <d v="2019-08-19T00:00:00"/>
        <d v="2022-09-01T00:00:00"/>
        <d v="2022-02-07T00:00:00"/>
        <d v="2024-03-20T00:00:00"/>
        <d v="2021-12-03T00:00:00"/>
        <d v="2023-02-04T00:00:00"/>
        <d v="2024-12-09T00:00:00"/>
        <d v="2021-03-13T00:00:00"/>
        <d v="2020-07-16T00:00:00"/>
        <d v="2021-07-07T00:00:00"/>
        <d v="2024-06-10T00:00:00"/>
        <d v="2020-09-30T00:00:00"/>
        <d v="2020-05-29T00:00:00"/>
        <d v="2024-02-08T00:00:00"/>
        <d v="2019-04-27T00:00:00"/>
        <d v="2023-10-12T00:00:00"/>
        <d v="2020-01-09T00:00:00"/>
        <d v="2023-04-22T00:00:00"/>
        <d v="2021-06-05T00:00:00"/>
        <d v="2020-08-09T00:00:00"/>
        <d v="2024-03-16T00:00:00"/>
        <d v="2022-04-18T00:00:00"/>
        <d v="2020-07-15T00:00:00"/>
        <d v="2022-04-14T00:00:00"/>
        <d v="2019-10-12T00:00:00"/>
        <d v="2023-04-13T00:00:00"/>
        <d v="2022-07-27T00:00:00"/>
        <d v="2023-02-18T00:00:00"/>
        <d v="2024-09-24T00:00:00"/>
        <d v="2024-08-05T00:00:00"/>
        <d v="2019-09-29T00:00:00"/>
        <d v="2020-01-12T00:00:00"/>
        <d v="2020-12-31T00:00:00"/>
        <d v="2022-06-07T00:00:00"/>
        <d v="2021-01-28T00:00:00"/>
        <d v="2021-09-16T00:00:00"/>
        <d v="2021-07-17T00:00:00"/>
        <d v="2021-10-29T00:00:00"/>
        <d v="2021-05-18T00:00:00"/>
        <d v="2023-08-12T00:00:00"/>
        <d v="2024-08-08T00:00:00"/>
        <d v="2020-01-15T00:00:00"/>
        <d v="2023-10-24T00:00:00"/>
        <d v="2021-02-23T00:00:00"/>
        <d v="2020-09-12T00:00:00"/>
        <d v="2023-11-10T00:00:00"/>
        <d v="2022-06-27T00:00:00"/>
        <d v="2023-09-20T00:00:00"/>
        <d v="2021-01-20T00:00:00"/>
        <d v="2023-10-01T00:00:00"/>
        <d v="2021-03-31T00:00:00"/>
        <d v="2022-12-16T00:00:00"/>
        <d v="2024-03-03T00:00:00"/>
        <d v="2021-08-23T00:00:00"/>
        <d v="2022-05-18T00:00:00"/>
        <d v="2023-07-22T00:00:00"/>
        <d v="2024-06-05T00:00:00"/>
        <d v="2019-02-14T00:00:00"/>
        <d v="2023-03-12T00:00:00"/>
        <d v="2020-05-15T00:00:00"/>
        <d v="2022-01-29T00:00:00"/>
        <d v="2020-12-08T00:00:00"/>
        <d v="2024-03-04T00:00:00"/>
        <d v="2022-11-17T00:00:00"/>
        <d v="2020-07-28T00:00:00"/>
        <d v="2024-10-16T00:00:00"/>
        <d v="2022-02-06T00:00:00"/>
        <d v="2019-04-29T00:00:00"/>
        <d v="2022-04-27T00:00:00"/>
        <d v="2024-03-11T00:00:00"/>
        <d v="2019-07-01T00:00:00"/>
        <d v="2023-09-28T00:00:00"/>
        <d v="2019-03-01T00:00:00"/>
        <d v="2022-07-05T00:00:00"/>
        <d v="2023-10-26T00:00:00"/>
        <d v="2023-04-01T00:00:00"/>
        <d v="2021-09-04T00:00:00"/>
        <d v="2024-05-23T00:00:00"/>
        <d v="2021-01-07T00:00:00"/>
        <d v="2021-05-31T00:00:00"/>
        <d v="2023-12-21T00:00:00"/>
        <d v="2022-02-16T00:00:00"/>
        <d v="2019-01-06T00:00:00"/>
        <d v="2020-04-06T00:00:00"/>
        <d v="2023-04-12T00:00:00"/>
        <d v="2022-11-06T00:00:00"/>
        <d v="2024-08-16T00:00:00"/>
        <d v="2020-07-11T00:00:00"/>
        <d v="2020-10-24T00:00:00"/>
        <d v="2020-08-03T00:00:00"/>
        <d v="2021-01-12T00:00:00"/>
        <d v="2019-04-28T00:00:00"/>
        <d v="2024-09-20T00:00:00"/>
        <d v="2020-04-21T00:00:00"/>
        <d v="2022-08-21T00:00:00"/>
        <d v="2019-12-25T00:00:00"/>
        <d v="2019-03-27T00:00:00"/>
        <d v="2022-04-25T00:00:00"/>
        <d v="2022-06-25T00:00:00"/>
        <d v="2021-08-25T00:00:00"/>
        <d v="2022-12-08T00:00:00"/>
        <d v="2024-11-01T00:00:00"/>
        <d v="2021-06-25T00:00:00"/>
        <d v="2021-01-31T00:00:00"/>
        <d v="2024-08-11T00:00:00"/>
        <d v="2022-01-27T00:00:00"/>
        <d v="2022-11-04T00:00:00"/>
        <d v="2024-04-10T00:00:00"/>
        <d v="2019-03-15T00:00:00"/>
        <d v="2021-06-08T00:00:00"/>
        <d v="2020-08-23T00:00:00"/>
        <d v="2024-07-06T00:00:00"/>
        <d v="2020-12-25T00:00:00"/>
        <d v="2024-06-07T00:00:00"/>
        <d v="2022-01-08T00:00:00"/>
        <d v="2024-11-22T00:00:00"/>
        <d v="2021-03-25T00:00:00"/>
        <d v="2024-04-24T00:00:00"/>
        <d v="2023-07-05T00:00:00"/>
        <d v="2021-09-11T00:00:00"/>
        <d v="2020-10-23T00:00:00"/>
        <d v="2021-04-12T00:00:00"/>
        <d v="2021-05-07T00:00:00"/>
        <d v="2024-07-04T00:00:00"/>
        <d v="2023-08-29T00:00:00"/>
        <d v="2024-12-18T00:00:00"/>
        <d v="2019-11-25T00:00:00"/>
        <d v="2024-03-08T00:00:00"/>
        <d v="2019-02-02T00:00:00"/>
        <d v="2024-10-24T00:00:00"/>
        <d v="2024-09-07T00:00:00"/>
        <d v="2021-05-06T00:00:00"/>
        <d v="2021-02-16T00:00:00"/>
        <d v="2022-03-04T00:00:00"/>
        <d v="2024-04-02T00:00:00"/>
        <d v="2022-12-19T00:00:00"/>
        <d v="2020-10-11T00:00:00"/>
        <d v="2020-03-28T00:00:00"/>
        <d v="2022-01-24T00:00:00"/>
        <d v="2024-11-24T00:00:00"/>
        <d v="2022-07-06T00:00:00"/>
        <d v="2024-01-03T00:00:00"/>
        <d v="2021-04-03T00:00:00"/>
        <d v="2022-03-28T00:00:00"/>
        <d v="2020-10-21T00:00:00"/>
        <d v="2023-11-02T00:00:00"/>
        <d v="2024-03-05T00:00:00"/>
        <d v="2019-11-01T00:00:00"/>
        <d v="2023-11-15T00:00:00"/>
        <d v="2021-01-16T00:00:00"/>
        <d v="2020-10-05T00:00:00"/>
        <d v="2021-05-26T00:00:00"/>
        <d v="2021-10-14T00:00:00"/>
        <d v="2019-08-08T00:00:00"/>
        <d v="2024-03-09T00:00:00"/>
        <d v="2020-04-20T00:00:00"/>
        <d v="2022-10-25T00:00:00"/>
        <d v="2024-05-27T00:00:00"/>
        <d v="2022-05-13T00:00:00"/>
        <d v="2023-07-04T00:00:00"/>
        <d v="2020-10-29T00:00:00"/>
        <d v="2024-05-09T00:00:00"/>
        <d v="2022-03-22T00:00:00"/>
        <d v="2024-11-05T00:00:00"/>
        <d v="2024-12-15T00:00:00"/>
        <d v="2022-12-17T00:00:00"/>
        <d v="2020-02-08T00:00:00"/>
        <d v="2021-02-13T00:00:00"/>
        <d v="2020-06-01T00:00:00"/>
        <d v="2022-09-15T00:00:00"/>
        <d v="2024-12-23T00:00:00"/>
        <d v="2022-08-02T00:00:00"/>
        <d v="2019-11-14T00:00:00"/>
        <d v="2020-11-21T00:00:00"/>
        <d v="2023-12-13T00:00:00"/>
        <d v="2021-02-25T00:00:00"/>
        <d v="2019-01-02T00:00:00"/>
        <d v="2021-07-10T00:00:00"/>
        <d v="2022-10-08T00:00:00"/>
        <d v="2022-11-03T00:00:00"/>
        <d v="2024-04-16T00:00:00"/>
        <d v="2022-06-16T00:00:00"/>
        <d v="2022-08-09T00:00:00"/>
        <d v="2022-08-27T00:00:00"/>
        <d v="2021-11-22T00:00:00"/>
        <d v="2022-02-02T00:00:00"/>
        <d v="2020-06-29T00:00:00"/>
        <d v="2020-06-24T00:00:00"/>
        <d v="2022-12-25T00:00:00"/>
        <d v="2023-11-30T00:00:00"/>
        <d v="2023-07-21T00:00:00"/>
        <d v="2024-10-26T00:00:00"/>
        <d v="2021-06-03T00:00:00"/>
        <d v="2020-08-17T00:00:00"/>
        <d v="2020-11-24T00:00:00"/>
        <d v="2019-04-16T00:00:00"/>
        <d v="2021-12-02T00:00:00"/>
        <d v="2020-12-30T00:00:00"/>
        <d v="2021-12-31T00:00:00"/>
        <d v="2021-03-01T00:00:00"/>
        <d v="2020-01-23T00:00:00"/>
        <d v="2020-04-19T00:00:00"/>
        <d v="2020-12-23T00:00:00"/>
        <d v="2020-07-27T00:00:00"/>
        <d v="2019-04-06T00:00:00"/>
        <d v="2023-07-24T00:00:00"/>
        <d v="2024-11-11T00:00:00"/>
        <d v="2020-05-26T00:00:00"/>
        <d v="2021-07-14T00:00:00"/>
        <d v="2022-06-23T00:00:00"/>
        <d v="2023-12-09T00:00:00"/>
        <d v="2021-05-19T00:00:00"/>
        <d v="2024-09-22T00:00:00"/>
        <d v="2019-07-16T00:00:00"/>
        <d v="2022-09-07T00:00:00"/>
        <d v="2024-08-15T00:00:00"/>
        <d v="2021-01-25T00:00:00"/>
        <d v="2022-04-26T00:00:00"/>
        <d v="2022-01-11T00:00:00"/>
        <d v="2024-12-16T00:00:00"/>
        <d v="2019-08-15T00:00:00"/>
        <d v="2024-01-20T00:00:00"/>
        <d v="2021-06-16T00:00:00"/>
        <d v="2023-03-31T00:00:00"/>
        <d v="2021-04-22T00:00:00"/>
        <d v="2021-02-09T00:00:00"/>
        <d v="2021-05-22T00:00:00"/>
        <d v="2019-05-28T00:00:00"/>
        <d v="2023-11-07T00:00:00"/>
        <d v="2022-05-23T00:00:00"/>
        <d v="2020-10-28T00:00:00"/>
        <d v="2023-08-15T00:00:00"/>
        <d v="2023-02-10T00:00:00"/>
        <d v="2019-04-10T00:00:00"/>
        <d v="2023-04-09T00:00:00"/>
        <d v="2024-08-17T00:00:00"/>
        <d v="2024-04-01T00:00:00"/>
        <d v="2021-06-12T00:00:00"/>
        <d v="2023-03-26T00:00:00"/>
        <d v="2021-07-31T00:00:00"/>
        <d v="2021-01-18T00:00:00"/>
        <d v="2019-08-18T00:00:00"/>
        <d v="2020-08-18T00:00:00"/>
        <d v="2020-03-10T00:00:00"/>
        <d v="2020-07-19T00:00:00"/>
        <d v="2020-08-06T00:00:00"/>
        <d v="2021-03-10T00:00:00"/>
        <d v="2021-11-04T00:00:00"/>
        <d v="2019-06-27T00:00:00"/>
        <d v="2019-04-14T00:00:00"/>
        <d v="2022-07-11T00:00:00"/>
        <d v="2022-07-04T00:00:00"/>
        <d v="2019-04-23T00:00:00"/>
        <d v="2020-04-07T00:00:00"/>
        <d v="2024-05-16T00:00:00"/>
        <d v="2024-11-16T00:00:00"/>
        <d v="2021-01-17T00:00:00"/>
        <d v="2022-10-04T00:00:00"/>
        <d v="2020-10-31T00:00:00"/>
        <d v="2021-02-12T00:00:00"/>
        <d v="2022-11-15T00:00:00"/>
        <d v="2022-04-03T00:00:00"/>
        <d v="2023-12-31T00:00:00"/>
        <d v="2024-07-15T00:00:00"/>
        <d v="2019-01-27T00:00:00"/>
        <d v="2021-07-30T00:00:00"/>
        <d v="2019-11-13T00:00:00"/>
        <d v="2022-02-14T00:00:00"/>
        <d v="2019-08-11T00:00:00"/>
      </sharedItems>
      <fieldGroup par="24"/>
    </cacheField>
    <cacheField name="Date_of_Discharge" numFmtId="164">
      <sharedItems containsNonDate="0" containsDate="1" containsString="0" containsBlank="1" minDate="2019-01-02T00:00:00" maxDate="2025-07-02T00:00:00"/>
    </cacheField>
    <cacheField name="Length_of_Stay" numFmtId="0">
      <sharedItems containsString="0" containsBlank="1" containsNumber="1" containsInteger="1" minValue="1" maxValue="36"/>
    </cacheField>
    <cacheField name="Hospital" numFmtId="0">
      <sharedItems/>
    </cacheField>
    <cacheField name="Region" numFmtId="0">
      <sharedItems count="5">
        <s v="South-South"/>
        <s v="South-West"/>
        <s v="North-West"/>
        <s v="South-East"/>
        <s v="North-Central"/>
      </sharedItems>
    </cacheField>
    <cacheField name="Doctor" numFmtId="0">
      <sharedItems/>
    </cacheField>
    <cacheField name="Insurance_Provider" numFmtId="0">
      <sharedItems count="6">
        <s v="Medicare"/>
        <s v="Private"/>
        <s v="Blue Cross"/>
        <s v="Uninsured"/>
        <s v="Medicaid"/>
        <s v="Self Pay"/>
      </sharedItems>
    </cacheField>
    <cacheField name="Billing_Amount" numFmtId="2">
      <sharedItems containsSemiMixedTypes="0" containsString="0" containsNumber="1" minValue="4133.6400000000003" maxValue="280000"/>
    </cacheField>
    <cacheField name="Medication" numFmtId="0">
      <sharedItems/>
    </cacheField>
    <cacheField name="Num_Medications" numFmtId="0">
      <sharedItems containsSemiMixedTypes="0" containsString="0" containsNumber="1" containsInteger="1" minValue="1" maxValue="12"/>
    </cacheField>
    <cacheField name="Room_Number" numFmtId="0">
      <sharedItems containsSemiMixedTypes="0" containsString="0" containsNumber="1" containsInteger="1" minValue="100" maxValue="499"/>
    </cacheField>
    <cacheField name="BMI" numFmtId="0">
      <sharedItems containsString="0" containsBlank="1" containsNumber="1" minValue="14" maxValue="50.2"/>
    </cacheField>
    <cacheField name="Test_Result" numFmtId="0">
      <sharedItems/>
    </cacheField>
    <cacheField name="Readmitted_Within_30Days" numFmtId="0">
      <sharedItems count="2">
        <s v="No"/>
        <s v="Yes"/>
      </sharedItems>
    </cacheField>
    <cacheField name="Months (Date_of_Admission)" numFmtId="0" databaseField="0">
      <fieldGroup base="8">
        <rangePr groupBy="months" startDate="2019-01-01T00:00:00" endDate="2025-01-01T00:00:00"/>
        <groupItems count="14">
          <s v="&lt;01/01/2019"/>
          <s v="Jan"/>
          <s v="Feb"/>
          <s v="Mar"/>
          <s v="Apr"/>
          <s v="May"/>
          <s v="Jun"/>
          <s v="Jul"/>
          <s v="Aug"/>
          <s v="Sept"/>
          <s v="Oct"/>
          <s v="Nov"/>
          <s v="Dec"/>
          <s v="&gt;01/01/2025"/>
        </groupItems>
      </fieldGroup>
    </cacheField>
    <cacheField name="Quarters (Date_of_Admission)" numFmtId="0" databaseField="0">
      <fieldGroup base="8">
        <rangePr groupBy="quarters" startDate="2019-01-01T00:00:00" endDate="2025-01-01T00:00:00"/>
        <groupItems count="6">
          <s v="&lt;01/01/2019"/>
          <s v="Qtr1"/>
          <s v="Qtr2"/>
          <s v="Qtr3"/>
          <s v="Qtr4"/>
          <s v="&gt;01/01/2025"/>
        </groupItems>
      </fieldGroup>
    </cacheField>
    <cacheField name="Years (Date_of_Admission)" numFmtId="0" databaseField="0">
      <fieldGroup base="8">
        <rangePr groupBy="years" startDate="2019-01-01T00:00:00" endDate="2025-01-01T00:00:00"/>
        <groupItems count="9">
          <s v="&lt;01/01/2019"/>
          <s v="2019"/>
          <s v="2020"/>
          <s v="2021"/>
          <s v="2022"/>
          <s v="2023"/>
          <s v="2024"/>
          <s v="2025"/>
          <s v="&gt;01/01/2025"/>
        </groupItems>
      </fieldGroup>
    </cacheField>
  </cacheFields>
  <extLst>
    <ext xmlns:x14="http://schemas.microsoft.com/office/spreadsheetml/2009/9/main" uri="{725AE2AE-9491-48be-B2B4-4EB974FC3084}">
      <x14:pivotCacheDefinition pivotCacheId="504415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Adewale Fashola"/>
    <n v="10"/>
    <x v="0"/>
    <x v="0"/>
    <s v="AB-"/>
    <x v="0"/>
    <x v="0"/>
    <x v="0"/>
    <d v="2021-06-25T00:00:00"/>
    <n v="11"/>
    <s v="University of Calabar Teaching Hospital"/>
    <x v="0"/>
    <s v="Dr. Babatunde Fashola"/>
    <x v="0"/>
    <n v="46712.36"/>
    <s v="Carboplatin"/>
    <n v="11"/>
    <n v="276"/>
    <n v="19.600000000000001"/>
    <s v="Normal"/>
    <x v="0"/>
  </r>
  <r>
    <x v="1"/>
    <s v="Uche Wilson"/>
    <n v="87"/>
    <x v="1"/>
    <x v="0"/>
    <s v="B+"/>
    <x v="1"/>
    <x v="0"/>
    <x v="1"/>
    <d v="2021-07-26T00:00:00"/>
    <n v="4"/>
    <s v="Bowen University Teaching Hospital"/>
    <x v="1"/>
    <s v="Dr. Taiwo Adeleke"/>
    <x v="1"/>
    <n v="29236.53"/>
    <s v="Insulin Glargine"/>
    <n v="7"/>
    <n v="427"/>
    <n v="20.6"/>
    <s v="Abnormal"/>
    <x v="1"/>
  </r>
  <r>
    <x v="2"/>
    <s v="Adenike Adeleke"/>
    <n v="19"/>
    <x v="2"/>
    <x v="1"/>
    <s v="A-"/>
    <x v="2"/>
    <x v="1"/>
    <x v="2"/>
    <d v="2023-06-20T00:00:00"/>
    <n v="11"/>
    <s v="Federal Medical Centre Birnin Kebbi"/>
    <x v="2"/>
    <s v="Dr. Olumide Abiodun"/>
    <x v="2"/>
    <n v="24931.360000000001"/>
    <s v="Gabapentin"/>
    <n v="9"/>
    <n v="187"/>
    <n v="30.5"/>
    <s v="Abnormal"/>
    <x v="0"/>
  </r>
  <r>
    <x v="3"/>
    <s v="Adaeze Anderson"/>
    <n v="63"/>
    <x v="3"/>
    <x v="1"/>
    <s v="B+"/>
    <x v="3"/>
    <x v="1"/>
    <x v="3"/>
    <d v="2022-04-21T00:00:00"/>
    <n v="4"/>
    <s v="University of Calabar Teaching Hospital"/>
    <x v="0"/>
    <s v="Dr. Kemi Adeyemi"/>
    <x v="1"/>
    <n v="42770.13"/>
    <s v="Enoxaparin"/>
    <n v="6"/>
    <n v="169"/>
    <n v="38"/>
    <s v="Abnormal"/>
    <x v="0"/>
  </r>
  <r>
    <x v="4"/>
    <s v="Rukayat Chukwu"/>
    <n v="56"/>
    <x v="3"/>
    <x v="1"/>
    <s v="O-"/>
    <x v="0"/>
    <x v="1"/>
    <x v="4"/>
    <d v="2019-10-15T00:00:00"/>
    <n v="4"/>
    <s v="Federal Medical Centre Birnin Kebbi"/>
    <x v="2"/>
    <s v="Dr. Amara Osei"/>
    <x v="3"/>
    <n v="131866.75"/>
    <s v="Rituximab"/>
    <n v="12"/>
    <n v="100"/>
    <n v="20.6"/>
    <s v="Normal"/>
    <x v="0"/>
  </r>
  <r>
    <x v="5"/>
    <s v="Aisha Taylor"/>
    <n v="77"/>
    <x v="1"/>
    <x v="1"/>
    <s v="O+"/>
    <x v="4"/>
    <x v="1"/>
    <x v="5"/>
    <d v="2024-04-22T00:00:00"/>
    <n v="2"/>
    <s v="University of Calabar Teaching Hospital"/>
    <x v="0"/>
    <s v="Dr. Nnamdi Okafor"/>
    <x v="0"/>
    <n v="7097.77"/>
    <s v="Omeprazole"/>
    <n v="2"/>
    <n v="131"/>
    <n v="30.4"/>
    <s v="Normal"/>
    <x v="0"/>
  </r>
  <r>
    <x v="6"/>
    <s v="Emeka Eze"/>
    <n v="56"/>
    <x v="3"/>
    <x v="0"/>
    <s v="O-"/>
    <x v="5"/>
    <x v="2"/>
    <x v="6"/>
    <d v="2020-11-19T00:00:00"/>
    <n v="7"/>
    <s v="University of Calabar Teaching Hospital"/>
    <x v="0"/>
    <s v="Dr. Emeka Okorie"/>
    <x v="2"/>
    <n v="30876.2"/>
    <s v="Digoxin"/>
    <n v="7"/>
    <n v="129"/>
    <n v="29.5"/>
    <s v="Abnormal"/>
    <x v="0"/>
  </r>
  <r>
    <x v="7"/>
    <s v="Lydia Bankole"/>
    <n v="73"/>
    <x v="4"/>
    <x v="1"/>
    <s v="B-"/>
    <x v="5"/>
    <x v="1"/>
    <x v="7"/>
    <d v="2021-08-24T00:00:00"/>
    <n v="3"/>
    <s v="University of Calabar Teaching Hospital"/>
    <x v="0"/>
    <s v="Dr. Adewale Ogundimu"/>
    <x v="0"/>
    <n v="45772"/>
    <s v="Aspirin"/>
    <n v="9"/>
    <n v="138"/>
    <n v="23.2"/>
    <s v="Inconclusive"/>
    <x v="1"/>
  </r>
  <r>
    <x v="8"/>
    <s v="Chioma Oni"/>
    <n v="74"/>
    <x v="4"/>
    <x v="1"/>
    <s v="B-"/>
    <x v="5"/>
    <x v="0"/>
    <x v="8"/>
    <d v="2020-12-13T00:00:00"/>
    <n v="28"/>
    <s v="Federal Medical Centre Owerri"/>
    <x v="3"/>
    <s v="Dr. Adewale Ogundimu"/>
    <x v="0"/>
    <n v="52613.43"/>
    <s v="Atorvastatin"/>
    <n v="7"/>
    <n v="333"/>
    <n v="29.7"/>
    <s v="Abnormal"/>
    <x v="0"/>
  </r>
  <r>
    <x v="9"/>
    <s v="Femi Obi"/>
    <n v="69"/>
    <x v="4"/>
    <x v="0"/>
    <s v="A-"/>
    <x v="5"/>
    <x v="1"/>
    <x v="9"/>
    <d v="2020-04-18T00:00:00"/>
    <n v="15"/>
    <s v="Federal Medical Centre Owerri"/>
    <x v="3"/>
    <s v="Dr. Fatima Al-Hassan"/>
    <x v="0"/>
    <n v="46238"/>
    <s v="Metoprolol"/>
    <n v="9"/>
    <n v="152"/>
    <n v="42.3"/>
    <s v="Inconclusive"/>
    <x v="1"/>
  </r>
  <r>
    <x v="10"/>
    <s v="Ngozi Usman"/>
    <n v="40"/>
    <x v="5"/>
    <x v="1"/>
    <s v="AB+"/>
    <x v="5"/>
    <x v="1"/>
    <x v="10"/>
    <d v="2021-10-17T00:00:00"/>
    <n v="4"/>
    <s v="Bowen University Teaching Hospital"/>
    <x v="1"/>
    <s v="Dr. Emeka Okorie"/>
    <x v="2"/>
    <n v="13900.87"/>
    <s v="Furosemide"/>
    <n v="10"/>
    <n v="165"/>
    <n v="32.299999999999997"/>
    <s v="Inconclusive"/>
    <x v="0"/>
  </r>
  <r>
    <x v="11"/>
    <s v="Nnamdi Musa"/>
    <n v="43"/>
    <x v="5"/>
    <x v="0"/>
    <s v="AB+"/>
    <x v="3"/>
    <x v="1"/>
    <x v="11"/>
    <d v="2024-09-30T00:00:00"/>
    <n v="5"/>
    <s v="Federal Medical Centre Asaba"/>
    <x v="0"/>
    <s v="Dr. Precious Obi"/>
    <x v="4"/>
    <n v="21668.93"/>
    <s v="Ondansetron"/>
    <n v="6"/>
    <n v="152"/>
    <n v="22.9"/>
    <s v="Abnormal"/>
    <x v="0"/>
  </r>
  <r>
    <x v="12"/>
    <s v="Zainab Davis"/>
    <n v="71"/>
    <x v="4"/>
    <x v="1"/>
    <s v="AB+"/>
    <x v="5"/>
    <x v="0"/>
    <x v="12"/>
    <d v="2022-08-21T00:00:00"/>
    <n v="9"/>
    <s v="Federal Medical Centre Asaba"/>
    <x v="0"/>
    <s v="Dr. Adewale Ogundimu"/>
    <x v="1"/>
    <n v="133760"/>
    <s v="Amlodipine"/>
    <n v="10"/>
    <n v="305"/>
    <n v="42.6"/>
    <s v="Abnormal"/>
    <x v="0"/>
  </r>
  <r>
    <x v="13"/>
    <s v="Bashir Dauda"/>
    <n v="64"/>
    <x v="3"/>
    <x v="0"/>
    <s v="O-"/>
    <x v="5"/>
    <x v="1"/>
    <x v="13"/>
    <d v="2023-12-20T00:00:00"/>
    <n v="5"/>
    <s v="University College Hospital Ibadan"/>
    <x v="1"/>
    <s v="Dr. Fatima Al-Hassan"/>
    <x v="1"/>
    <n v="41808.79"/>
    <s v="Digoxin"/>
    <n v="10"/>
    <n v="157"/>
    <n v="30.2"/>
    <s v="Abnormal"/>
    <x v="0"/>
  </r>
  <r>
    <x v="14"/>
    <s v="Yusuf Thompson"/>
    <n v="58"/>
    <x v="3"/>
    <x v="0"/>
    <s v="O+"/>
    <x v="2"/>
    <x v="0"/>
    <x v="14"/>
    <d v="2020-09-16T00:00:00"/>
    <n v="7"/>
    <s v="Federal Medical Centre Owerri"/>
    <x v="3"/>
    <s v="Dr. Zainab Sule"/>
    <x v="0"/>
    <n v="56048.93"/>
    <s v="Gabapentin"/>
    <n v="8"/>
    <n v="338"/>
    <n v="27.4"/>
    <s v="Abnormal"/>
    <x v="0"/>
  </r>
  <r>
    <x v="15"/>
    <s v="Bukola Dauda"/>
    <n v="73"/>
    <x v="4"/>
    <x v="1"/>
    <s v="O-"/>
    <x v="1"/>
    <x v="1"/>
    <x v="15"/>
    <d v="2023-07-23T00:00:00"/>
    <n v="8"/>
    <s v="Federal Medical Centre Asaba"/>
    <x v="0"/>
    <s v="Dr. Taiwo Adeleke"/>
    <x v="4"/>
    <n v="23843.47"/>
    <s v="Liraglutide"/>
    <n v="8"/>
    <n v="135"/>
    <n v="34.1"/>
    <s v="Abnormal"/>
    <x v="1"/>
  </r>
  <r>
    <x v="16"/>
    <s v="Perpetua Akintola"/>
    <n v="3"/>
    <x v="0"/>
    <x v="1"/>
    <s v="O+"/>
    <x v="5"/>
    <x v="0"/>
    <x v="16"/>
    <d v="2020-10-15T00:00:00"/>
    <n v="10"/>
    <s v="Lagos University Teaching Hospital"/>
    <x v="1"/>
    <s v="Dr. Fatima Al-Hassan"/>
    <x v="1"/>
    <n v="43332.84"/>
    <s v="Lisinopril"/>
    <n v="9"/>
    <n v="375"/>
    <n v="27.7"/>
    <s v="Normal"/>
    <x v="0"/>
  </r>
  <r>
    <x v="17"/>
    <s v="Fatima Igwe"/>
    <n v="78"/>
    <x v="1"/>
    <x v="1"/>
    <s v="O-"/>
    <x v="2"/>
    <x v="0"/>
    <x v="17"/>
    <d v="2023-10-03T00:00:00"/>
    <n v="16"/>
    <s v="Bowen University Teaching Hospital"/>
    <x v="1"/>
    <s v="Dr. Rotimi Fashola"/>
    <x v="0"/>
    <n v="121271.59"/>
    <s v="Memantine"/>
    <n v="6"/>
    <n v="375"/>
    <n v="29.1"/>
    <s v="Normal"/>
    <x v="0"/>
  </r>
  <r>
    <x v="18"/>
    <s v="Mariam Salami"/>
    <n v="82"/>
    <x v="1"/>
    <x v="1"/>
    <s v="AB-"/>
    <x v="5"/>
    <x v="1"/>
    <x v="18"/>
    <d v="2022-02-15T00:00:00"/>
    <n v="10"/>
    <s v="Bowen University Teaching Hospital"/>
    <x v="1"/>
    <s v="Dr. Fatima Al-Hassan"/>
    <x v="0"/>
    <n v="50083.26"/>
    <s v="Digoxin"/>
    <n v="10"/>
    <n v="195"/>
    <n v="28.1"/>
    <s v="Abnormal"/>
    <x v="1"/>
  </r>
  <r>
    <x v="19"/>
    <s v="Segun Okeke"/>
    <n v="41"/>
    <x v="5"/>
    <x v="0"/>
    <s v="O-"/>
    <x v="6"/>
    <x v="1"/>
    <x v="19"/>
    <d v="2020-02-24T00:00:00"/>
    <n v="8"/>
    <s v="Aminu Kano Teaching Hospital"/>
    <x v="2"/>
    <s v="Dr. Yusuf Danjuma"/>
    <x v="0"/>
    <n v="8374"/>
    <s v="Azithromycin"/>
    <n v="7"/>
    <n v="173"/>
    <n v="28.7"/>
    <s v="Normal"/>
    <x v="0"/>
  </r>
  <r>
    <x v="20"/>
    <s v="Yusuf Yakubu"/>
    <n v="50"/>
    <x v="5"/>
    <x v="0"/>
    <s v="A-"/>
    <x v="3"/>
    <x v="2"/>
    <x v="20"/>
    <d v="2022-01-06T00:00:00"/>
    <n v="3"/>
    <s v="Federal Medical Centre Birnin Kebbi"/>
    <x v="2"/>
    <s v="Dr. Kemi Adeyemi"/>
    <x v="1"/>
    <n v="42595.11"/>
    <s v="Morphine"/>
    <n v="5"/>
    <n v="420"/>
    <m/>
    <s v="Abnormal"/>
    <x v="0"/>
  </r>
  <r>
    <x v="21"/>
    <s v="Joseph Okonkwo"/>
    <n v="18"/>
    <x v="2"/>
    <x v="0"/>
    <s v="AB+"/>
    <x v="5"/>
    <x v="0"/>
    <x v="21"/>
    <d v="2022-01-04T00:00:00"/>
    <n v="16"/>
    <s v="Federal Medical Centre Owerri"/>
    <x v="3"/>
    <s v="Dr. Emeka Okorie"/>
    <x v="1"/>
    <n v="91887.72"/>
    <s v="Atorvastatin"/>
    <n v="8"/>
    <n v="389"/>
    <n v="20"/>
    <s v="Abnormal"/>
    <x v="0"/>
  </r>
  <r>
    <x v="22"/>
    <s v="Chiamaka Adeyemi"/>
    <n v="71"/>
    <x v="4"/>
    <x v="1"/>
    <s v="O+"/>
    <x v="1"/>
    <x v="2"/>
    <x v="22"/>
    <d v="2019-06-18T00:00:00"/>
    <n v="4"/>
    <s v="Federal Medical Centre Birnin Kebbi"/>
    <x v="2"/>
    <s v="Dr. Taiwo Adeleke"/>
    <x v="1"/>
    <n v="38101"/>
    <s v="Insulin Glargine"/>
    <n v="8"/>
    <n v="439"/>
    <n v="29.1"/>
    <s v="Abnormal"/>
    <x v="0"/>
  </r>
  <r>
    <x v="23"/>
    <s v="James Lawan"/>
    <n v="60"/>
    <x v="3"/>
    <x v="0"/>
    <s v="B-"/>
    <x v="1"/>
    <x v="1"/>
    <x v="23"/>
    <d v="2021-02-11T00:00:00"/>
    <n v="4"/>
    <s v="Lagos University Teaching Hospital"/>
    <x v="1"/>
    <s v="Dr. Taiwo Adeleke"/>
    <x v="1"/>
    <n v="16175.11"/>
    <s v="Liraglutide"/>
    <n v="8"/>
    <n v="170"/>
    <n v="35.5"/>
    <s v="Abnormal"/>
    <x v="0"/>
  </r>
  <r>
    <x v="24"/>
    <s v="Nneka Dauda"/>
    <n v="38"/>
    <x v="5"/>
    <x v="1"/>
    <s v="O-"/>
    <x v="2"/>
    <x v="2"/>
    <x v="24"/>
    <d v="2024-04-22T00:00:00"/>
    <n v="4"/>
    <s v="Federal Medical Centre Owerri"/>
    <x v="3"/>
    <s v="Dr. Zainab Sule"/>
    <x v="4"/>
    <n v="11827.7"/>
    <s v="Valproate"/>
    <n v="9"/>
    <n v="375"/>
    <n v="24.9"/>
    <s v="Abnormal"/>
    <x v="1"/>
  </r>
  <r>
    <x v="25"/>
    <s v="Funke Johnson"/>
    <n v="81"/>
    <x v="1"/>
    <x v="1"/>
    <s v="B+"/>
    <x v="6"/>
    <x v="1"/>
    <x v="25"/>
    <d v="2023-05-06T00:00:00"/>
    <n v="5"/>
    <s v="Federal Medical Centre Asaba"/>
    <x v="0"/>
    <s v="Dr. Halima Usman"/>
    <x v="0"/>
    <n v="17337.52"/>
    <s v="Salbutamol"/>
    <n v="7"/>
    <n v="143"/>
    <n v="34.799999999999997"/>
    <s v="Normal"/>
    <x v="0"/>
  </r>
  <r>
    <x v="26"/>
    <s v="Suleiman Wilson"/>
    <n v="73"/>
    <x v="4"/>
    <x v="0"/>
    <s v="O+"/>
    <x v="6"/>
    <x v="0"/>
    <x v="26"/>
    <d v="2022-03-28T00:00:00"/>
    <n v="5"/>
    <s v="Aminu Kano Teaching Hospital"/>
    <x v="2"/>
    <s v="Dr. Yusuf Danjuma"/>
    <x v="2"/>
    <n v="33365.449999999997"/>
    <s v="Montelukast"/>
    <n v="4"/>
    <n v="363"/>
    <n v="28.9"/>
    <s v="Abnormal"/>
    <x v="0"/>
  </r>
  <r>
    <x v="27"/>
    <s v="Esther Okonkwo"/>
    <n v="35"/>
    <x v="5"/>
    <x v="1"/>
    <s v="A+"/>
    <x v="6"/>
    <x v="3"/>
    <x v="27"/>
    <d v="2024-11-16T00:00:00"/>
    <n v="7"/>
    <s v="University College Hospital Ibadan"/>
    <x v="1"/>
    <s v="Dr. Ngozi Eze-Williams"/>
    <x v="0"/>
    <n v="13277.15"/>
    <s v="Ipratropium"/>
    <n v="7"/>
    <n v="354"/>
    <n v="27"/>
    <s v="Normal"/>
    <x v="0"/>
  </r>
  <r>
    <x v="28"/>
    <s v="Chiamaka Anderson"/>
    <n v="68"/>
    <x v="4"/>
    <x v="1"/>
    <s v="O-"/>
    <x v="5"/>
    <x v="1"/>
    <x v="28"/>
    <d v="2023-12-16T00:00:00"/>
    <n v="5"/>
    <s v="University College Hospital Ibadan"/>
    <x v="1"/>
    <s v="Dr. Emeka Okorie"/>
    <x v="1"/>
    <n v="52887.61"/>
    <s v="Aspirin"/>
    <n v="10"/>
    <n v="143"/>
    <n v="32.200000000000003"/>
    <s v="Abnormal"/>
    <x v="0"/>
  </r>
  <r>
    <x v="29"/>
    <s v="Josephine Nwosu"/>
    <n v="47"/>
    <x v="5"/>
    <x v="1"/>
    <s v="AB+"/>
    <x v="7"/>
    <x v="1"/>
    <x v="29"/>
    <d v="2021-12-14T00:00:00"/>
    <n v="5"/>
    <s v="Lagos University Teaching Hospital"/>
    <x v="1"/>
    <s v="Dr. Musa Aliyu"/>
    <x v="0"/>
    <n v="14034"/>
    <s v="Calcium"/>
    <n v="6"/>
    <n v="117"/>
    <n v="22.9"/>
    <s v="Abnormal"/>
    <x v="1"/>
  </r>
  <r>
    <x v="30"/>
    <s v="Samuel Adebayo"/>
    <n v="52"/>
    <x v="5"/>
    <x v="0"/>
    <s v="O+"/>
    <x v="5"/>
    <x v="0"/>
    <x v="30"/>
    <d v="2020-03-01T00:00:00"/>
    <n v="20"/>
    <s v="University of Calabar Teaching Hospital"/>
    <x v="0"/>
    <s v="Dr. Adewale Ogundimu"/>
    <x v="4"/>
    <n v="36223.980000000003"/>
    <s v="Aspirin"/>
    <n v="9"/>
    <n v="358"/>
    <n v="14.3"/>
    <s v="Abnormal"/>
    <x v="0"/>
  </r>
  <r>
    <x v="31"/>
    <s v="Adewale Johnson"/>
    <n v="28"/>
    <x v="2"/>
    <x v="0"/>
    <s v="B+"/>
    <x v="3"/>
    <x v="2"/>
    <x v="31"/>
    <d v="2022-09-21T00:00:00"/>
    <n v="14"/>
    <s v="University of Calabar Teaching Hospital"/>
    <x v="0"/>
    <s v="Dr. Precious Obi"/>
    <x v="0"/>
    <n v="20769.5"/>
    <s v="Metronidazole"/>
    <n v="6"/>
    <n v="158"/>
    <n v="30.8"/>
    <s v="Normal"/>
    <x v="1"/>
  </r>
  <r>
    <x v="32"/>
    <s v="Oluwaseun Taylor"/>
    <n v="51"/>
    <x v="5"/>
    <x v="0"/>
    <s v="A-"/>
    <x v="1"/>
    <x v="2"/>
    <x v="32"/>
    <d v="2023-10-18T00:00:00"/>
    <n v="5"/>
    <s v="Aminu Kano Teaching Hospital"/>
    <x v="2"/>
    <s v="Dr. Chioma Nwankwo"/>
    <x v="1"/>
    <n v="17672.64"/>
    <s v="Linagliptin"/>
    <n v="8"/>
    <n v="493"/>
    <n v="29.2"/>
    <s v="Abnormal"/>
    <x v="0"/>
  </r>
  <r>
    <x v="33"/>
    <s v="Emeka Abubakar"/>
    <n v="62"/>
    <x v="3"/>
    <x v="0"/>
    <s v="AB+"/>
    <x v="4"/>
    <x v="2"/>
    <x v="33"/>
    <d v="2019-06-10T00:00:00"/>
    <n v="4"/>
    <s v="Federal Medical Centre Owerri"/>
    <x v="3"/>
    <s v="Dr. Segun Banke"/>
    <x v="4"/>
    <n v="19627.14"/>
    <s v="Mesalazine"/>
    <n v="2"/>
    <n v="359"/>
    <n v="31.3"/>
    <s v="Inconclusive"/>
    <x v="0"/>
  </r>
  <r>
    <x v="34"/>
    <s v="Abdullahi Johnson"/>
    <n v="86"/>
    <x v="1"/>
    <x v="0"/>
    <s v="O+"/>
    <x v="5"/>
    <x v="1"/>
    <x v="34"/>
    <d v="2019-04-25T00:00:00"/>
    <n v="7"/>
    <s v="Federal Medical Centre Asaba"/>
    <x v="0"/>
    <s v="Dr. Emeka Okorie"/>
    <x v="2"/>
    <n v="53050.26"/>
    <s v="Amiodarone"/>
    <n v="10"/>
    <n v="139"/>
    <n v="32.6"/>
    <s v="Abnormal"/>
    <x v="0"/>
  </r>
  <r>
    <x v="35"/>
    <s v="Kemi Anderson"/>
    <n v="23"/>
    <x v="2"/>
    <x v="1"/>
    <s v="AB+"/>
    <x v="5"/>
    <x v="0"/>
    <x v="35"/>
    <d v="2019-12-20T00:00:00"/>
    <n v="8"/>
    <s v="Aminu Kano Teaching Hospital"/>
    <x v="2"/>
    <s v="Dr. Adewale Ogundimu"/>
    <x v="1"/>
    <n v="53046"/>
    <s v="Metoprolol"/>
    <n v="8"/>
    <n v="395"/>
    <n v="35.9"/>
    <s v="Abnormal"/>
    <x v="0"/>
  </r>
  <r>
    <x v="36"/>
    <s v="Oluwaseun Garba"/>
    <n v="70"/>
    <x v="4"/>
    <x v="0"/>
    <s v="AB+"/>
    <x v="5"/>
    <x v="0"/>
    <x v="36"/>
    <d v="2023-09-15T00:00:00"/>
    <n v="8"/>
    <s v="National Hospital Abuja"/>
    <x v="4"/>
    <s v="Dr. Adewale Ogundimu"/>
    <x v="2"/>
    <n v="91817.91"/>
    <s v="Amiodarone"/>
    <n v="10"/>
    <n v="321"/>
    <n v="23.5"/>
    <s v="Inconclusive"/>
    <x v="1"/>
  </r>
  <r>
    <x v="37"/>
    <s v="Nneka Chukwu"/>
    <n v="70"/>
    <x v="4"/>
    <x v="1"/>
    <s v="AB+"/>
    <x v="5"/>
    <x v="1"/>
    <x v="37"/>
    <d v="2021-01-03T00:00:00"/>
    <n v="8"/>
    <s v="Federal Medical Centre Owerri"/>
    <x v="3"/>
    <s v="Fatima Al-Hassan"/>
    <x v="0"/>
    <n v="125046.91"/>
    <s v="Aspirin"/>
    <n v="10"/>
    <n v="164"/>
    <n v="29.4"/>
    <s v="Abnormal"/>
    <x v="1"/>
  </r>
  <r>
    <x v="38"/>
    <s v="Rebecca Ogbonna"/>
    <n v="56"/>
    <x v="3"/>
    <x v="1"/>
    <s v="B+"/>
    <x v="6"/>
    <x v="0"/>
    <x v="38"/>
    <d v="2021-02-14T00:00:00"/>
    <n v="4"/>
    <s v="University of Calabar Teaching Hospital"/>
    <x v="0"/>
    <s v="Dr. Halima Usman"/>
    <x v="3"/>
    <n v="67099.23"/>
    <s v="Montelukast"/>
    <n v="7"/>
    <n v="349"/>
    <n v="23.5"/>
    <s v="Normal"/>
    <x v="1"/>
  </r>
  <r>
    <x v="39"/>
    <s v="Bashir Okonkwo"/>
    <n v="66"/>
    <x v="4"/>
    <x v="0"/>
    <s v="A-"/>
    <x v="2"/>
    <x v="1"/>
    <x v="39"/>
    <d v="2020-08-09T00:00:00"/>
    <n v="7"/>
    <s v="Federal Medical Centre Birnin Kebbi"/>
    <x v="2"/>
    <s v="Dr. Zainab Sule"/>
    <x v="2"/>
    <n v="48903.95"/>
    <s v="Donepezil"/>
    <n v="9"/>
    <n v="165"/>
    <n v="29.1"/>
    <s v="Normal"/>
    <x v="0"/>
  </r>
  <r>
    <x v="40"/>
    <s v="Adewale Danjuma"/>
    <n v="90"/>
    <x v="1"/>
    <x v="0"/>
    <s v="O-"/>
    <x v="5"/>
    <x v="1"/>
    <x v="40"/>
    <d v="2022-10-24T00:00:00"/>
    <n v="13"/>
    <s v="National Hospital Abuja"/>
    <x v="4"/>
    <s v="Dr. Adewale Ogundimu"/>
    <x v="4"/>
    <n v="60799.53"/>
    <s v="Digoxin"/>
    <n v="9"/>
    <n v="160"/>
    <n v="26.8"/>
    <s v="Abnormal"/>
    <x v="1"/>
  </r>
  <r>
    <x v="41"/>
    <s v="Rebecca Ajala"/>
    <n v="59"/>
    <x v="3"/>
    <x v="1"/>
    <s v="B-"/>
    <x v="0"/>
    <x v="0"/>
    <x v="41"/>
    <d v="2021-10-28T00:00:00"/>
    <n v="7"/>
    <s v="University College Hospital Ibadan"/>
    <x v="1"/>
    <s v="Dr. Babatunde Fashola"/>
    <x v="2"/>
    <n v="110474"/>
    <s v="Tamoxifen"/>
    <n v="12"/>
    <n v="312"/>
    <n v="27.6"/>
    <s v="Abnormal"/>
    <x v="0"/>
  </r>
  <r>
    <x v="42"/>
    <s v="Emeka Thompson"/>
    <n v="55"/>
    <x v="3"/>
    <x v="0"/>
    <s v="O+"/>
    <x v="3"/>
    <x v="2"/>
    <x v="42"/>
    <m/>
    <m/>
    <s v="University College Hospital Ibadan"/>
    <x v="1"/>
    <s v="Dr. Precious Obi"/>
    <x v="0"/>
    <n v="22792.45"/>
    <s v="Ondansetron"/>
    <n v="3"/>
    <n v="334"/>
    <m/>
    <s v="Normal"/>
    <x v="0"/>
  </r>
  <r>
    <x v="43"/>
    <s v="Nneka Okonkwo"/>
    <n v="63"/>
    <x v="3"/>
    <x v="1"/>
    <s v="A+"/>
    <x v="1"/>
    <x v="0"/>
    <x v="43"/>
    <d v="2019-12-23T00:00:00"/>
    <n v="6"/>
    <s v="Federal Medical Centre Birnin Kebbi"/>
    <x v="2"/>
    <s v="Dr. Ibrahim Musa"/>
    <x v="4"/>
    <n v="23619.17"/>
    <s v="Metformin"/>
    <n v="8"/>
    <n v="276"/>
    <n v="33.200000000000003"/>
    <s v="Normal"/>
    <x v="0"/>
  </r>
  <r>
    <x v="44"/>
    <s v="Femi Moore"/>
    <n v="67"/>
    <x v="4"/>
    <x v="0"/>
    <s v="A+"/>
    <x v="0"/>
    <x v="0"/>
    <x v="44"/>
    <d v="2020-07-15T00:00:00"/>
    <n v="9"/>
    <s v="Aminu Kano Teaching Hospital"/>
    <x v="2"/>
    <s v="Dr. Babatunde Fashola"/>
    <x v="3"/>
    <n v="280000"/>
    <s v="Tamoxifen"/>
    <n v="12"/>
    <n v="288"/>
    <n v="20"/>
    <s v="Abnormal"/>
    <x v="1"/>
  </r>
  <r>
    <x v="45"/>
    <s v="Daniel Adebayo"/>
    <n v="57"/>
    <x v="3"/>
    <x v="0"/>
    <s v="AB-"/>
    <x v="3"/>
    <x v="1"/>
    <x v="45"/>
    <d v="2023-07-11T00:00:00"/>
    <n v="8"/>
    <s v="University of Calabar Teaching Hospital"/>
    <x v="0"/>
    <s v="Dr. Lanre Ogundele"/>
    <x v="0"/>
    <n v="21315.61"/>
    <s v="Morphine"/>
    <n v="5"/>
    <n v="135"/>
    <n v="34"/>
    <s v="Abnormal"/>
    <x v="0"/>
  </r>
  <r>
    <x v="46"/>
    <s v="Taiwo Adeyemi"/>
    <n v="63"/>
    <x v="3"/>
    <x v="1"/>
    <s v="B+"/>
    <x v="7"/>
    <x v="0"/>
    <x v="46"/>
    <d v="2021-08-29T00:00:00"/>
    <n v="5"/>
    <s v="Federal Medical Centre Birnin Kebbi"/>
    <x v="2"/>
    <s v="Dr. Chukwuemeka Nwosu"/>
    <x v="1"/>
    <n v="39452.019999999997"/>
    <s v="Calcium"/>
    <n v="6"/>
    <n v="387"/>
    <m/>
    <s v="Normal"/>
    <x v="0"/>
  </r>
  <r>
    <x v="47"/>
    <s v="Adewale Ibrahim"/>
    <n v="72"/>
    <x v="4"/>
    <x v="0"/>
    <s v="B+"/>
    <x v="5"/>
    <x v="2"/>
    <x v="47"/>
    <d v="2022-12-03T00:00:00"/>
    <n v="9"/>
    <s v="Aminu Kano Teaching Hospital"/>
    <x v="2"/>
    <s v="Dr. Emeka Okorie"/>
    <x v="3"/>
    <n v="70179.69"/>
    <s v="Aspirin"/>
    <n v="10"/>
    <n v="383"/>
    <n v="26.2"/>
    <s v="Abnormal"/>
    <x v="1"/>
  </r>
  <r>
    <x v="48"/>
    <s v="Joseph Ajala"/>
    <n v="77"/>
    <x v="1"/>
    <x v="0"/>
    <s v="B-"/>
    <x v="5"/>
    <x v="1"/>
    <x v="48"/>
    <d v="2024-10-24T00:00:00"/>
    <n v="4"/>
    <s v="Federal Medical Centre Asaba"/>
    <x v="0"/>
    <s v="Dr. Fatima Al-Hassan"/>
    <x v="2"/>
    <n v="106198.82"/>
    <s v="Metoprolol"/>
    <n v="7"/>
    <n v="110"/>
    <n v="28.6"/>
    <s v="Inconclusive"/>
    <x v="0"/>
  </r>
  <r>
    <x v="49"/>
    <s v="Kayode Brown"/>
    <n v="63"/>
    <x v="3"/>
    <x v="0"/>
    <s v="AB+"/>
    <x v="5"/>
    <x v="2"/>
    <x v="49"/>
    <d v="2019-06-30T00:00:00"/>
    <n v="12"/>
    <s v="University College Hospital Ibadan"/>
    <x v="1"/>
    <s v="Fatima Al-Hassan"/>
    <x v="0"/>
    <n v="36646.76"/>
    <s v="Furosemide"/>
    <n v="9"/>
    <n v="325"/>
    <n v="27.1"/>
    <s v="Abnormal"/>
    <x v="0"/>
  </r>
  <r>
    <x v="50"/>
    <s v="Perpetua Yakubu"/>
    <n v="85"/>
    <x v="1"/>
    <x v="1"/>
    <s v="AB+"/>
    <x v="5"/>
    <x v="0"/>
    <x v="50"/>
    <d v="2020-11-11T00:00:00"/>
    <n v="6"/>
    <s v="Bowen University Teaching Hospital"/>
    <x v="1"/>
    <s v="Dr. Adewale Ogundimu"/>
    <x v="1"/>
    <n v="155516.62"/>
    <s v="Spironolactone"/>
    <n v="10"/>
    <n v="364"/>
    <n v="41"/>
    <s v="Abnormal"/>
    <x v="1"/>
  </r>
  <r>
    <x v="51"/>
    <s v="Ruth Okonkwo"/>
    <n v="64"/>
    <x v="3"/>
    <x v="1"/>
    <s v="AB-"/>
    <x v="5"/>
    <x v="1"/>
    <x v="51"/>
    <d v="2023-02-16T00:00:00"/>
    <n v="9"/>
    <s v="National Hospital Abuja"/>
    <x v="4"/>
    <s v="Dr. Emeka Okorie"/>
    <x v="4"/>
    <n v="28676.22"/>
    <s v="Spironolactone"/>
    <n v="10"/>
    <n v="125"/>
    <n v="23.1"/>
    <s v="Abnormal"/>
    <x v="0"/>
  </r>
  <r>
    <x v="52"/>
    <s v="Chidi Smith"/>
    <n v="72"/>
    <x v="4"/>
    <x v="0"/>
    <s v="A+"/>
    <x v="5"/>
    <x v="0"/>
    <x v="52"/>
    <d v="2022-05-25T00:00:00"/>
    <n v="15"/>
    <s v="University College Hospital Ibadan"/>
    <x v="1"/>
    <s v="Dr. Emeka Okorie"/>
    <x v="0"/>
    <n v="78056.36"/>
    <s v="Lisinopril"/>
    <n v="10"/>
    <n v="399"/>
    <n v="32.799999999999997"/>
    <s v="Inconclusive"/>
    <x v="0"/>
  </r>
  <r>
    <x v="53"/>
    <s v="Mariam Danjuma"/>
    <n v="64"/>
    <x v="3"/>
    <x v="1"/>
    <s v="O-"/>
    <x v="1"/>
    <x v="0"/>
    <x v="53"/>
    <d v="2019-03-25T00:00:00"/>
    <n v="6"/>
    <s v="Ahmadu Bello University Teaching Hospital"/>
    <x v="2"/>
    <s v="Dr. Taiwo Adeleke"/>
    <x v="0"/>
    <n v="16548.53"/>
    <s v="Metformin"/>
    <n v="5"/>
    <n v="188"/>
    <n v="33.700000000000003"/>
    <s v="Normal"/>
    <x v="0"/>
  </r>
  <r>
    <x v="54"/>
    <s v="Ifeoma Chukwu"/>
    <n v="83"/>
    <x v="1"/>
    <x v="1"/>
    <s v="A-"/>
    <x v="7"/>
    <x v="1"/>
    <x v="54"/>
    <d v="2022-04-03T00:00:00"/>
    <n v="5"/>
    <s v="Federal Medical Centre Owerri"/>
    <x v="3"/>
    <s v="Dr. Chukwuemeka Nwosu"/>
    <x v="0"/>
    <n v="21479.37"/>
    <s v="Celecoxib"/>
    <n v="5"/>
    <n v="183"/>
    <n v="28.3"/>
    <s v="Normal"/>
    <x v="0"/>
  </r>
  <r>
    <x v="55"/>
    <s v="Ifeanyi Chukwu"/>
    <n v="83"/>
    <x v="1"/>
    <x v="0"/>
    <s v="A+"/>
    <x v="1"/>
    <x v="0"/>
    <x v="55"/>
    <d v="2022-09-22T00:00:00"/>
    <n v="8"/>
    <s v="University of Calabar Teaching Hospital"/>
    <x v="0"/>
    <s v="Dr. Ibrahim Musa"/>
    <x v="0"/>
    <n v="45972.53"/>
    <s v="Empagliflozin"/>
    <n v="8"/>
    <n v="433"/>
    <n v="25.1"/>
    <s v="Normal"/>
    <x v="1"/>
  </r>
  <r>
    <x v="56"/>
    <s v="Segun Musa"/>
    <n v="80"/>
    <x v="1"/>
    <x v="0"/>
    <s v="AB+"/>
    <x v="3"/>
    <x v="2"/>
    <x v="56"/>
    <d v="2022-04-06T00:00:00"/>
    <n v="6"/>
    <s v="Federal Medical Centre Asaba"/>
    <x v="0"/>
    <s v="Dr. Kemi Adeyemi"/>
    <x v="2"/>
    <n v="47689.120000000003"/>
    <s v="Ondansetron"/>
    <n v="6"/>
    <n v="477"/>
    <n v="28.6"/>
    <s v="Normal"/>
    <x v="0"/>
  </r>
  <r>
    <x v="57"/>
    <s v="Rebecca Abubakar"/>
    <n v="71"/>
    <x v="4"/>
    <x v="1"/>
    <s v="AB+"/>
    <x v="5"/>
    <x v="0"/>
    <x v="57"/>
    <d v="2022-11-21T00:00:00"/>
    <n v="13"/>
    <s v="National Hospital Abuja"/>
    <x v="4"/>
    <s v="Dr. Fatima Al-Hassan"/>
    <x v="0"/>
    <n v="90792.85"/>
    <s v="Lisinopril"/>
    <n v="9"/>
    <n v="337"/>
    <n v="33.4"/>
    <s v="Abnormal"/>
    <x v="1"/>
  </r>
  <r>
    <x v="58"/>
    <s v="Joseph Oni"/>
    <n v="64"/>
    <x v="3"/>
    <x v="0"/>
    <s v="A+"/>
    <x v="1"/>
    <x v="1"/>
    <x v="58"/>
    <d v="2019-12-05T00:00:00"/>
    <n v="3"/>
    <s v="Ahmadu Bello University Teaching Hospital"/>
    <x v="2"/>
    <s v="Dr. Chioma Nwankwo"/>
    <x v="1"/>
    <n v="11521.77"/>
    <s v="Liraglutide"/>
    <n v="8"/>
    <n v="153"/>
    <n v="28.8"/>
    <s v="Abnormal"/>
    <x v="0"/>
  </r>
  <r>
    <x v="59"/>
    <s v="Chukwuemeka Aliyu"/>
    <n v="71"/>
    <x v="4"/>
    <x v="0"/>
    <s v="O+"/>
    <x v="2"/>
    <x v="1"/>
    <x v="59"/>
    <d v="2019-09-09T00:00:00"/>
    <n v="5"/>
    <s v="Lagos University Teaching Hospital"/>
    <x v="1"/>
    <s v="Dr. Rotimi Fashola"/>
    <x v="4"/>
    <n v="15802.54"/>
    <s v="Valproate"/>
    <n v="7"/>
    <n v="128"/>
    <n v="31.4"/>
    <s v="Abnormal"/>
    <x v="0"/>
  </r>
  <r>
    <x v="60"/>
    <s v="Kunle Chukwu"/>
    <n v="71"/>
    <x v="4"/>
    <x v="0"/>
    <s v="A+"/>
    <x v="1"/>
    <x v="2"/>
    <x v="60"/>
    <d v="2020-04-22T00:00:00"/>
    <n v="15"/>
    <s v="University College Hospital Ibadan"/>
    <x v="1"/>
    <s v="Dr. Taiwo Adeleke"/>
    <x v="0"/>
    <n v="19125.810000000001"/>
    <s v="Metformin"/>
    <n v="7"/>
    <n v="219"/>
    <n v="22.6"/>
    <s v="Abnormal"/>
    <x v="1"/>
  </r>
  <r>
    <x v="61"/>
    <s v="Chidi Taylor"/>
    <n v="70"/>
    <x v="4"/>
    <x v="0"/>
    <s v="B-"/>
    <x v="0"/>
    <x v="1"/>
    <x v="61"/>
    <d v="2023-10-28T00:00:00"/>
    <n v="12"/>
    <s v="Federal Medical Centre Asaba"/>
    <x v="0"/>
    <s v="Dr. Grace Oduya"/>
    <x v="0"/>
    <n v="66183.62"/>
    <s v="Filgrastim"/>
    <n v="11"/>
    <n v="118"/>
    <n v="17.7"/>
    <s v="Abnormal"/>
    <x v="0"/>
  </r>
  <r>
    <x v="62"/>
    <s v="Nnamdi Aliyu"/>
    <n v="67"/>
    <x v="4"/>
    <x v="0"/>
    <s v="B-"/>
    <x v="3"/>
    <x v="0"/>
    <x v="62"/>
    <d v="2021-02-22T00:00:00"/>
    <n v="3"/>
    <s v="National Hospital Abuja"/>
    <x v="4"/>
    <s v="Dr. Kemi Adeyemi"/>
    <x v="3"/>
    <n v="131711.41"/>
    <s v="Metronidazole"/>
    <n v="6"/>
    <n v="482"/>
    <m/>
    <s v="Normal"/>
    <x v="0"/>
  </r>
  <r>
    <x v="63"/>
    <s v="Tolulope Ogbonna"/>
    <n v="42"/>
    <x v="5"/>
    <x v="1"/>
    <s v="AB+"/>
    <x v="0"/>
    <x v="2"/>
    <x v="63"/>
    <d v="2024-04-05T00:00:00"/>
    <n v="13"/>
    <s v="Bowen University Teaching Hospital"/>
    <x v="1"/>
    <s v="Dr. Babatunde Fashola"/>
    <x v="0"/>
    <n v="38656.6"/>
    <s v="Filgrastim"/>
    <n v="12"/>
    <n v="391"/>
    <n v="25.8"/>
    <s v="Abnormal"/>
    <x v="0"/>
  </r>
  <r>
    <x v="64"/>
    <s v="Deborah Abiodun"/>
    <n v="50"/>
    <x v="5"/>
    <x v="1"/>
    <s v="O-"/>
    <x v="7"/>
    <x v="1"/>
    <x v="64"/>
    <d v="2019-09-03T00:00:00"/>
    <n v="5"/>
    <s v="Bowen University Teaching Hospital"/>
    <x v="1"/>
    <s v="Dr. Musa Aliyu"/>
    <x v="0"/>
    <n v="19483.54"/>
    <s v="Tramadol"/>
    <n v="6"/>
    <n v="100"/>
    <n v="21.6"/>
    <s v="Normal"/>
    <x v="0"/>
  </r>
  <r>
    <x v="65"/>
    <s v="David Usman"/>
    <n v="59"/>
    <x v="3"/>
    <x v="0"/>
    <s v="A+"/>
    <x v="7"/>
    <x v="1"/>
    <x v="65"/>
    <d v="2021-11-01T00:00:00"/>
    <n v="2"/>
    <s v="National Hospital Abuja"/>
    <x v="4"/>
    <s v="Dr. Chukwuemeka Nwosu"/>
    <x v="1"/>
    <n v="25311.599999999999"/>
    <s v="Vitamin D"/>
    <n v="6"/>
    <n v="148"/>
    <n v="27.4"/>
    <s v="Inconclusive"/>
    <x v="0"/>
  </r>
  <r>
    <x v="66"/>
    <s v="Miriam Johnson"/>
    <n v="61"/>
    <x v="3"/>
    <x v="1"/>
    <s v="AB-"/>
    <x v="5"/>
    <x v="0"/>
    <x v="66"/>
    <d v="2024-05-12T00:00:00"/>
    <n v="11"/>
    <s v="National Hospital Abuja"/>
    <x v="4"/>
    <s v="Dr. Fatima Al-Hassan"/>
    <x v="2"/>
    <n v="67729.740000000005"/>
    <s v="Amiodarone"/>
    <n v="9"/>
    <n v="388"/>
    <n v="23.4"/>
    <s v="Inconclusive"/>
    <x v="0"/>
  </r>
  <r>
    <x v="67"/>
    <s v="James Abubakar"/>
    <n v="56"/>
    <x v="3"/>
    <x v="0"/>
    <s v="O+"/>
    <x v="5"/>
    <x v="0"/>
    <x v="67"/>
    <d v="2023-03-26T00:00:00"/>
    <n v="8"/>
    <s v="Federal Medical Centre Owerri"/>
    <x v="3"/>
    <s v="Dr. Adewale Ogundimu"/>
    <x v="2"/>
    <n v="40486.93"/>
    <s v="Atorvastatin"/>
    <n v="10"/>
    <n v="339"/>
    <n v="28.3"/>
    <s v="Abnormal"/>
    <x v="0"/>
  </r>
  <r>
    <x v="68"/>
    <s v="Michael Fashola"/>
    <n v="63"/>
    <x v="3"/>
    <x v="0"/>
    <s v="A-"/>
    <x v="5"/>
    <x v="1"/>
    <x v="68"/>
    <d v="2019-02-26T00:00:00"/>
    <n v="6"/>
    <s v="Bowen University Teaching Hospital"/>
    <x v="1"/>
    <s v="Dr. Adewale Ogundimu"/>
    <x v="1"/>
    <n v="33642"/>
    <s v="Furosemide"/>
    <n v="10"/>
    <n v="163"/>
    <n v="33.299999999999997"/>
    <s v="Abnormal"/>
    <x v="1"/>
  </r>
  <r>
    <x v="69"/>
    <s v="Mariam Salami"/>
    <n v="85"/>
    <x v="1"/>
    <x v="1"/>
    <s v="AB-"/>
    <x v="6"/>
    <x v="3"/>
    <x v="69"/>
    <d v="2023-11-27T00:00:00"/>
    <n v="4"/>
    <s v="Federal Medical Centre Asaba"/>
    <x v="0"/>
    <s v="Dr. Ngozi Eze-Williams"/>
    <x v="2"/>
    <n v="43456.58"/>
    <s v="Prednisolone"/>
    <n v="5"/>
    <n v="202"/>
    <n v="27.8"/>
    <s v="Abnormal"/>
    <x v="1"/>
  </r>
  <r>
    <x v="70"/>
    <s v="Hauwa Hassan"/>
    <n v="89"/>
    <x v="1"/>
    <x v="1"/>
    <s v="AB-"/>
    <x v="0"/>
    <x v="1"/>
    <x v="70"/>
    <d v="2024-08-13T00:00:00"/>
    <n v="6"/>
    <s v="National Hospital Abuja"/>
    <x v="4"/>
    <s v="Dr. Grace Oduya"/>
    <x v="2"/>
    <n v="63692.32"/>
    <s v="Letrozole"/>
    <n v="12"/>
    <n v="176"/>
    <n v="29"/>
    <s v="Abnormal"/>
    <x v="0"/>
  </r>
  <r>
    <x v="71"/>
    <s v="James Salami"/>
    <n v="64"/>
    <x v="3"/>
    <x v="0"/>
    <s v="A-"/>
    <x v="0"/>
    <x v="1"/>
    <x v="71"/>
    <d v="2024-11-07T00:00:00"/>
    <n v="13"/>
    <s v="Federal Medical Centre Asaba"/>
    <x v="0"/>
    <s v="Dr. Grace Oduya"/>
    <x v="0"/>
    <n v="38791.58"/>
    <s v="Carboplatin"/>
    <n v="12"/>
    <n v="118"/>
    <n v="20.5"/>
    <s v="Abnormal"/>
    <x v="0"/>
  </r>
  <r>
    <x v="72"/>
    <s v="Emmanuel Abubakar"/>
    <n v="56"/>
    <x v="3"/>
    <x v="0"/>
    <s v="B-"/>
    <x v="1"/>
    <x v="2"/>
    <x v="72"/>
    <d v="2020-03-27T00:00:00"/>
    <n v="4"/>
    <s v="Lagos University Teaching Hospital"/>
    <x v="1"/>
    <s v="Dr. Taiwo Adeleke"/>
    <x v="2"/>
    <n v="11927.11"/>
    <s v="Empagliflozin"/>
    <n v="8"/>
    <n v="299"/>
    <n v="35.299999999999997"/>
    <s v="Normal"/>
    <x v="0"/>
  </r>
  <r>
    <x v="73"/>
    <s v="Segun Adebayo"/>
    <n v="74"/>
    <x v="4"/>
    <x v="0"/>
    <s v="AB-"/>
    <x v="7"/>
    <x v="1"/>
    <x v="73"/>
    <d v="2022-07-13T00:00:00"/>
    <n v="6"/>
    <s v="Aminu Kano Teaching Hospital"/>
    <x v="2"/>
    <s v="Dr. Chukwuemeka Nwosu"/>
    <x v="0"/>
    <n v="15260.47"/>
    <s v="Enoxaparin"/>
    <n v="6"/>
    <n v="114"/>
    <n v="18.8"/>
    <s v="Inconclusive"/>
    <x v="0"/>
  </r>
  <r>
    <x v="74"/>
    <s v="Daniel Wilson"/>
    <n v="47"/>
    <x v="5"/>
    <x v="0"/>
    <s v="A+"/>
    <x v="1"/>
    <x v="0"/>
    <x v="74"/>
    <d v="2022-07-21T00:00:00"/>
    <n v="9"/>
    <s v="University College Hospital Ibadan"/>
    <x v="1"/>
    <s v="Dr. Ibrahim Musa"/>
    <x v="1"/>
    <n v="19555.32"/>
    <s v="Liraglutide"/>
    <n v="5"/>
    <n v="249"/>
    <n v="29.6"/>
    <s v="Abnormal"/>
    <x v="0"/>
  </r>
  <r>
    <x v="75"/>
    <s v="Blessing Johnson"/>
    <n v="72"/>
    <x v="4"/>
    <x v="1"/>
    <s v="O-"/>
    <x v="2"/>
    <x v="2"/>
    <x v="75"/>
    <d v="2019-06-28T00:00:00"/>
    <n v="8"/>
    <s v="University of Calabar Teaching Hospital"/>
    <x v="0"/>
    <s v="Dr. Olumide Abiodun"/>
    <x v="2"/>
    <n v="40518.22"/>
    <s v="Levetiracetam"/>
    <n v="9"/>
    <n v="497"/>
    <n v="36.6"/>
    <s v="Abnormal"/>
    <x v="0"/>
  </r>
  <r>
    <x v="76"/>
    <s v="Adewale Aliyu"/>
    <n v="88"/>
    <x v="1"/>
    <x v="0"/>
    <s v="A-"/>
    <x v="7"/>
    <x v="1"/>
    <x v="76"/>
    <d v="2020-11-22T00:00:00"/>
    <n v="2"/>
    <s v="Lagos University Teaching Hospital"/>
    <x v="1"/>
    <s v="Dr. Musa Aliyu"/>
    <x v="1"/>
    <n v="23459.74"/>
    <s v="Vitamin D"/>
    <n v="6"/>
    <n v="151"/>
    <n v="21.6"/>
    <s v="Normal"/>
    <x v="0"/>
  </r>
  <r>
    <x v="77"/>
    <s v="Halima Abiodun"/>
    <n v="85"/>
    <x v="1"/>
    <x v="1"/>
    <s v=""/>
    <x v="6"/>
    <x v="0"/>
    <x v="77"/>
    <d v="2021-05-22T00:00:00"/>
    <n v="5"/>
    <s v="Bowen University Teaching Hospital"/>
    <x v="1"/>
    <s v="Dr. Yusuf Danjuma"/>
    <x v="2"/>
    <n v="46837.34"/>
    <s v="Ipratropium"/>
    <n v="7"/>
    <n v="356"/>
    <n v="15.4"/>
    <s v="Abnormal"/>
    <x v="1"/>
  </r>
  <r>
    <x v="78"/>
    <s v="Abdullahi Nwosu"/>
    <n v="84"/>
    <x v="1"/>
    <x v="0"/>
    <s v="B+"/>
    <x v="3"/>
    <x v="1"/>
    <x v="78"/>
    <d v="2019-06-08T00:00:00"/>
    <n v="5"/>
    <s v="Federal Medical Centre Owerri"/>
    <x v="3"/>
    <s v="Dr. Kemi Adeyemi"/>
    <x v="0"/>
    <n v="30356.52"/>
    <s v="Enoxaparin"/>
    <n v="5"/>
    <n v="149"/>
    <n v="24.5"/>
    <s v="Normal"/>
    <x v="1"/>
  </r>
  <r>
    <x v="79"/>
    <s v="Grace Moore"/>
    <n v="61"/>
    <x v="3"/>
    <x v="1"/>
    <s v="B+"/>
    <x v="6"/>
    <x v="1"/>
    <x v="79"/>
    <d v="2024-11-13T00:00:00"/>
    <n v="6"/>
    <s v="University College Hospital Ibadan"/>
    <x v="1"/>
    <s v="Dr. Ngozi Eze-Williams"/>
    <x v="0"/>
    <n v="35048"/>
    <s v="Montelukast"/>
    <n v="7"/>
    <n v="110"/>
    <n v="33.9"/>
    <s v="Normal"/>
    <x v="0"/>
  </r>
  <r>
    <x v="80"/>
    <s v="Rukayat Aliyu"/>
    <n v="75"/>
    <x v="1"/>
    <x v="1"/>
    <s v="A+"/>
    <x v="6"/>
    <x v="1"/>
    <x v="80"/>
    <d v="2021-09-12T00:00:00"/>
    <n v="5"/>
    <s v="University of Calabar Teaching Hospital"/>
    <x v="0"/>
    <s v="Dr. Yusuf Danjuma"/>
    <x v="0"/>
    <n v="33023.589999999997"/>
    <s v="Theophylline"/>
    <n v="7"/>
    <n v="107"/>
    <n v="29.6"/>
    <s v="Abnormal"/>
    <x v="0"/>
  </r>
  <r>
    <x v="81"/>
    <s v="Halima Wilson"/>
    <n v="71"/>
    <x v="4"/>
    <x v="1"/>
    <s v="O-"/>
    <x v="7"/>
    <x v="0"/>
    <x v="81"/>
    <d v="2021-04-17T00:00:00"/>
    <n v="5"/>
    <s v="Federal Medical Centre Birnin Kebbi"/>
    <x v="2"/>
    <s v="Dr. Musa Aliyu"/>
    <x v="0"/>
    <n v="56868.69"/>
    <s v="Tramadol"/>
    <n v="1"/>
    <n v="258"/>
    <n v="32"/>
    <s v="Abnormal"/>
    <x v="1"/>
  </r>
  <r>
    <x v="82"/>
    <s v="Lanre Ajala"/>
    <n v="35"/>
    <x v="5"/>
    <x v="0"/>
    <s v="A-"/>
    <x v="5"/>
    <x v="1"/>
    <x v="4"/>
    <d v="2019-10-23T00:00:00"/>
    <n v="12"/>
    <s v="Federal Medical Centre Owerri"/>
    <x v="3"/>
    <s v="Fatima Al-Hassan"/>
    <x v="0"/>
    <n v="18319.59"/>
    <s v="Digoxin"/>
    <n v="10"/>
    <n v="101"/>
    <n v="36.700000000000003"/>
    <s v="Inconclusive"/>
    <x v="0"/>
  </r>
  <r>
    <x v="83"/>
    <s v="Michael Akintola"/>
    <n v="76"/>
    <x v="1"/>
    <x v="0"/>
    <s v="B-"/>
    <x v="5"/>
    <x v="1"/>
    <x v="82"/>
    <d v="2020-09-05T00:00:00"/>
    <n v="5"/>
    <s v="Federal Medical Centre Asaba"/>
    <x v="0"/>
    <s v="Dr. Fatima Al-Hassan"/>
    <x v="3"/>
    <n v="75748.23"/>
    <s v="Metoprolol"/>
    <n v="9"/>
    <n v="198"/>
    <n v="36.799999999999997"/>
    <s v="Abnormal"/>
    <x v="1"/>
  </r>
  <r>
    <x v="84"/>
    <s v="Lanre Wilson"/>
    <n v="48"/>
    <x v="5"/>
    <x v="0"/>
    <s v="O+"/>
    <x v="2"/>
    <x v="0"/>
    <x v="83"/>
    <d v="2022-06-17T00:00:00"/>
    <n v="4"/>
    <s v="Lagos University Teaching Hospital"/>
    <x v="1"/>
    <s v="Dr. Rotimi Fashola"/>
    <x v="3"/>
    <n v="134651.01999999999"/>
    <s v="Donepezil"/>
    <n v="9"/>
    <n v="307"/>
    <n v="20.8"/>
    <s v="Abnormal"/>
    <x v="0"/>
  </r>
  <r>
    <x v="85"/>
    <s v="Stella Abubakar"/>
    <n v="61"/>
    <x v="3"/>
    <x v="1"/>
    <s v="A+"/>
    <x v="6"/>
    <x v="2"/>
    <x v="84"/>
    <d v="2020-10-02T00:00:00"/>
    <n v="4"/>
    <s v="Ahmadu Bello University Teaching Hospital"/>
    <x v="2"/>
    <s v="Dr. Halima Usman"/>
    <x v="0"/>
    <n v="12131.33"/>
    <s v="Ipratropium"/>
    <n v="5"/>
    <n v="175"/>
    <n v="30.1"/>
    <s v="Abnormal"/>
    <x v="1"/>
  </r>
  <r>
    <x v="86"/>
    <s v="Zainab Adeyemi"/>
    <n v="69"/>
    <x v="4"/>
    <x v="1"/>
    <s v="B+"/>
    <x v="1"/>
    <x v="0"/>
    <x v="85"/>
    <d v="2020-02-29T00:00:00"/>
    <n v="7"/>
    <s v="Aminu Kano Teaching Hospital"/>
    <x v="2"/>
    <s v="Dr. Taiwo Adeleke"/>
    <x v="1"/>
    <n v="29441.32"/>
    <s v="Sitagliptin"/>
    <n v="8"/>
    <n v="162"/>
    <n v="35"/>
    <s v="Inconclusive"/>
    <x v="1"/>
  </r>
  <r>
    <x v="87"/>
    <s v="Mariam Anderson"/>
    <n v="87"/>
    <x v="1"/>
    <x v="1"/>
    <s v="A+"/>
    <x v="0"/>
    <x v="1"/>
    <x v="86"/>
    <d v="2020-09-09T00:00:00"/>
    <n v="9"/>
    <s v="Bowen University Teaching Hospital"/>
    <x v="1"/>
    <s v="Dr. Grace Oduya"/>
    <x v="0"/>
    <n v="63125.91"/>
    <s v="Tamoxifen"/>
    <n v="12"/>
    <n v="145"/>
    <n v="24.9"/>
    <s v="Abnormal"/>
    <x v="0"/>
  </r>
  <r>
    <x v="88"/>
    <s v="Suleiman Smith"/>
    <n v="59"/>
    <x v="3"/>
    <x v="0"/>
    <s v="AB-"/>
    <x v="0"/>
    <x v="1"/>
    <x v="87"/>
    <d v="2021-08-26T00:00:00"/>
    <n v="15"/>
    <s v="Federal Medical Centre Owerri"/>
    <x v="3"/>
    <s v="Dr. Grace Oduya"/>
    <x v="0"/>
    <n v="22563.86"/>
    <s v="Dexamethasone"/>
    <n v="8"/>
    <n v="118"/>
    <n v="22.8"/>
    <s v="Abnormal"/>
    <x v="0"/>
  </r>
  <r>
    <x v="89"/>
    <s v="Oluwaseun Nwosu"/>
    <n v="59"/>
    <x v="3"/>
    <x v="0"/>
    <s v="A-"/>
    <x v="4"/>
    <x v="0"/>
    <x v="88"/>
    <d v="2021-12-04T00:00:00"/>
    <n v="7"/>
    <s v="Federal Medical Centre Birnin Kebbi"/>
    <x v="2"/>
    <s v="Dr. Aisha Bello"/>
    <x v="0"/>
    <n v="22254"/>
    <s v="Omeprazole"/>
    <n v="3"/>
    <n v="169"/>
    <n v="25"/>
    <s v="Normal"/>
    <x v="0"/>
  </r>
  <r>
    <x v="90"/>
    <s v="Lanre Akintola"/>
    <n v="60"/>
    <x v="3"/>
    <x v="0"/>
    <s v="AB-"/>
    <x v="0"/>
    <x v="1"/>
    <x v="89"/>
    <d v="2021-01-14T00:00:00"/>
    <n v="17"/>
    <s v="University College Hospital Ibadan"/>
    <x v="1"/>
    <s v="Dr. Amara Osei"/>
    <x v="4"/>
    <n v="120034.19"/>
    <s v="Ondansetron"/>
    <n v="12"/>
    <n v="111"/>
    <m/>
    <s v="Normal"/>
    <x v="1"/>
  </r>
  <r>
    <x v="91"/>
    <s v="Yusuf Igwe"/>
    <n v="8"/>
    <x v="0"/>
    <x v="0"/>
    <s v="A+"/>
    <x v="6"/>
    <x v="1"/>
    <x v="90"/>
    <d v="2023-08-27T00:00:00"/>
    <n v="4"/>
    <s v="National Hospital Abuja"/>
    <x v="4"/>
    <s v="Dr. Yusuf Danjuma"/>
    <x v="1"/>
    <n v="7503.05"/>
    <s v="Prednisolone"/>
    <n v="5"/>
    <n v="109"/>
    <m/>
    <s v="Abnormal"/>
    <x v="0"/>
  </r>
  <r>
    <x v="92"/>
    <s v="Joseph Thompson"/>
    <n v="77"/>
    <x v="1"/>
    <x v="0"/>
    <s v="O-"/>
    <x v="5"/>
    <x v="0"/>
    <x v="91"/>
    <d v="2021-02-26T00:00:00"/>
    <n v="9"/>
    <s v="University College Hospital Ibadan"/>
    <x v="1"/>
    <s v="Dr. Adewale Ogundimu"/>
    <x v="1"/>
    <n v="98612.39"/>
    <s v="Amlodipine"/>
    <n v="9"/>
    <n v="381"/>
    <n v="25.7"/>
    <s v="Inconclusive"/>
    <x v="1"/>
  </r>
  <r>
    <x v="93"/>
    <s v="Chiamaka Nwosu"/>
    <n v="62"/>
    <x v="3"/>
    <x v="1"/>
    <s v="A+"/>
    <x v="6"/>
    <x v="0"/>
    <x v="92"/>
    <d v="2021-12-23T00:00:00"/>
    <n v="9"/>
    <s v="Federal Medical Centre Asaba"/>
    <x v="0"/>
    <s v="Dr. Ngozi Eze-Williams"/>
    <x v="0"/>
    <n v="29173.759999999998"/>
    <s v="Ipratropium"/>
    <n v="7"/>
    <n v="353"/>
    <n v="33.1"/>
    <s v="Normal"/>
    <x v="0"/>
  </r>
  <r>
    <x v="94"/>
    <s v="Oluwaseun Lawan"/>
    <n v="44"/>
    <x v="5"/>
    <x v="0"/>
    <s v="AB+"/>
    <x v="0"/>
    <x v="1"/>
    <x v="93"/>
    <d v="2020-05-22T00:00:00"/>
    <n v="15"/>
    <s v="University of Calabar Teaching Hospital"/>
    <x v="0"/>
    <s v="Dr. Amara Osei"/>
    <x v="2"/>
    <n v="24819.57"/>
    <s v="Trastuzumab"/>
    <n v="12"/>
    <n v="179"/>
    <n v="19.3"/>
    <s v="Inconclusive"/>
    <x v="0"/>
  </r>
  <r>
    <x v="95"/>
    <s v="Amaka Fashola"/>
    <n v="74"/>
    <x v="4"/>
    <x v="1"/>
    <s v="A+"/>
    <x v="5"/>
    <x v="2"/>
    <x v="94"/>
    <d v="2021-12-24T00:00:00"/>
    <n v="7"/>
    <s v="National Hospital Abuja"/>
    <x v="4"/>
    <s v="Dr. Emeka Okorie"/>
    <x v="2"/>
    <n v="40849.089999999997"/>
    <s v="Metoprolol"/>
    <n v="8"/>
    <n v="110"/>
    <n v="23.9"/>
    <s v="Abnormal"/>
    <x v="0"/>
  </r>
  <r>
    <x v="96"/>
    <s v="Bukola Obi"/>
    <n v="78"/>
    <x v="1"/>
    <x v="1"/>
    <s v="B-"/>
    <x v="2"/>
    <x v="1"/>
    <x v="95"/>
    <d v="2020-06-01T00:00:00"/>
    <n v="5"/>
    <s v="Aminu Kano Teaching Hospital"/>
    <x v="2"/>
    <s v="Dr. Olumide Abiodun"/>
    <x v="1"/>
    <n v="49703.51"/>
    <s v="Valproate"/>
    <n v="6"/>
    <n v="104"/>
    <n v="18.7"/>
    <s v="Abnormal"/>
    <x v="0"/>
  </r>
  <r>
    <x v="97"/>
    <s v="Tunde Anderson"/>
    <n v="91"/>
    <x v="1"/>
    <x v="0"/>
    <s v="A+"/>
    <x v="6"/>
    <x v="2"/>
    <x v="96"/>
    <d v="2022-06-12T00:00:00"/>
    <n v="3"/>
    <s v="Bowen University Teaching Hospital"/>
    <x v="1"/>
    <s v="Dr. Yusuf Danjuma"/>
    <x v="4"/>
    <n v="16102.43"/>
    <s v="Montelukast"/>
    <n v="7"/>
    <n v="431"/>
    <n v="35.5"/>
    <s v="Abnormal"/>
    <x v="0"/>
  </r>
  <r>
    <x v="98"/>
    <s v="Mariam Igwe"/>
    <n v="83"/>
    <x v="1"/>
    <x v="1"/>
    <s v="AB+"/>
    <x v="0"/>
    <x v="2"/>
    <x v="97"/>
    <d v="2023-06-28T00:00:00"/>
    <n v="13"/>
    <s v="Ahmadu Bello University Teaching Hospital"/>
    <x v="2"/>
    <s v="Dr. Grace Oduya"/>
    <x v="4"/>
    <n v="71064.25"/>
    <s v="Rituximab"/>
    <n v="12"/>
    <n v="252"/>
    <n v="29.4"/>
    <s v="Abnormal"/>
    <x v="1"/>
  </r>
  <r>
    <x v="99"/>
    <s v="Grace Adeyemi"/>
    <n v="87"/>
    <x v="1"/>
    <x v="1"/>
    <s v="A-"/>
    <x v="5"/>
    <x v="0"/>
    <x v="98"/>
    <d v="2024-01-02T00:00:00"/>
    <n v="6"/>
    <s v="Federal Medical Centre Owerri"/>
    <x v="3"/>
    <s v="Dr. Fatima Al-Hassan"/>
    <x v="0"/>
    <n v="97812.23"/>
    <s v="Atorvastatin"/>
    <n v="9"/>
    <n v="371"/>
    <n v="23.4"/>
    <s v="Inconclusive"/>
    <x v="0"/>
  </r>
  <r>
    <x v="100"/>
    <s v="Gbenga Osagie"/>
    <n v="29"/>
    <x v="2"/>
    <x v="0"/>
    <s v="O-"/>
    <x v="6"/>
    <x v="1"/>
    <x v="99"/>
    <d v="2024-10-23T00:00:00"/>
    <n v="4"/>
    <s v="Bowen University Teaching Hospital"/>
    <x v="1"/>
    <s v="Dr. Ngozi Eze-Williams"/>
    <x v="4"/>
    <n v="10530.11"/>
    <s v="Ipratropium"/>
    <n v="7"/>
    <n v="123"/>
    <n v="30"/>
    <s v="Inconclusive"/>
    <x v="0"/>
  </r>
  <r>
    <x v="101"/>
    <s v="Biodun Bankole"/>
    <n v="65"/>
    <x v="4"/>
    <x v="0"/>
    <s v="AB-"/>
    <x v="5"/>
    <x v="0"/>
    <x v="100"/>
    <d v="2023-11-05T00:00:00"/>
    <n v="11"/>
    <s v="University College Hospital Ibadan"/>
    <x v="1"/>
    <s v="Dr. Adewale Ogundimu"/>
    <x v="4"/>
    <n v="65030.83"/>
    <s v="Metoprolol"/>
    <n v="10"/>
    <n v="375"/>
    <n v="27.3"/>
    <s v="Abnormal"/>
    <x v="1"/>
  </r>
  <r>
    <x v="102"/>
    <s v="Miriam Garba"/>
    <n v="63"/>
    <x v="3"/>
    <x v="1"/>
    <s v="O+"/>
    <x v="3"/>
    <x v="1"/>
    <x v="38"/>
    <d v="2021-02-14T00:00:00"/>
    <n v="4"/>
    <s v="University College Hospital Ibadan"/>
    <x v="1"/>
    <s v="Dr. Kemi Adeyemi"/>
    <x v="4"/>
    <n v="30937.48"/>
    <s v="Ondansetron"/>
    <n v="3"/>
    <n v="170"/>
    <n v="26.3"/>
    <s v="Inconclusive"/>
    <x v="0"/>
  </r>
  <r>
    <x v="103"/>
    <s v="Lydia Adeleke"/>
    <n v="15"/>
    <x v="0"/>
    <x v="1"/>
    <s v="B-"/>
    <x v="7"/>
    <x v="1"/>
    <x v="101"/>
    <d v="2020-04-29T00:00:00"/>
    <n v="2"/>
    <s v="University College Hospital Ibadan"/>
    <x v="1"/>
    <s v="Dr. Chukwuemeka Nwosu"/>
    <x v="4"/>
    <n v="14975.93"/>
    <s v="Celecoxib"/>
    <n v="6"/>
    <n v="142"/>
    <n v="26.7"/>
    <s v="Normal"/>
    <x v="0"/>
  </r>
  <r>
    <x v="104"/>
    <s v="Musa Lawan"/>
    <n v="72"/>
    <x v="4"/>
    <x v="0"/>
    <s v="AB-"/>
    <x v="5"/>
    <x v="0"/>
    <x v="94"/>
    <d v="2021-12-27T00:00:00"/>
    <n v="10"/>
    <s v="National Hospital Abuja"/>
    <x v="4"/>
    <s v="Dr. Emeka Okorie"/>
    <x v="2"/>
    <n v="135928.23000000001"/>
    <s v="Lisinopril"/>
    <n v="10"/>
    <n v="334"/>
    <n v="33.299999999999997"/>
    <s v="Inconclusive"/>
    <x v="0"/>
  </r>
  <r>
    <x v="105"/>
    <s v="Bashir Martin"/>
    <n v="62"/>
    <x v="3"/>
    <x v="0"/>
    <s v="B+"/>
    <x v="5"/>
    <x v="0"/>
    <x v="64"/>
    <d v="2019-08-09T00:00:00"/>
    <n v="10"/>
    <s v="Federal Medical Centre Asaba"/>
    <x v="0"/>
    <s v="Dr. Fatima Al-Hassan"/>
    <x v="1"/>
    <n v="126661.75"/>
    <s v="Atorvastatin"/>
    <n v="10"/>
    <n v="390"/>
    <n v="21.1"/>
    <s v="Abnormal"/>
    <x v="0"/>
  </r>
  <r>
    <x v="106"/>
    <s v="Emeka Garba"/>
    <n v="45"/>
    <x v="5"/>
    <x v="0"/>
    <s v="O-"/>
    <x v="7"/>
    <x v="1"/>
    <x v="86"/>
    <d v="2020-09-05T00:00:00"/>
    <n v="5"/>
    <s v="Ahmadu Bello University Teaching Hospital"/>
    <x v="2"/>
    <s v="Dr. Sarah Adeyemi"/>
    <x v="4"/>
    <n v="10660.57"/>
    <s v="Enoxaparin"/>
    <n v="5"/>
    <n v="157"/>
    <n v="24.1"/>
    <s v="Abnormal"/>
    <x v="0"/>
  </r>
  <r>
    <x v="107"/>
    <s v="Michael Musa"/>
    <n v="65"/>
    <x v="4"/>
    <x v="0"/>
    <s v="AB-"/>
    <x v="3"/>
    <x v="2"/>
    <x v="102"/>
    <d v="2022-06-09T00:00:00"/>
    <n v="8"/>
    <s v="Lagos University Teaching Hospital"/>
    <x v="1"/>
    <s v="Dr. Kemi Adeyemi"/>
    <x v="2"/>
    <n v="39529.589999999997"/>
    <s v="Paracetamol"/>
    <n v="6"/>
    <n v="149"/>
    <n v="17"/>
    <s v="Normal"/>
    <x v="0"/>
  </r>
  <r>
    <x v="108"/>
    <s v="Josephine Martin"/>
    <n v="84"/>
    <x v="1"/>
    <x v="1"/>
    <s v="O-"/>
    <x v="2"/>
    <x v="1"/>
    <x v="103"/>
    <d v="2023-08-09T00:00:00"/>
    <n v="5"/>
    <s v="University College Hospital Ibadan"/>
    <x v="1"/>
    <s v="Dr. Rotimi Fashola"/>
    <x v="4"/>
    <n v="28947.599999999999"/>
    <s v="Phenytoin"/>
    <n v="9"/>
    <n v="164"/>
    <n v="20.2"/>
    <s v="Normal"/>
    <x v="1"/>
  </r>
  <r>
    <x v="109"/>
    <s v="Zainab Martin"/>
    <n v="90"/>
    <x v="1"/>
    <x v="1"/>
    <s v="AB+"/>
    <x v="5"/>
    <x v="1"/>
    <x v="104"/>
    <d v="2023-02-05T00:00:00"/>
    <n v="7"/>
    <s v="University College Hospital Ibadan"/>
    <x v="1"/>
    <s v="Dr. Fatima Al-Hassan"/>
    <x v="0"/>
    <n v="35671.480000000003"/>
    <s v="Atorvastatin"/>
    <n v="9"/>
    <n v="191"/>
    <n v="40.700000000000003"/>
    <s v="Abnormal"/>
    <x v="0"/>
  </r>
  <r>
    <x v="110"/>
    <s v="Grace Thompson"/>
    <n v="70"/>
    <x v="4"/>
    <x v="1"/>
    <s v="B+"/>
    <x v="5"/>
    <x v="0"/>
    <x v="105"/>
    <d v="2023-12-15T00:00:00"/>
    <n v="29"/>
    <s v="University College Hospital Ibadan"/>
    <x v="1"/>
    <s v="Dr. Fatima Al-Hassan"/>
    <x v="4"/>
    <n v="86072.71"/>
    <s v="Metoprolol"/>
    <n v="7"/>
    <n v="307"/>
    <n v="35.5"/>
    <s v="Abnormal"/>
    <x v="1"/>
  </r>
  <r>
    <x v="111"/>
    <s v="Kunle Moore"/>
    <n v="78"/>
    <x v="1"/>
    <x v="0"/>
    <s v="B-"/>
    <x v="5"/>
    <x v="1"/>
    <x v="106"/>
    <d v="2019-07-22T00:00:00"/>
    <n v="10"/>
    <s v="Ahmadu Bello University Teaching Hospital"/>
    <x v="2"/>
    <s v="Dr. Fatima Al-Hassan"/>
    <x v="1"/>
    <n v="101147.02"/>
    <s v="Spironolactone"/>
    <n v="10"/>
    <n v="147"/>
    <n v="30.3"/>
    <s v="Inconclusive"/>
    <x v="0"/>
  </r>
  <r>
    <x v="112"/>
    <s v="Yusuf Usman"/>
    <n v="84"/>
    <x v="1"/>
    <x v="0"/>
    <s v="B+"/>
    <x v="2"/>
    <x v="1"/>
    <x v="107"/>
    <d v="2020-07-01T00:00:00"/>
    <n v="15"/>
    <s v="University of Calabar Teaching Hospital"/>
    <x v="0"/>
    <s v="Dr. Rotimi Fashola"/>
    <x v="0"/>
    <n v="18830.47"/>
    <s v="Phenytoin"/>
    <n v="7"/>
    <n v="151"/>
    <m/>
    <s v="Normal"/>
    <x v="0"/>
  </r>
  <r>
    <x v="113"/>
    <s v="Lydia Onuoha"/>
    <n v="58"/>
    <x v="3"/>
    <x v="1"/>
    <s v="B+"/>
    <x v="6"/>
    <x v="0"/>
    <x v="108"/>
    <d v="2021-10-09T00:00:00"/>
    <n v="14"/>
    <s v="Lagos University Teaching Hospital"/>
    <x v="1"/>
    <s v="Dr. Ngozi Eze-Williams"/>
    <x v="0"/>
    <n v="38485.15"/>
    <s v="Theophylline"/>
    <n v="6"/>
    <n v="368"/>
    <n v="28.8"/>
    <s v="Abnormal"/>
    <x v="0"/>
  </r>
  <r>
    <x v="114"/>
    <s v="Hauwa Oni"/>
    <n v="88"/>
    <x v="1"/>
    <x v="1"/>
    <s v="A+"/>
    <x v="2"/>
    <x v="1"/>
    <x v="109"/>
    <d v="2020-09-26T00:00:00"/>
    <n v="5"/>
    <s v="Federal Medical Centre Asaba"/>
    <x v="0"/>
    <s v="Dr. Olumide Abiodun"/>
    <x v="1"/>
    <n v="43446.16"/>
    <s v="Donepezil"/>
    <n v="9"/>
    <n v="145"/>
    <n v="18.100000000000001"/>
    <s v="Abnormal"/>
    <x v="0"/>
  </r>
  <r>
    <x v="115"/>
    <s v="Babatunde Onuoha"/>
    <n v="32"/>
    <x v="2"/>
    <x v="0"/>
    <s v="AB+"/>
    <x v="6"/>
    <x v="2"/>
    <x v="110"/>
    <d v="2020-08-19T00:00:00"/>
    <n v="6"/>
    <s v="Ahmadu Bello University Teaching Hospital"/>
    <x v="2"/>
    <s v="Dr. Yusuf Danjuma"/>
    <x v="0"/>
    <n v="7715.62"/>
    <s v="Theophylline"/>
    <n v="7"/>
    <n v="443"/>
    <n v="24.2"/>
    <s v="Inconclusive"/>
    <x v="0"/>
  </r>
  <r>
    <x v="116"/>
    <s v="Chioma Okonkwo"/>
    <n v="89"/>
    <x v="1"/>
    <x v="1"/>
    <s v="O+"/>
    <x v="3"/>
    <x v="1"/>
    <x v="111"/>
    <d v="2022-09-21T00:00:00"/>
    <n v="4"/>
    <s v="Federal Medical Centre Owerri"/>
    <x v="3"/>
    <s v="Dr. Lanre Ogundele"/>
    <x v="0"/>
    <n v="21585.27"/>
    <s v="Enoxaparin"/>
    <n v="6"/>
    <n v="131"/>
    <n v="21.2"/>
    <s v="Abnormal"/>
    <x v="0"/>
  </r>
  <r>
    <x v="117"/>
    <s v="Esther Hassan"/>
    <n v="60"/>
    <x v="3"/>
    <x v="1"/>
    <s v="O-"/>
    <x v="6"/>
    <x v="1"/>
    <x v="112"/>
    <d v="2020-11-20T00:00:00"/>
    <n v="2"/>
    <s v="Federal Medical Centre Owerri"/>
    <x v="3"/>
    <s v="Dr. Yusuf Danjuma"/>
    <x v="4"/>
    <n v="24631.51"/>
    <s v="Prednisolone"/>
    <n v="4"/>
    <n v="146"/>
    <n v="23.5"/>
    <s v="Inconclusive"/>
    <x v="0"/>
  </r>
  <r>
    <x v="118"/>
    <s v="Adenike Adebayo"/>
    <n v="51"/>
    <x v="5"/>
    <x v="1"/>
    <s v="B-"/>
    <x v="4"/>
    <x v="1"/>
    <x v="113"/>
    <d v="2020-11-13T00:00:00"/>
    <n v="3"/>
    <s v="Ahmadu Bello University Teaching Hospital"/>
    <x v="2"/>
    <s v="Dr. Aisha Bello"/>
    <x v="2"/>
    <n v="14458.16"/>
    <s v="Ciprofloxacin"/>
    <n v="5"/>
    <n v="149"/>
    <n v="26.3"/>
    <s v="Abnormal"/>
    <x v="0"/>
  </r>
  <r>
    <x v="119"/>
    <s v="Aisha Sule"/>
    <n v="63"/>
    <x v="3"/>
    <x v="1"/>
    <s v="B-"/>
    <x v="3"/>
    <x v="1"/>
    <x v="114"/>
    <d v="2019-11-21T00:00:00"/>
    <n v="6"/>
    <s v="Federal Medical Centre Birnin Kebbi"/>
    <x v="2"/>
    <s v="Dr. Precious Obi"/>
    <x v="0"/>
    <n v="24312.29"/>
    <s v="Ondansetron"/>
    <n v="4"/>
    <n v="135"/>
    <n v="27.4"/>
    <s v="Abnormal"/>
    <x v="0"/>
  </r>
  <r>
    <x v="120"/>
    <s v="Femi Lawal"/>
    <n v="42"/>
    <x v="5"/>
    <x v="0"/>
    <s v="AB+"/>
    <x v="7"/>
    <x v="1"/>
    <x v="115"/>
    <d v="2023-08-14T00:00:00"/>
    <n v="3"/>
    <s v="Aminu Kano Teaching Hospital"/>
    <x v="2"/>
    <s v="Dr. Musa Aliyu"/>
    <x v="4"/>
    <n v="12015.58"/>
    <s v="Celecoxib"/>
    <n v="5"/>
    <n v="157"/>
    <n v="36.299999999999997"/>
    <s v="Normal"/>
    <x v="0"/>
  </r>
  <r>
    <x v="121"/>
    <s v="Zainab Davis"/>
    <n v="57"/>
    <x v="3"/>
    <x v="1"/>
    <s v="A-"/>
    <x v="5"/>
    <x v="2"/>
    <x v="116"/>
    <d v="2019-10-17T00:00:00"/>
    <n v="8"/>
    <s v="Federal Medical Centre Owerri"/>
    <x v="3"/>
    <s v="Dr. Fatima Al-Hassan"/>
    <x v="0"/>
    <n v="43219.31"/>
    <s v="Spironolactone"/>
    <n v="10"/>
    <n v="408"/>
    <n v="34.799999999999997"/>
    <s v="Abnormal"/>
    <x v="0"/>
  </r>
  <r>
    <x v="122"/>
    <s v="Oluwaseun Martin"/>
    <n v="61"/>
    <x v="3"/>
    <x v="0"/>
    <s v="A+"/>
    <x v="7"/>
    <x v="2"/>
    <x v="117"/>
    <d v="2022-09-12T00:00:00"/>
    <n v="3"/>
    <s v="Ahmadu Bello University Teaching Hospital"/>
    <x v="2"/>
    <s v="Dr. Musa Aliyu"/>
    <x v="3"/>
    <n v="28795.69"/>
    <s v="Ibuprofen"/>
    <n v="2"/>
    <n v="366"/>
    <n v="24.6"/>
    <s v="Normal"/>
    <x v="0"/>
  </r>
  <r>
    <x v="123"/>
    <s v="Nnamdi Sule"/>
    <n v="57"/>
    <x v="3"/>
    <x v="0"/>
    <s v="A-"/>
    <x v="6"/>
    <x v="2"/>
    <x v="118"/>
    <d v="2021-04-18T00:00:00"/>
    <n v="4"/>
    <s v="Federal Medical Centre Asaba"/>
    <x v="0"/>
    <s v="Dr. Halima Usman"/>
    <x v="1"/>
    <n v="19276.3"/>
    <s v="Theophylline"/>
    <n v="6"/>
    <n v="458"/>
    <n v="33.200000000000003"/>
    <s v="Abnormal"/>
    <x v="1"/>
  </r>
  <r>
    <x v="124"/>
    <s v="Kemi Bankole"/>
    <n v="74"/>
    <x v="4"/>
    <x v="1"/>
    <s v=""/>
    <x v="2"/>
    <x v="0"/>
    <x v="119"/>
    <d v="2023-11-25T00:00:00"/>
    <n v="6"/>
    <s v="Lagos University Teaching Hospital"/>
    <x v="1"/>
    <s v="Dr. Rotimi Fashola"/>
    <x v="2"/>
    <n v="131942.47"/>
    <s v="Memantine"/>
    <n v="9"/>
    <n v="366"/>
    <n v="35"/>
    <s v="Normal"/>
    <x v="0"/>
  </r>
  <r>
    <x v="125"/>
    <s v="Josephine Chukwu"/>
    <n v="40"/>
    <x v="5"/>
    <x v="1"/>
    <s v="O+"/>
    <x v="1"/>
    <x v="1"/>
    <x v="120"/>
    <m/>
    <m/>
    <s v="University College Hospital Ibadan"/>
    <x v="1"/>
    <s v="Dr. Taiwo Adeleke"/>
    <x v="0"/>
    <n v="11998.33"/>
    <s v="Sitagliptin"/>
    <n v="7"/>
    <n v="122"/>
    <n v="28.3"/>
    <s v="Abnormal"/>
    <x v="0"/>
  </r>
  <r>
    <x v="126"/>
    <s v="Chiamaka Oni"/>
    <n v="56"/>
    <x v="3"/>
    <x v="1"/>
    <s v="AB-"/>
    <x v="5"/>
    <x v="0"/>
    <x v="121"/>
    <d v="2021-05-10T00:00:00"/>
    <n v="12"/>
    <s v="Federal Medical Centre Birnin Kebbi"/>
    <x v="2"/>
    <s v="Dr. Adewale Ogundimu"/>
    <x v="0"/>
    <n v="51707.73"/>
    <s v="Amlodipine"/>
    <n v="10"/>
    <n v="345"/>
    <n v="30.4"/>
    <s v="Abnormal"/>
    <x v="0"/>
  </r>
  <r>
    <x v="127"/>
    <s v="Rotimi Chukwu"/>
    <n v="81"/>
    <x v="1"/>
    <x v="0"/>
    <s v="AB+"/>
    <x v="7"/>
    <x v="0"/>
    <x v="122"/>
    <d v="2023-03-01T00:00:00"/>
    <n v="5"/>
    <s v="Federal Medical Centre Owerri"/>
    <x v="3"/>
    <s v="Dr. Sarah Adeyemi"/>
    <x v="0"/>
    <n v="65954.759999999995"/>
    <s v="Ibuprofen"/>
    <n v="5"/>
    <n v="243"/>
    <n v="19.899999999999999"/>
    <s v="Inconclusive"/>
    <x v="0"/>
  </r>
  <r>
    <x v="128"/>
    <s v="Lanre Yakubu"/>
    <n v="63"/>
    <x v="3"/>
    <x v="0"/>
    <s v="O+"/>
    <x v="1"/>
    <x v="1"/>
    <x v="123"/>
    <d v="2022-07-19T00:00:00"/>
    <n v="3"/>
    <s v="University College Hospital Ibadan"/>
    <x v="1"/>
    <s v="Dr. Ibrahim Musa"/>
    <x v="4"/>
    <n v="11829.25"/>
    <s v="Linagliptin"/>
    <n v="8"/>
    <n v="173"/>
    <n v="34"/>
    <s v="Abnormal"/>
    <x v="0"/>
  </r>
  <r>
    <x v="129"/>
    <s v="Bashir Okeke"/>
    <n v="42"/>
    <x v="5"/>
    <x v="0"/>
    <s v="AB+"/>
    <x v="5"/>
    <x v="0"/>
    <x v="124"/>
    <d v="2024-10-30T00:00:00"/>
    <n v="12"/>
    <s v="University College Hospital Ibadan"/>
    <x v="1"/>
    <s v="Dr. Emeka Okorie"/>
    <x v="4"/>
    <n v="38284.92"/>
    <s v="Aspirin"/>
    <n v="10"/>
    <n v="386"/>
    <n v="28.4"/>
    <s v="Abnormal"/>
    <x v="0"/>
  </r>
  <r>
    <x v="130"/>
    <s v="Peter Dauda"/>
    <n v="44"/>
    <x v="5"/>
    <x v="0"/>
    <s v="AB+"/>
    <x v="0"/>
    <x v="1"/>
    <x v="125"/>
    <d v="2020-09-03T00:00:00"/>
    <n v="18"/>
    <s v="Aminu Kano Teaching Hospital"/>
    <x v="2"/>
    <s v="Dr. Babatunde Fashola"/>
    <x v="2"/>
    <n v="21886"/>
    <s v="Methotrexate"/>
    <n v="11"/>
    <n v="166"/>
    <n v="22.1"/>
    <s v="Abnormal"/>
    <x v="0"/>
  </r>
  <r>
    <x v="131"/>
    <s v="Halima Aliyu"/>
    <n v="69"/>
    <x v="4"/>
    <x v="1"/>
    <s v="AB-"/>
    <x v="5"/>
    <x v="0"/>
    <x v="126"/>
    <d v="2023-10-12T00:00:00"/>
    <n v="15"/>
    <s v="National Hospital Abuja"/>
    <x v="4"/>
    <s v="Dr. Emeka Okorie"/>
    <x v="0"/>
    <n v="71970.03"/>
    <s v="Amlodipine"/>
    <n v="9"/>
    <n v="369"/>
    <n v="31"/>
    <s v="Inconclusive"/>
    <x v="1"/>
  </r>
  <r>
    <x v="132"/>
    <s v="Mary Ajala"/>
    <n v="64"/>
    <x v="3"/>
    <x v="1"/>
    <s v="B-"/>
    <x v="3"/>
    <x v="1"/>
    <x v="127"/>
    <m/>
    <m/>
    <s v="University of Calabar Teaching Hospital"/>
    <x v="0"/>
    <s v="Dr. Precious Obi"/>
    <x v="0"/>
    <n v="20079"/>
    <s v="Morphine"/>
    <n v="6"/>
    <n v="147"/>
    <n v="32.799999999999997"/>
    <s v="Inconclusive"/>
    <x v="0"/>
  </r>
  <r>
    <x v="133"/>
    <s v="Bukola Sule"/>
    <n v="47"/>
    <x v="5"/>
    <x v="1"/>
    <s v="A+"/>
    <x v="1"/>
    <x v="1"/>
    <x v="128"/>
    <d v="2022-01-20T00:00:00"/>
    <n v="2"/>
    <s v="Ahmadu Bello University Teaching Hospital"/>
    <x v="2"/>
    <s v="Dr. Chioma Nwankwo"/>
    <x v="1"/>
    <n v="10043.61"/>
    <s v="Liraglutide"/>
    <n v="7"/>
    <n v="102"/>
    <n v="40.799999999999997"/>
    <s v="Abnormal"/>
    <x v="0"/>
  </r>
  <r>
    <x v="134"/>
    <s v="Chukwuemeka Dauda"/>
    <n v="68"/>
    <x v="4"/>
    <x v="0"/>
    <s v="B-"/>
    <x v="7"/>
    <x v="2"/>
    <x v="129"/>
    <d v="2024-03-20T00:00:00"/>
    <n v="6"/>
    <s v="Federal Medical Centre Asaba"/>
    <x v="0"/>
    <s v="Dr. Chukwuemeka Nwosu"/>
    <x v="0"/>
    <n v="24006.21"/>
    <s v="Tramadol"/>
    <n v="6"/>
    <n v="226"/>
    <n v="31"/>
    <s v="Abnormal"/>
    <x v="0"/>
  </r>
  <r>
    <x v="135"/>
    <s v="Rukayat Abubakar"/>
    <n v="58"/>
    <x v="3"/>
    <x v="1"/>
    <s v="A+"/>
    <x v="2"/>
    <x v="0"/>
    <x v="130"/>
    <d v="2024-02-06T00:00:00"/>
    <n v="8"/>
    <s v="Lagos University Teaching Hospital"/>
    <x v="1"/>
    <s v="Dr. Rotimi Fashola"/>
    <x v="1"/>
    <n v="97861"/>
    <s v="Aspirin"/>
    <n v="8"/>
    <n v="388"/>
    <n v="22.9"/>
    <s v="Normal"/>
    <x v="0"/>
  </r>
  <r>
    <x v="136"/>
    <s v="Miriam Wilson"/>
    <n v="37"/>
    <x v="5"/>
    <x v="1"/>
    <s v="B+"/>
    <x v="5"/>
    <x v="1"/>
    <x v="131"/>
    <d v="2021-10-31T00:00:00"/>
    <n v="13"/>
    <s v="Bowen University Teaching Hospital"/>
    <x v="1"/>
    <s v="Dr. Emeka Okorie"/>
    <x v="1"/>
    <n v="50556"/>
    <s v="Metoprolol"/>
    <n v="8"/>
    <n v="135"/>
    <n v="28.1"/>
    <s v="Abnormal"/>
    <x v="0"/>
  </r>
  <r>
    <x v="137"/>
    <s v="Nnamdi Oni"/>
    <n v="62"/>
    <x v="3"/>
    <x v="0"/>
    <s v="AB-"/>
    <x v="5"/>
    <x v="1"/>
    <x v="132"/>
    <d v="2023-02-08T00:00:00"/>
    <n v="8"/>
    <s v="Lagos University Teaching Hospital"/>
    <x v="1"/>
    <s v="Dr. Fatima Al-Hassan"/>
    <x v="1"/>
    <n v="61688.97"/>
    <s v="Amlodipine"/>
    <n v="8"/>
    <n v="105"/>
    <n v="29.7"/>
    <s v="Abnormal"/>
    <x v="0"/>
  </r>
  <r>
    <x v="138"/>
    <s v="Bashir Taylor"/>
    <n v="56"/>
    <x v="3"/>
    <x v="0"/>
    <s v="O+"/>
    <x v="5"/>
    <x v="0"/>
    <x v="133"/>
    <d v="2019-10-31T00:00:00"/>
    <n v="13"/>
    <s v="Federal Medical Centre Birnin Kebbi"/>
    <x v="2"/>
    <s v="Dr. Fatima Al-Hassan"/>
    <x v="1"/>
    <n v="106126.12"/>
    <s v="Furosemide"/>
    <n v="9"/>
    <n v="372"/>
    <n v="28"/>
    <s v="Abnormal"/>
    <x v="1"/>
  </r>
  <r>
    <x v="139"/>
    <s v="Samuel Martin"/>
    <n v="53"/>
    <x v="5"/>
    <x v="0"/>
    <s v="AB+"/>
    <x v="1"/>
    <x v="1"/>
    <x v="134"/>
    <d v="2022-10-20T00:00:00"/>
    <n v="6"/>
    <s v="National Hospital Abuja"/>
    <x v="4"/>
    <s v="Dr. Taiwo Adeleke"/>
    <x v="0"/>
    <n v="15201.37"/>
    <s v="Empagliflozin"/>
    <n v="8"/>
    <n v="157"/>
    <n v="26.1"/>
    <s v="Normal"/>
    <x v="0"/>
  </r>
  <r>
    <x v="140"/>
    <s v="Rukayat Okafor"/>
    <n v="6"/>
    <x v="0"/>
    <x v="1"/>
    <s v="B-"/>
    <x v="6"/>
    <x v="1"/>
    <x v="135"/>
    <d v="2022-02-13T00:00:00"/>
    <n v="9"/>
    <s v="Ahmadu Bello University Teaching Hospital"/>
    <x v="2"/>
    <s v="Dr. Ngozi Eze-Williams"/>
    <x v="0"/>
    <n v="8968.61"/>
    <s v="Montelukast"/>
    <n v="6"/>
    <n v="141"/>
    <n v="25.9"/>
    <s v="Abnormal"/>
    <x v="0"/>
  </r>
  <r>
    <x v="141"/>
    <s v="Rukayat Musa"/>
    <n v="66"/>
    <x v="4"/>
    <x v="1"/>
    <s v="B+"/>
    <x v="7"/>
    <x v="3"/>
    <x v="136"/>
    <d v="2022-04-10T00:00:00"/>
    <n v="3"/>
    <s v="Federal Medical Centre Birnin Kebbi"/>
    <x v="2"/>
    <s v="Dr. Sarah Adeyemi"/>
    <x v="4"/>
    <n v="17536.03"/>
    <s v="Celecoxib"/>
    <n v="6"/>
    <n v="213"/>
    <n v="27.5"/>
    <s v="Abnormal"/>
    <x v="0"/>
  </r>
  <r>
    <x v="142"/>
    <s v="Kunle Garba"/>
    <n v="74"/>
    <x v="4"/>
    <x v="0"/>
    <s v="A-"/>
    <x v="3"/>
    <x v="1"/>
    <x v="137"/>
    <d v="2019-07-27T00:00:00"/>
    <n v="6"/>
    <s v="Federal Medical Centre Asaba"/>
    <x v="0"/>
    <s v="Dr. Lanre Ogundele"/>
    <x v="0"/>
    <n v="37891"/>
    <s v="Morphine"/>
    <n v="6"/>
    <n v="141"/>
    <n v="19.3"/>
    <s v="Normal"/>
    <x v="0"/>
  </r>
  <r>
    <x v="143"/>
    <s v="Babatunde Bello"/>
    <n v="58"/>
    <x v="3"/>
    <x v="0"/>
    <s v=""/>
    <x v="1"/>
    <x v="1"/>
    <x v="138"/>
    <d v="2020-08-21T00:00:00"/>
    <n v="1"/>
    <s v="Bowen University Teaching Hospital"/>
    <x v="1"/>
    <s v="Dr. Ibrahim Musa"/>
    <x v="1"/>
    <n v="19052.32"/>
    <s v="Empagliflozin"/>
    <n v="8"/>
    <n v="139"/>
    <n v="37.1"/>
    <s v="Inconclusive"/>
    <x v="0"/>
  </r>
  <r>
    <x v="144"/>
    <s v="Ruth Davis"/>
    <n v="51"/>
    <x v="5"/>
    <x v="1"/>
    <s v="O+"/>
    <x v="1"/>
    <x v="1"/>
    <x v="139"/>
    <d v="2024-11-29T00:00:00"/>
    <n v="2"/>
    <s v="University College Hospital Ibadan"/>
    <x v="1"/>
    <s v="Dr. Chioma Nwankwo"/>
    <x v="1"/>
    <n v="8887.06"/>
    <s v="Linagliptin"/>
    <n v="8"/>
    <n v="112"/>
    <n v="38"/>
    <s v="Inconclusive"/>
    <x v="1"/>
  </r>
  <r>
    <x v="145"/>
    <s v="Babatunde Musa"/>
    <n v="49"/>
    <x v="5"/>
    <x v="0"/>
    <s v="AB-"/>
    <x v="5"/>
    <x v="1"/>
    <x v="140"/>
    <d v="2021-12-21T00:00:00"/>
    <n v="9"/>
    <s v="University of Calabar Teaching Hospital"/>
    <x v="0"/>
    <s v="Dr. Fatima Al-Hassan"/>
    <x v="0"/>
    <n v="31480.07"/>
    <s v="Metoprolol"/>
    <n v="10"/>
    <n v="193"/>
    <n v="21.8"/>
    <s v="Inconclusive"/>
    <x v="0"/>
  </r>
  <r>
    <x v="146"/>
    <s v="Mary Bello"/>
    <n v="42"/>
    <x v="5"/>
    <x v="1"/>
    <s v="O+"/>
    <x v="0"/>
    <x v="1"/>
    <x v="141"/>
    <d v="2021-04-22T00:00:00"/>
    <n v="14"/>
    <s v="Bowen University Teaching Hospital"/>
    <x v="1"/>
    <s v="Dr. Babatunde Fashola"/>
    <x v="4"/>
    <n v="58364.95"/>
    <s v="Trastuzumab"/>
    <n v="10"/>
    <n v="181"/>
    <n v="28.8"/>
    <s v="Abnormal"/>
    <x v="0"/>
  </r>
  <r>
    <x v="147"/>
    <s v="Kunle Smith"/>
    <n v="54"/>
    <x v="5"/>
    <x v="0"/>
    <s v="B-"/>
    <x v="5"/>
    <x v="0"/>
    <x v="142"/>
    <d v="2024-04-18T00:00:00"/>
    <n v="14"/>
    <s v="Lagos University Teaching Hospital"/>
    <x v="1"/>
    <s v="Dr. Adewale Ogundimu"/>
    <x v="4"/>
    <n v="51157.98"/>
    <s v="Metoprolol"/>
    <n v="10"/>
    <n v="356"/>
    <n v="32.9"/>
    <s v="Inconclusive"/>
    <x v="0"/>
  </r>
  <r>
    <x v="148"/>
    <s v="Mariam Abubakar"/>
    <n v="47"/>
    <x v="5"/>
    <x v="1"/>
    <s v="AB+"/>
    <x v="1"/>
    <x v="2"/>
    <x v="143"/>
    <d v="2019-06-11T00:00:00"/>
    <n v="4"/>
    <s v="Federal Medical Centre Birnin Kebbi"/>
    <x v="2"/>
    <s v="Dr. Taiwo Adeleke"/>
    <x v="1"/>
    <n v="16818.310000000001"/>
    <s v="Dapagliflozin"/>
    <n v="8"/>
    <n v="336"/>
    <n v="36.799999999999997"/>
    <s v="Abnormal"/>
    <x v="0"/>
  </r>
  <r>
    <x v="149"/>
    <s v="Elizabeth Nwosu"/>
    <n v="89"/>
    <x v="1"/>
    <x v="1"/>
    <s v="A-"/>
    <x v="7"/>
    <x v="2"/>
    <x v="144"/>
    <m/>
    <m/>
    <s v="National Hospital Abuja"/>
    <x v="4"/>
    <s v="Dr. Sarah Adeyemi"/>
    <x v="0"/>
    <n v="25606.44"/>
    <s v="Enoxaparin"/>
    <n v="6"/>
    <n v="330"/>
    <n v="25.2"/>
    <s v="Normal"/>
    <x v="0"/>
  </r>
  <r>
    <x v="150"/>
    <s v="Taiwo Ogbonna"/>
    <n v="73"/>
    <x v="4"/>
    <x v="1"/>
    <s v="A+"/>
    <x v="7"/>
    <x v="1"/>
    <x v="145"/>
    <d v="2020-08-09T00:00:00"/>
    <n v="2"/>
    <s v="Lagos University Teaching Hospital"/>
    <x v="1"/>
    <s v="Dr. Chukwuemeka Nwosu"/>
    <x v="1"/>
    <n v="28951.87"/>
    <s v="Tramadol"/>
    <n v="4"/>
    <n v="130"/>
    <n v="33.200000000000003"/>
    <s v="Abnormal"/>
    <x v="0"/>
  </r>
  <r>
    <x v="151"/>
    <s v="Abdullahi Davis"/>
    <n v="65"/>
    <x v="4"/>
    <x v="0"/>
    <s v="AB+"/>
    <x v="1"/>
    <x v="1"/>
    <x v="146"/>
    <d v="2019-06-05T00:00:00"/>
    <n v="5"/>
    <s v="Ahmadu Bello University Teaching Hospital"/>
    <x v="2"/>
    <s v="Dr. Taiwo Adeleke"/>
    <x v="0"/>
    <n v="10282.08"/>
    <s v="Liraglutide"/>
    <n v="6"/>
    <n v="108"/>
    <m/>
    <s v="Normal"/>
    <x v="0"/>
  </r>
  <r>
    <x v="152"/>
    <s v="Michael Ajala"/>
    <n v="43"/>
    <x v="5"/>
    <x v="0"/>
    <s v="B+"/>
    <x v="1"/>
    <x v="2"/>
    <x v="147"/>
    <d v="2024-12-11T00:00:00"/>
    <n v="5"/>
    <s v="Ahmadu Bello University Teaching Hospital"/>
    <x v="2"/>
    <s v="Dr. Ibrahim Musa"/>
    <x v="1"/>
    <n v="12026.82"/>
    <s v="Linagliptin"/>
    <n v="4"/>
    <n v="462"/>
    <n v="20.399999999999999"/>
    <s v="Inconclusive"/>
    <x v="0"/>
  </r>
  <r>
    <x v="153"/>
    <s v="Sarah Osagie"/>
    <n v="68"/>
    <x v="4"/>
    <x v="1"/>
    <s v="B+"/>
    <x v="1"/>
    <x v="0"/>
    <x v="148"/>
    <d v="2021-04-10T00:00:00"/>
    <n v="6"/>
    <s v="Bowen University Teaching Hospital"/>
    <x v="1"/>
    <s v="Dr. Taiwo Adeleke"/>
    <x v="1"/>
    <n v="27802.15"/>
    <s v="Dapagliflozin"/>
    <n v="8"/>
    <n v="444"/>
    <m/>
    <s v="Normal"/>
    <x v="0"/>
  </r>
  <r>
    <x v="154"/>
    <s v="Rachel Salami"/>
    <n v="49"/>
    <x v="5"/>
    <x v="1"/>
    <s v="AB-"/>
    <x v="5"/>
    <x v="0"/>
    <x v="123"/>
    <d v="2022-07-23T00:00:00"/>
    <n v="7"/>
    <s v="Federal Medical Centre Asaba"/>
    <x v="0"/>
    <s v="Dr. Emeka Okorie"/>
    <x v="3"/>
    <n v="79246.37"/>
    <s v="Atorvastatin"/>
    <n v="9"/>
    <n v="363"/>
    <n v="20.6"/>
    <s v="Abnormal"/>
    <x v="0"/>
  </r>
  <r>
    <x v="155"/>
    <s v="Oluwaseun Okeke"/>
    <n v="57"/>
    <x v="3"/>
    <x v="0"/>
    <s v="A+"/>
    <x v="6"/>
    <x v="2"/>
    <x v="47"/>
    <d v="2022-12-01T00:00:00"/>
    <n v="7"/>
    <s v="Aminu Kano Teaching Hospital"/>
    <x v="2"/>
    <s v="Dr. Ngozi Eze-Williams"/>
    <x v="4"/>
    <n v="19014.830000000002"/>
    <s v="Prednisolone"/>
    <n v="1"/>
    <n v="404"/>
    <n v="26.4"/>
    <s v="Normal"/>
    <x v="0"/>
  </r>
  <r>
    <x v="156"/>
    <s v="Gbenga Wilson"/>
    <n v="69"/>
    <x v="4"/>
    <x v="0"/>
    <s v="AB-"/>
    <x v="5"/>
    <x v="0"/>
    <x v="149"/>
    <d v="2020-05-08T00:00:00"/>
    <n v="12"/>
    <s v="Bowen University Teaching Hospital"/>
    <x v="1"/>
    <s v="Dr. Adewale Ogundimu"/>
    <x v="0"/>
    <n v="43557.39"/>
    <s v="Furosemide"/>
    <n v="10"/>
    <n v="360"/>
    <m/>
    <s v="Abnormal"/>
    <x v="0"/>
  </r>
  <r>
    <x v="157"/>
    <s v="Elizabeth Davis"/>
    <n v="64"/>
    <x v="3"/>
    <x v="1"/>
    <s v="AB+"/>
    <x v="5"/>
    <x v="1"/>
    <x v="150"/>
    <d v="2024-03-29T00:00:00"/>
    <n v="7"/>
    <s v="Bowen University Teaching Hospital"/>
    <x v="1"/>
    <s v="Dr. Emeka Okorie"/>
    <x v="2"/>
    <n v="54380.4"/>
    <s v="Digoxin"/>
    <n v="8"/>
    <n v="185"/>
    <n v="22.5"/>
    <s v="Abnormal"/>
    <x v="0"/>
  </r>
  <r>
    <x v="158"/>
    <s v="Samuel Bankole"/>
    <n v="21"/>
    <x v="2"/>
    <x v="0"/>
    <s v="O+"/>
    <x v="1"/>
    <x v="0"/>
    <x v="151"/>
    <d v="2020-03-18T00:00:00"/>
    <n v="4"/>
    <s v="Bowen University Teaching Hospital"/>
    <x v="1"/>
    <s v="Dr. Taiwo Adeleke"/>
    <x v="1"/>
    <n v="16447.900000000001"/>
    <s v="Liraglutide"/>
    <n v="6"/>
    <n v="378"/>
    <n v="35"/>
    <s v="Abnormal"/>
    <x v="0"/>
  </r>
  <r>
    <x v="159"/>
    <s v="Samuel Abubakar"/>
    <n v="72"/>
    <x v="4"/>
    <x v="0"/>
    <s v="B+"/>
    <x v="7"/>
    <x v="0"/>
    <x v="152"/>
    <d v="2020-03-28T00:00:00"/>
    <n v="7"/>
    <s v="Aminu Kano Teaching Hospital"/>
    <x v="2"/>
    <s v="Dr. Chukwuemeka Nwosu"/>
    <x v="0"/>
    <n v="36033"/>
    <s v="Calcium"/>
    <n v="5"/>
    <n v="372"/>
    <m/>
    <s v="Inconclusive"/>
    <x v="0"/>
  </r>
  <r>
    <x v="160"/>
    <s v="Gbenga Garba"/>
    <n v="84"/>
    <x v="1"/>
    <x v="0"/>
    <s v="B+"/>
    <x v="5"/>
    <x v="1"/>
    <x v="153"/>
    <d v="2020-06-10T00:00:00"/>
    <n v="4"/>
    <s v="Bowen University Teaching Hospital"/>
    <x v="1"/>
    <s v="Dr. Adewale Ogundimu"/>
    <x v="3"/>
    <n v="74012.320000000007"/>
    <s v="Atorvastatin"/>
    <n v="8"/>
    <n v="118"/>
    <n v="40.4"/>
    <s v="Abnormal"/>
    <x v="1"/>
  </r>
  <r>
    <x v="161"/>
    <s v="Mary Davis"/>
    <n v="31"/>
    <x v="2"/>
    <x v="1"/>
    <s v="AB-"/>
    <x v="3"/>
    <x v="1"/>
    <x v="154"/>
    <d v="2021-07-16T00:00:00"/>
    <n v="3"/>
    <s v="University of Calabar Teaching Hospital"/>
    <x v="0"/>
    <s v="Dr. Lanre Ogundele"/>
    <x v="4"/>
    <n v="17162.060000000001"/>
    <s v="Paracetamol"/>
    <n v="4"/>
    <n v="188"/>
    <n v="30.6"/>
    <s v="Abnormal"/>
    <x v="1"/>
  </r>
  <r>
    <x v="162"/>
    <s v="Musa Ajala"/>
    <n v="69"/>
    <x v="4"/>
    <x v="0"/>
    <s v="O-"/>
    <x v="4"/>
    <x v="1"/>
    <x v="155"/>
    <d v="2019-11-19T00:00:00"/>
    <n v="3"/>
    <s v="National Hospital Abuja"/>
    <x v="4"/>
    <s v="Dr. Segun Banke"/>
    <x v="0"/>
    <n v="12664.74"/>
    <s v="Mesalazine"/>
    <n v="4"/>
    <n v="138"/>
    <n v="16.5"/>
    <s v="Normal"/>
    <x v="0"/>
  </r>
  <r>
    <x v="163"/>
    <s v="Tolulope Davis"/>
    <n v="36"/>
    <x v="5"/>
    <x v="1"/>
    <s v="B-"/>
    <x v="1"/>
    <x v="2"/>
    <x v="156"/>
    <d v="2022-02-17T00:00:00"/>
    <n v="5"/>
    <s v="Aminu Kano Teaching Hospital"/>
    <x v="2"/>
    <s v="Dr. Chioma Nwankwo"/>
    <x v="0"/>
    <n v="7256"/>
    <s v="Liraglutide"/>
    <n v="8"/>
    <n v="116"/>
    <n v="25.4"/>
    <s v="Abnormal"/>
    <x v="0"/>
  </r>
  <r>
    <x v="164"/>
    <s v="Sarah Ogbonna"/>
    <n v="50"/>
    <x v="5"/>
    <x v="1"/>
    <s v=""/>
    <x v="3"/>
    <x v="1"/>
    <x v="157"/>
    <d v="2022-11-16T00:00:00"/>
    <n v="2"/>
    <s v="Aminu Kano Teaching Hospital"/>
    <x v="2"/>
    <s v="Dr. Lanre Ogundele"/>
    <x v="1"/>
    <n v="25986.44"/>
    <s v="Ondansetron"/>
    <n v="5"/>
    <n v="148"/>
    <n v="23.5"/>
    <s v="Abnormal"/>
    <x v="0"/>
  </r>
  <r>
    <x v="165"/>
    <s v="Mary Davis"/>
    <n v="86"/>
    <x v="1"/>
    <x v="1"/>
    <s v="A+"/>
    <x v="5"/>
    <x v="0"/>
    <x v="158"/>
    <d v="2023-04-06T00:00:00"/>
    <n v="13"/>
    <s v="Federal Medical Centre Owerri"/>
    <x v="3"/>
    <s v="Dr. Fatima Al-Hassan"/>
    <x v="0"/>
    <n v="146877.07"/>
    <s v="Aspirin"/>
    <n v="8"/>
    <n v="357"/>
    <n v="14"/>
    <s v="Abnormal"/>
    <x v="0"/>
  </r>
  <r>
    <x v="166"/>
    <s v="Hauwa Smith"/>
    <n v="65"/>
    <x v="4"/>
    <x v="1"/>
    <s v="A+"/>
    <x v="5"/>
    <x v="0"/>
    <x v="159"/>
    <d v="2021-06-02T00:00:00"/>
    <n v="11"/>
    <s v="National Hospital Abuja"/>
    <x v="4"/>
    <s v="Dr. Emeka Okorie"/>
    <x v="0"/>
    <n v="60657.66"/>
    <s v="Aspirin"/>
    <n v="9"/>
    <n v="308"/>
    <n v="30.4"/>
    <s v="Abnormal"/>
    <x v="0"/>
  </r>
  <r>
    <x v="167"/>
    <s v="David Aliyu"/>
    <n v="57"/>
    <x v="3"/>
    <x v="0"/>
    <s v="O+"/>
    <x v="5"/>
    <x v="0"/>
    <x v="160"/>
    <m/>
    <m/>
    <s v="National Hospital Abuja"/>
    <x v="4"/>
    <s v="Dr. Fatima Al-Hassan"/>
    <x v="3"/>
    <n v="66141.47"/>
    <s v="Metoprolol"/>
    <n v="9"/>
    <n v="308"/>
    <n v="36.200000000000003"/>
    <s v="Abnormal"/>
    <x v="0"/>
  </r>
  <r>
    <x v="168"/>
    <s v="Lanre Salami"/>
    <n v="90"/>
    <x v="1"/>
    <x v="0"/>
    <s v="O-"/>
    <x v="3"/>
    <x v="1"/>
    <x v="161"/>
    <d v="2023-02-15T00:00:00"/>
    <n v="10"/>
    <s v="Federal Medical Centre Asaba"/>
    <x v="0"/>
    <s v="Dr. Precious Obi"/>
    <x v="0"/>
    <n v="34347"/>
    <s v="Morphine"/>
    <n v="6"/>
    <n v="156"/>
    <n v="24"/>
    <s v="Normal"/>
    <x v="0"/>
  </r>
  <r>
    <x v="169"/>
    <s v="Gbenga Dauda"/>
    <n v="72"/>
    <x v="4"/>
    <x v="0"/>
    <s v="A+"/>
    <x v="7"/>
    <x v="0"/>
    <x v="162"/>
    <d v="2019-06-28T00:00:00"/>
    <n v="3"/>
    <s v="Aminu Kano Teaching Hospital"/>
    <x v="2"/>
    <s v="Dr. Sarah Adeyemi"/>
    <x v="3"/>
    <n v="91946.31"/>
    <s v="Tramadol"/>
    <n v="2"/>
    <n v="123"/>
    <n v="24.7"/>
    <s v="Inconclusive"/>
    <x v="1"/>
  </r>
  <r>
    <x v="170"/>
    <s v="Taiwo Brown"/>
    <n v="78"/>
    <x v="1"/>
    <x v="1"/>
    <s v="O+"/>
    <x v="0"/>
    <x v="1"/>
    <x v="163"/>
    <d v="2019-04-10T00:00:00"/>
    <n v="18"/>
    <s v="National Hospital Abuja"/>
    <x v="4"/>
    <s v="Dr. Babatunde Fashola"/>
    <x v="0"/>
    <n v="64893.599999999999"/>
    <s v="Ondansetron"/>
    <n v="7"/>
    <n v="156"/>
    <n v="21.1"/>
    <s v="Normal"/>
    <x v="0"/>
  </r>
  <r>
    <x v="171"/>
    <s v="Ngozi Dauda"/>
    <n v="71"/>
    <x v="4"/>
    <x v="1"/>
    <s v="O-"/>
    <x v="2"/>
    <x v="1"/>
    <x v="164"/>
    <d v="2022-03-14T00:00:00"/>
    <n v="6"/>
    <s v="Lagos University Teaching Hospital"/>
    <x v="1"/>
    <s v="Dr. Olumide Abiodun"/>
    <x v="0"/>
    <n v="40317.480000000003"/>
    <s v="Aspirin"/>
    <n v="7"/>
    <n v="180"/>
    <n v="24.8"/>
    <s v="Normal"/>
    <x v="1"/>
  </r>
  <r>
    <x v="172"/>
    <s v="Josephine Oni"/>
    <n v="51"/>
    <x v="5"/>
    <x v="1"/>
    <s v="B+"/>
    <x v="0"/>
    <x v="1"/>
    <x v="165"/>
    <d v="2021-03-11T00:00:00"/>
    <n v="7"/>
    <s v="Aminu Kano Teaching Hospital"/>
    <x v="2"/>
    <s v="Dr. Amara Osei"/>
    <x v="1"/>
    <n v="29627.08"/>
    <s v="Filgrastim"/>
    <n v="9"/>
    <n v="114"/>
    <n v="23.2"/>
    <s v="Abnormal"/>
    <x v="0"/>
  </r>
  <r>
    <x v="173"/>
    <s v="Tunde Abubakar"/>
    <n v="60"/>
    <x v="3"/>
    <x v="0"/>
    <s v="B-"/>
    <x v="0"/>
    <x v="1"/>
    <x v="166"/>
    <d v="2021-06-27T00:00:00"/>
    <n v="5"/>
    <s v="Ahmadu Bello University Teaching Hospital"/>
    <x v="2"/>
    <s v="Dr. Amara Osei"/>
    <x v="1"/>
    <n v="57761.38"/>
    <s v="Bevacizumab"/>
    <n v="12"/>
    <n v="107"/>
    <n v="27.4"/>
    <s v="Normal"/>
    <x v="0"/>
  </r>
  <r>
    <x v="174"/>
    <s v="Taiwo Wilson"/>
    <n v="68"/>
    <x v="4"/>
    <x v="1"/>
    <s v="A+"/>
    <x v="1"/>
    <x v="0"/>
    <x v="167"/>
    <d v="2023-08-22T00:00:00"/>
    <n v="8"/>
    <s v="University College Hospital Ibadan"/>
    <x v="1"/>
    <s v="Dr. Ibrahim Musa"/>
    <x v="1"/>
    <n v="22352.29"/>
    <s v="Empagliflozin"/>
    <n v="8"/>
    <n v="120"/>
    <n v="33.1"/>
    <s v="Abnormal"/>
    <x v="0"/>
  </r>
  <r>
    <x v="175"/>
    <s v="Ifeanyi Nwosu"/>
    <n v="56"/>
    <x v="3"/>
    <x v="0"/>
    <s v="O+"/>
    <x v="1"/>
    <x v="0"/>
    <x v="168"/>
    <d v="2023-01-13T00:00:00"/>
    <n v="5"/>
    <s v="Lagos University Teaching Hospital"/>
    <x v="1"/>
    <s v="Dr. Taiwo Adeleke"/>
    <x v="1"/>
    <n v="30277.38"/>
    <s v="Metformin"/>
    <n v="8"/>
    <n v="420"/>
    <n v="22.6"/>
    <s v="Inconclusive"/>
    <x v="0"/>
  </r>
  <r>
    <x v="176"/>
    <s v="Uche Garba"/>
    <n v="85"/>
    <x v="1"/>
    <x v="0"/>
    <s v="A-"/>
    <x v="5"/>
    <x v="1"/>
    <x v="169"/>
    <d v="2024-08-11T00:00:00"/>
    <n v="6"/>
    <s v="Federal Medical Centre Birnin Kebbi"/>
    <x v="2"/>
    <s v="Dr. Fatima Al-Hassan"/>
    <x v="1"/>
    <n v="61125.16"/>
    <s v="Amlodipine"/>
    <n v="10"/>
    <n v="174"/>
    <n v="30.4"/>
    <s v="Abnormal"/>
    <x v="0"/>
  </r>
  <r>
    <x v="177"/>
    <s v="Mary Adeleke"/>
    <n v="59"/>
    <x v="3"/>
    <x v="1"/>
    <s v="O+"/>
    <x v="2"/>
    <x v="1"/>
    <x v="170"/>
    <d v="2020-05-23T00:00:00"/>
    <n v="6"/>
    <s v="Bowen University Teaching Hospital"/>
    <x v="1"/>
    <s v="Dr. Zainab Sule"/>
    <x v="4"/>
    <n v="43822.78"/>
    <s v="Phenytoin"/>
    <n v="8"/>
    <n v="109"/>
    <n v="19"/>
    <s v="Abnormal"/>
    <x v="0"/>
  </r>
  <r>
    <x v="178"/>
    <s v="Ngozi Okonkwo"/>
    <n v="91"/>
    <x v="1"/>
    <x v="1"/>
    <s v="B+"/>
    <x v="1"/>
    <x v="1"/>
    <x v="171"/>
    <d v="2019-03-31T00:00:00"/>
    <n v="2"/>
    <s v="University of Calabar Teaching Hospital"/>
    <x v="0"/>
    <s v="Dr. Taiwo Adeleke"/>
    <x v="3"/>
    <n v="31151.5"/>
    <s v="Linagliptin"/>
    <n v="7"/>
    <n v="121"/>
    <n v="22"/>
    <s v="Abnormal"/>
    <x v="0"/>
  </r>
  <r>
    <x v="179"/>
    <s v="Samuel Bankole"/>
    <n v="79"/>
    <x v="1"/>
    <x v="0"/>
    <s v="B+"/>
    <x v="6"/>
    <x v="2"/>
    <x v="172"/>
    <d v="2020-09-23T00:00:00"/>
    <n v="3"/>
    <s v="University College Hospital Ibadan"/>
    <x v="1"/>
    <s v="Dr. Yusuf Danjuma"/>
    <x v="1"/>
    <n v="32452.35"/>
    <s v="Theophylline"/>
    <n v="7"/>
    <n v="112"/>
    <n v="36.1"/>
    <s v="Abnormal"/>
    <x v="0"/>
  </r>
  <r>
    <x v="180"/>
    <s v="Rachel Lawan"/>
    <n v="55"/>
    <x v="3"/>
    <x v="1"/>
    <s v="A+"/>
    <x v="1"/>
    <x v="3"/>
    <x v="173"/>
    <d v="2020-02-09T00:00:00"/>
    <n v="8"/>
    <s v="Federal Medical Centre Owerri"/>
    <x v="3"/>
    <s v="Dr. Ibrahim Musa"/>
    <x v="4"/>
    <n v="13085.49"/>
    <s v="Insulin Glargine"/>
    <n v="7"/>
    <n v="398"/>
    <n v="35.4"/>
    <s v="Abnormal"/>
    <x v="0"/>
  </r>
  <r>
    <x v="181"/>
    <s v="Halima Lawan"/>
    <n v="32"/>
    <x v="2"/>
    <x v="1"/>
    <s v="O+"/>
    <x v="5"/>
    <x v="2"/>
    <x v="174"/>
    <d v="2023-01-26T00:00:00"/>
    <n v="8"/>
    <s v="Aminu Kano Teaching Hospital"/>
    <x v="2"/>
    <s v="Dr. Emeka Okorie"/>
    <x v="0"/>
    <n v="24224.21"/>
    <s v="Amlodipine"/>
    <n v="9"/>
    <n v="472"/>
    <n v="37.1"/>
    <s v="Abnormal"/>
    <x v="0"/>
  </r>
  <r>
    <x v="182"/>
    <s v="Gbenga Onuoha"/>
    <n v="66"/>
    <x v="4"/>
    <x v="0"/>
    <s v="A+"/>
    <x v="5"/>
    <x v="1"/>
    <x v="27"/>
    <d v="2024-11-13T00:00:00"/>
    <n v="4"/>
    <s v="University of Calabar Teaching Hospital"/>
    <x v="0"/>
    <s v="Dr. Adewale Ogundimu"/>
    <x v="3"/>
    <n v="50060.4"/>
    <s v="Metoprolol"/>
    <n v="7"/>
    <n v="181"/>
    <n v="23.7"/>
    <s v="Inconclusive"/>
    <x v="0"/>
  </r>
  <r>
    <x v="183"/>
    <s v="Funke Adeyemi"/>
    <n v="62"/>
    <x v="3"/>
    <x v="1"/>
    <s v="B+"/>
    <x v="4"/>
    <x v="1"/>
    <x v="175"/>
    <d v="2023-01-24T00:00:00"/>
    <n v="3"/>
    <s v="Federal Medical Centre Owerri"/>
    <x v="3"/>
    <s v="Dr. Segun Banke"/>
    <x v="4"/>
    <n v="10872.45"/>
    <s v="Loperamide"/>
    <n v="5"/>
    <n v="117"/>
    <n v="30"/>
    <s v="Abnormal"/>
    <x v="0"/>
  </r>
  <r>
    <x v="184"/>
    <s v="John Wilson"/>
    <n v="76"/>
    <x v="1"/>
    <x v="0"/>
    <s v="O+"/>
    <x v="0"/>
    <x v="2"/>
    <x v="8"/>
    <d v="2020-12-02T00:00:00"/>
    <n v="17"/>
    <s v="University of Calabar Teaching Hospital"/>
    <x v="0"/>
    <s v="Dr. Amara Osei"/>
    <x v="0"/>
    <n v="113797"/>
    <s v="Letrozole"/>
    <n v="10"/>
    <n v="179"/>
    <n v="25"/>
    <s v="Abnormal"/>
    <x v="1"/>
  </r>
  <r>
    <x v="185"/>
    <s v="Blessing Osagie"/>
    <n v="73"/>
    <x v="4"/>
    <x v="1"/>
    <s v="B+"/>
    <x v="0"/>
    <x v="0"/>
    <x v="176"/>
    <d v="2022-12-12T00:00:00"/>
    <n v="15"/>
    <s v="National Hospital Abuja"/>
    <x v="4"/>
    <s v="Dr. Babatunde Fashola"/>
    <x v="0"/>
    <n v="220955.54"/>
    <s v="Carboplatin"/>
    <n v="10"/>
    <n v="166"/>
    <n v="28.9"/>
    <s v="Normal"/>
    <x v="1"/>
  </r>
  <r>
    <x v="186"/>
    <s v="Fatima Okeke"/>
    <n v="17"/>
    <x v="0"/>
    <x v="1"/>
    <s v="B-"/>
    <x v="5"/>
    <x v="2"/>
    <x v="177"/>
    <d v="2024-11-16T00:00:00"/>
    <n v="15"/>
    <s v="University of Calabar Teaching Hospital"/>
    <x v="0"/>
    <s v="Dr. Adewale Ogundimu"/>
    <x v="1"/>
    <n v="24665"/>
    <s v="Furosemide"/>
    <n v="9"/>
    <n v="396"/>
    <n v="34.700000000000003"/>
    <s v="Inconclusive"/>
    <x v="0"/>
  </r>
  <r>
    <x v="187"/>
    <s v="Emeka Aliyu"/>
    <n v="52"/>
    <x v="5"/>
    <x v="0"/>
    <s v="AB+"/>
    <x v="3"/>
    <x v="1"/>
    <x v="178"/>
    <d v="2020-03-19T00:00:00"/>
    <n v="4"/>
    <s v="Aminu Kano Teaching Hospital"/>
    <x v="2"/>
    <s v="Dr. Kemi Adeyemi"/>
    <x v="4"/>
    <n v="14550"/>
    <s v="Amoxicillin"/>
    <n v="6"/>
    <n v="110"/>
    <n v="26.6"/>
    <s v="Normal"/>
    <x v="0"/>
  </r>
  <r>
    <x v="188"/>
    <s v="Michael Okonkwo"/>
    <n v="62"/>
    <x v="3"/>
    <x v="0"/>
    <s v="B-"/>
    <x v="0"/>
    <x v="2"/>
    <x v="179"/>
    <d v="2023-02-27T00:00:00"/>
    <n v="13"/>
    <s v="Federal Medical Centre Asaba"/>
    <x v="0"/>
    <s v="Dr. Babatunde Fashola"/>
    <x v="0"/>
    <n v="33677.53"/>
    <s v="Paclitaxel"/>
    <n v="12"/>
    <n v="317"/>
    <n v="25.4"/>
    <s v="Normal"/>
    <x v="0"/>
  </r>
  <r>
    <x v="189"/>
    <s v="James Dauda"/>
    <n v="47"/>
    <x v="5"/>
    <x v="0"/>
    <s v="O-"/>
    <x v="0"/>
    <x v="1"/>
    <x v="180"/>
    <m/>
    <m/>
    <s v="University College Hospital Ibadan"/>
    <x v="1"/>
    <s v="Dr. Grace Oduya"/>
    <x v="1"/>
    <n v="27097.41"/>
    <s v="Paclitaxel"/>
    <n v="11"/>
    <n v="163"/>
    <n v="29.6"/>
    <s v="Normal"/>
    <x v="0"/>
  </r>
  <r>
    <x v="190"/>
    <s v="Oluwaseun Garba"/>
    <n v="92"/>
    <x v="1"/>
    <x v="0"/>
    <s v="O-"/>
    <x v="6"/>
    <x v="0"/>
    <x v="181"/>
    <d v="2019-05-19T00:00:00"/>
    <n v="4"/>
    <s v="National Hospital Abuja"/>
    <x v="4"/>
    <s v="Dr. Yusuf Danjuma"/>
    <x v="4"/>
    <n v="30085.18"/>
    <s v="Ipratropium"/>
    <n v="3"/>
    <n v="364"/>
    <n v="22.6"/>
    <s v="Abnormal"/>
    <x v="0"/>
  </r>
  <r>
    <x v="191"/>
    <s v="Babatunde Brown"/>
    <n v="69"/>
    <x v="4"/>
    <x v="0"/>
    <s v="AB-"/>
    <x v="6"/>
    <x v="0"/>
    <x v="182"/>
    <d v="2022-04-11T00:00:00"/>
    <n v="6"/>
    <s v="Bowen University Teaching Hospital"/>
    <x v="1"/>
    <s v="Dr. Ngozi Eze-Williams"/>
    <x v="4"/>
    <n v="27443.24"/>
    <s v="Salbutamol"/>
    <n v="7"/>
    <n v="341"/>
    <n v="32.299999999999997"/>
    <s v="Inconclusive"/>
    <x v="1"/>
  </r>
  <r>
    <x v="192"/>
    <s v="Ngozi Abubakar"/>
    <n v="55"/>
    <x v="3"/>
    <x v="1"/>
    <s v="O+"/>
    <x v="1"/>
    <x v="1"/>
    <x v="183"/>
    <d v="2021-04-27T00:00:00"/>
    <n v="4"/>
    <s v="Federal Medical Centre Asaba"/>
    <x v="0"/>
    <s v="Dr. Chioma Nwankwo"/>
    <x v="0"/>
    <n v="11060.35"/>
    <s v="Insulin Glargine"/>
    <n v="6"/>
    <n v="195"/>
    <n v="30.9"/>
    <s v="Inconclusive"/>
    <x v="0"/>
  </r>
  <r>
    <x v="193"/>
    <s v="Ruth Garba"/>
    <n v="53"/>
    <x v="5"/>
    <x v="1"/>
    <s v="B-"/>
    <x v="0"/>
    <x v="2"/>
    <x v="184"/>
    <d v="2023-11-20T00:00:00"/>
    <n v="11"/>
    <s v="National Hospital Abuja"/>
    <x v="4"/>
    <s v="Dr. Grace Oduya"/>
    <x v="1"/>
    <n v="40125.410000000003"/>
    <s v="Rituximab"/>
    <n v="8"/>
    <n v="339"/>
    <n v="20.100000000000001"/>
    <s v="Normal"/>
    <x v="0"/>
  </r>
  <r>
    <x v="194"/>
    <s v="Josephine Abiodun"/>
    <n v="76"/>
    <x v="1"/>
    <x v="1"/>
    <s v="AB+"/>
    <x v="4"/>
    <x v="2"/>
    <x v="185"/>
    <d v="2023-08-09T00:00:00"/>
    <n v="1"/>
    <s v="University College Hospital Ibadan"/>
    <x v="1"/>
    <s v="Dr. Segun Banke"/>
    <x v="1"/>
    <n v="34660.519999999997"/>
    <s v="Loperamide"/>
    <n v="5"/>
    <n v="323"/>
    <n v="25.7"/>
    <s v="Abnormal"/>
    <x v="0"/>
  </r>
  <r>
    <x v="195"/>
    <s v="Zainab Moore"/>
    <n v="10"/>
    <x v="0"/>
    <x v="1"/>
    <s v="A-"/>
    <x v="6"/>
    <x v="0"/>
    <x v="186"/>
    <d v="2022-10-28T00:00:00"/>
    <n v="16"/>
    <s v="Aminu Kano Teaching Hospital"/>
    <x v="2"/>
    <s v="Dr. Yusuf Danjuma"/>
    <x v="2"/>
    <n v="14549.33"/>
    <s v="Montelukast"/>
    <n v="7"/>
    <n v="398"/>
    <n v="34.1"/>
    <s v="Inconclusive"/>
    <x v="0"/>
  </r>
  <r>
    <x v="196"/>
    <s v="Hauwa Danjuma"/>
    <n v="68"/>
    <x v="4"/>
    <x v="1"/>
    <s v="A+"/>
    <x v="6"/>
    <x v="0"/>
    <x v="187"/>
    <d v="2024-06-07T00:00:00"/>
    <n v="5"/>
    <s v="Ahmadu Bello University Teaching Hospital"/>
    <x v="2"/>
    <s v="Dr. Ngozi Eze-Williams"/>
    <x v="3"/>
    <n v="42882.66"/>
    <s v="Prednisolone"/>
    <n v="7"/>
    <n v="306"/>
    <n v="27.9"/>
    <s v="Abnormal"/>
    <x v="0"/>
  </r>
  <r>
    <x v="197"/>
    <s v="Blessing Oni"/>
    <n v="60"/>
    <x v="3"/>
    <x v="1"/>
    <s v="O-"/>
    <x v="0"/>
    <x v="1"/>
    <x v="188"/>
    <d v="2021-11-25T00:00:00"/>
    <n v="13"/>
    <s v="Aminu Kano Teaching Hospital"/>
    <x v="2"/>
    <s v="Dr. Babatunde Fashola"/>
    <x v="4"/>
    <n v="25694.77"/>
    <s v="Carboplatin"/>
    <n v="12"/>
    <n v="142"/>
    <n v="16.600000000000001"/>
    <s v="Abnormal"/>
    <x v="1"/>
  </r>
  <r>
    <x v="198"/>
    <s v="Michael Smith"/>
    <n v="73"/>
    <x v="4"/>
    <x v="0"/>
    <s v="O+"/>
    <x v="2"/>
    <x v="0"/>
    <x v="189"/>
    <m/>
    <m/>
    <s v="University of Calabar Teaching Hospital"/>
    <x v="0"/>
    <s v="Dr. Zainab Sule"/>
    <x v="1"/>
    <n v="59913.63"/>
    <s v="Phenytoin"/>
    <n v="9"/>
    <n v="357"/>
    <n v="35.6"/>
    <s v="Abnormal"/>
    <x v="0"/>
  </r>
  <r>
    <x v="199"/>
    <s v="Ifeoma Nwosu"/>
    <n v="70"/>
    <x v="4"/>
    <x v="1"/>
    <s v="A+"/>
    <x v="6"/>
    <x v="2"/>
    <x v="190"/>
    <d v="2019-04-01T00:00:00"/>
    <n v="6"/>
    <s v="University College Hospital Ibadan"/>
    <x v="1"/>
    <s v="Dr. Halima Usman"/>
    <x v="4"/>
    <n v="21456.98"/>
    <s v="Salbutamol"/>
    <n v="6"/>
    <n v="495"/>
    <n v="29.3"/>
    <s v="Inconclusive"/>
    <x v="1"/>
  </r>
  <r>
    <x v="200"/>
    <s v="Aisha Okonkwo"/>
    <n v="68"/>
    <x v="4"/>
    <x v="1"/>
    <s v="B-"/>
    <x v="5"/>
    <x v="1"/>
    <x v="191"/>
    <m/>
    <m/>
    <s v="Federal Medical Centre Asaba"/>
    <x v="0"/>
    <s v="Dr. Fatima Al-Hassan"/>
    <x v="0"/>
    <n v="41336.339999999997"/>
    <s v="Digoxin"/>
    <n v="10"/>
    <n v="176"/>
    <n v="41.5"/>
    <s v="Abnormal"/>
    <x v="0"/>
  </r>
  <r>
    <x v="201"/>
    <s v="Lanre Smith"/>
    <n v="58"/>
    <x v="3"/>
    <x v="0"/>
    <s v="AB+"/>
    <x v="5"/>
    <x v="0"/>
    <x v="192"/>
    <d v="2023-04-17T00:00:00"/>
    <n v="7"/>
    <s v="Federal Medical Centre Birnin Kebbi"/>
    <x v="2"/>
    <s v="Dr. Adewale Ogundimu"/>
    <x v="1"/>
    <n v="96369.62"/>
    <s v="Atorvastatin"/>
    <n v="10"/>
    <n v="363"/>
    <n v="25.4"/>
    <s v="Abnormal"/>
    <x v="0"/>
  </r>
  <r>
    <x v="202"/>
    <s v="Chiamaka Ajala"/>
    <n v="59"/>
    <x v="3"/>
    <x v="1"/>
    <s v="O-"/>
    <x v="4"/>
    <x v="2"/>
    <x v="193"/>
    <d v="2020-09-17T00:00:00"/>
    <n v="6"/>
    <s v="University College Hospital Ibadan"/>
    <x v="1"/>
    <s v="Dr. Nnamdi Okafor"/>
    <x v="0"/>
    <n v="12108.68"/>
    <s v="Omeprazole"/>
    <n v="4"/>
    <n v="468"/>
    <n v="30.4"/>
    <s v="Inconclusive"/>
    <x v="0"/>
  </r>
  <r>
    <x v="203"/>
    <s v="Aisha Johnson"/>
    <n v="40"/>
    <x v="5"/>
    <x v="1"/>
    <s v="AB-"/>
    <x v="4"/>
    <x v="0"/>
    <x v="194"/>
    <d v="2021-01-14T00:00:00"/>
    <n v="5"/>
    <s v="Federal Medical Centre Birnin Kebbi"/>
    <x v="2"/>
    <s v="Dr. Nnamdi Okafor"/>
    <x v="0"/>
    <n v="39321"/>
    <s v="Mesalazine"/>
    <n v="4"/>
    <n v="335"/>
    <n v="18.8"/>
    <s v="Normal"/>
    <x v="0"/>
  </r>
  <r>
    <x v="204"/>
    <s v="Oluwaseun Moore"/>
    <n v="65"/>
    <x v="4"/>
    <x v="0"/>
    <s v="B+"/>
    <x v="3"/>
    <x v="2"/>
    <x v="195"/>
    <d v="2020-06-20T00:00:00"/>
    <n v="7"/>
    <s v="Aminu Kano Teaching Hospital"/>
    <x v="2"/>
    <s v="Dr. Lanre Ogundele"/>
    <x v="0"/>
    <n v="28935.26"/>
    <s v="Morphine"/>
    <n v="6"/>
    <n v="321"/>
    <n v="32"/>
    <s v="Abnormal"/>
    <x v="0"/>
  </r>
  <r>
    <x v="205"/>
    <s v="Rebecca Okeke"/>
    <n v="56"/>
    <x v="3"/>
    <x v="1"/>
    <s v="A-"/>
    <x v="0"/>
    <x v="1"/>
    <x v="196"/>
    <d v="2023-10-15T00:00:00"/>
    <n v="18"/>
    <s v="Federal Medical Centre Asaba"/>
    <x v="0"/>
    <s v="Dr. Babatunde Fashola"/>
    <x v="4"/>
    <n v="39428.300000000003"/>
    <s v="Rituximab"/>
    <n v="11"/>
    <n v="161"/>
    <n v="23.9"/>
    <s v="Normal"/>
    <x v="0"/>
  </r>
  <r>
    <x v="206"/>
    <s v="Ibrahim Williams"/>
    <n v="48"/>
    <x v="5"/>
    <x v="0"/>
    <s v="O-"/>
    <x v="6"/>
    <x v="0"/>
    <x v="197"/>
    <d v="2021-11-08T00:00:00"/>
    <n v="5"/>
    <s v="Lagos University Teaching Hospital"/>
    <x v="1"/>
    <s v="Dr. Halima Usman"/>
    <x v="1"/>
    <n v="27802.53"/>
    <s v="Salbutamol"/>
    <n v="7"/>
    <n v="343"/>
    <n v="25.9"/>
    <s v="Abnormal"/>
    <x v="0"/>
  </r>
  <r>
    <x v="207"/>
    <s v="Emeka Garba"/>
    <n v="74"/>
    <x v="4"/>
    <x v="0"/>
    <s v="O-"/>
    <x v="5"/>
    <x v="0"/>
    <x v="198"/>
    <d v="2024-06-22T00:00:00"/>
    <n v="6"/>
    <s v="Lagos University Teaching Hospital"/>
    <x v="1"/>
    <s v="Dr. Fatima Al-Hassan"/>
    <x v="4"/>
    <n v="132109"/>
    <s v="Metoprolol"/>
    <n v="10"/>
    <n v="380"/>
    <m/>
    <s v="Abnormal"/>
    <x v="1"/>
  </r>
  <r>
    <x v="208"/>
    <s v="Kayode Danjuma"/>
    <n v="48"/>
    <x v="5"/>
    <x v="0"/>
    <s v="O-"/>
    <x v="2"/>
    <x v="2"/>
    <x v="199"/>
    <m/>
    <m/>
    <s v="Aminu Kano Teaching Hospital"/>
    <x v="2"/>
    <s v="Dr. Rotimi Fashola"/>
    <x v="3"/>
    <n v="65122.14"/>
    <s v="Topiramate"/>
    <n v="8"/>
    <n v="413"/>
    <n v="22.2"/>
    <s v="Normal"/>
    <x v="0"/>
  </r>
  <r>
    <x v="209"/>
    <s v="Mary Johnson"/>
    <n v="36"/>
    <x v="5"/>
    <x v="1"/>
    <s v="O-"/>
    <x v="4"/>
    <x v="2"/>
    <x v="200"/>
    <d v="2020-04-27T00:00:00"/>
    <n v="4"/>
    <s v="National Hospital Abuja"/>
    <x v="4"/>
    <s v="Dr. Aisha Bello"/>
    <x v="0"/>
    <n v="9054.69"/>
    <s v="Ciprofloxacin"/>
    <n v="5"/>
    <n v="470"/>
    <n v="29.4"/>
    <s v="Inconclusive"/>
    <x v="0"/>
  </r>
  <r>
    <x v="210"/>
    <s v="Taiwo Davis"/>
    <n v="72"/>
    <x v="4"/>
    <x v="1"/>
    <s v="B-"/>
    <x v="7"/>
    <x v="0"/>
    <x v="201"/>
    <d v="2024-11-07T00:00:00"/>
    <n v="3"/>
    <s v="National Hospital Abuja"/>
    <x v="4"/>
    <s v="Dr. Chukwuemeka Nwosu"/>
    <x v="1"/>
    <n v="81619.59"/>
    <s v="Calcium"/>
    <n v="5"/>
    <n v="281"/>
    <n v="19.899999999999999"/>
    <s v="Abnormal"/>
    <x v="1"/>
  </r>
  <r>
    <x v="211"/>
    <s v="Amaka Thompson"/>
    <n v="91"/>
    <x v="1"/>
    <x v="1"/>
    <s v="O-"/>
    <x v="4"/>
    <x v="2"/>
    <x v="202"/>
    <d v="2020-03-13T00:00:00"/>
    <n v="4"/>
    <s v="Aminu Kano Teaching Hospital"/>
    <x v="2"/>
    <s v="Dr. Aisha Bello"/>
    <x v="2"/>
    <n v="12163.7"/>
    <s v="Metronidazole"/>
    <n v="5"/>
    <n v="475"/>
    <n v="27.2"/>
    <s v="Inconclusive"/>
    <x v="0"/>
  </r>
  <r>
    <x v="212"/>
    <s v="Michael Okafor"/>
    <n v="41"/>
    <x v="5"/>
    <x v="0"/>
    <s v="AB-"/>
    <x v="2"/>
    <x v="0"/>
    <x v="203"/>
    <d v="2023-03-18T00:00:00"/>
    <n v="12"/>
    <s v="Aminu Kano Teaching Hospital"/>
    <x v="2"/>
    <s v="Dr. Zainab Sule"/>
    <x v="4"/>
    <n v="44586"/>
    <s v="Gabapentin"/>
    <n v="8"/>
    <n v="318"/>
    <n v="16.2"/>
    <s v="Abnormal"/>
    <x v="0"/>
  </r>
  <r>
    <x v="213"/>
    <s v="Taiwo Garba"/>
    <n v="61"/>
    <x v="3"/>
    <x v="1"/>
    <s v="B+"/>
    <x v="5"/>
    <x v="2"/>
    <x v="204"/>
    <d v="2025-04-01T00:00:00"/>
    <n v="9"/>
    <s v="Lagos University Teaching Hospital"/>
    <x v="1"/>
    <s v="Dr. Emeka Okorie"/>
    <x v="1"/>
    <n v="45750.2"/>
    <s v="Aspirin"/>
    <n v="9"/>
    <n v="378"/>
    <n v="40.4"/>
    <s v="Abnormal"/>
    <x v="0"/>
  </r>
  <r>
    <x v="214"/>
    <s v="Rukayat Nwosu"/>
    <n v="87"/>
    <x v="1"/>
    <x v="1"/>
    <s v="AB-"/>
    <x v="6"/>
    <x v="2"/>
    <x v="164"/>
    <d v="2022-11-03T00:00:00"/>
    <n v="3"/>
    <s v="Bowen University Teaching Hospital"/>
    <x v="1"/>
    <s v="Dr. Ngozi Eze-Williams"/>
    <x v="4"/>
    <n v="20990.48"/>
    <s v="Azithromycin"/>
    <n v="7"/>
    <n v="163"/>
    <n v="28.9"/>
    <s v="Normal"/>
    <x v="0"/>
  </r>
  <r>
    <x v="215"/>
    <s v="Rachel Smith"/>
    <n v="53"/>
    <x v="5"/>
    <x v="1"/>
    <s v="B+"/>
    <x v="6"/>
    <x v="1"/>
    <x v="205"/>
    <d v="2023-02-04T00:00:00"/>
    <n v="6"/>
    <s v="Federal Medical Centre Owerri"/>
    <x v="3"/>
    <s v="Dr. Halima Usman"/>
    <x v="0"/>
    <n v="17197.46"/>
    <s v="Ipratropium"/>
    <n v="7"/>
    <n v="109"/>
    <n v="33.5"/>
    <s v="Abnormal"/>
    <x v="1"/>
  </r>
  <r>
    <x v="216"/>
    <s v="Mary Hassan"/>
    <n v="59"/>
    <x v="3"/>
    <x v="1"/>
    <s v="A-"/>
    <x v="1"/>
    <x v="0"/>
    <x v="206"/>
    <d v="2024-09-05T00:00:00"/>
    <n v="3"/>
    <s v="Aminu Kano Teaching Hospital"/>
    <x v="2"/>
    <s v="Dr. Taiwo Adeleke"/>
    <x v="1"/>
    <n v="23207.3"/>
    <s v="Glibenclamide"/>
    <n v="8"/>
    <n v="120"/>
    <n v="40.200000000000003"/>
    <s v="Inconclusive"/>
    <x v="0"/>
  </r>
  <r>
    <x v="217"/>
    <s v="Nneka Brown"/>
    <n v="55"/>
    <x v="3"/>
    <x v="1"/>
    <s v="O-"/>
    <x v="6"/>
    <x v="2"/>
    <x v="207"/>
    <d v="2020-05-20T00:00:00"/>
    <n v="4"/>
    <s v="Federal Medical Centre Owerri"/>
    <x v="3"/>
    <s v="Dr. Ngozi Eze-Williams"/>
    <x v="2"/>
    <n v="21858.59"/>
    <s v="Ipratropium"/>
    <n v="6"/>
    <n v="329"/>
    <n v="33"/>
    <s v="Normal"/>
    <x v="0"/>
  </r>
  <r>
    <x v="218"/>
    <s v="James Salami"/>
    <n v="71"/>
    <x v="4"/>
    <x v="0"/>
    <s v="A+"/>
    <x v="0"/>
    <x v="2"/>
    <x v="208"/>
    <d v="2019-04-24T00:00:00"/>
    <n v="12"/>
    <s v="Aminu Kano Teaching Hospital"/>
    <x v="2"/>
    <s v="Dr. Grace Oduya"/>
    <x v="1"/>
    <n v="89083.91"/>
    <s v="Letrozole"/>
    <n v="10"/>
    <n v="192"/>
    <n v="14.3"/>
    <s v="Normal"/>
    <x v="0"/>
  </r>
  <r>
    <x v="219"/>
    <s v="Suleiman Yakubu"/>
    <n v="89"/>
    <x v="1"/>
    <x v="0"/>
    <s v="A+"/>
    <x v="2"/>
    <x v="0"/>
    <x v="209"/>
    <d v="2019-04-21T00:00:00"/>
    <n v="12"/>
    <s v="Aminu Kano Teaching Hospital"/>
    <x v="2"/>
    <s v="Dr. Zainab Sule"/>
    <x v="2"/>
    <n v="65405.72"/>
    <s v="Gabapentin"/>
    <n v="9"/>
    <n v="349"/>
    <n v="28.1"/>
    <s v="Normal"/>
    <x v="1"/>
  </r>
  <r>
    <x v="220"/>
    <s v="Ifeanyi Smith"/>
    <n v="78"/>
    <x v="1"/>
    <x v="0"/>
    <s v="B+"/>
    <x v="6"/>
    <x v="2"/>
    <x v="210"/>
    <d v="2022-11-22T00:00:00"/>
    <n v="4"/>
    <s v="Aminu Kano Teaching Hospital"/>
    <x v="2"/>
    <s v="Dr. Yusuf Danjuma"/>
    <x v="4"/>
    <n v="23488.33"/>
    <s v="Ipratropium"/>
    <n v="7"/>
    <n v="225"/>
    <n v="16.8"/>
    <s v="Abnormal"/>
    <x v="0"/>
  </r>
  <r>
    <x v="221"/>
    <s v="Tolulope Moore"/>
    <n v="16"/>
    <x v="0"/>
    <x v="1"/>
    <s v="B+"/>
    <x v="1"/>
    <x v="0"/>
    <x v="211"/>
    <d v="2021-11-03T00:00:00"/>
    <n v="10"/>
    <s v="Lagos University Teaching Hospital"/>
    <x v="1"/>
    <s v="Dr. Taiwo Adeleke"/>
    <x v="0"/>
    <n v="17197.419999999998"/>
    <s v="Insulin Glargine"/>
    <n v="8"/>
    <n v="321"/>
    <n v="34.5"/>
    <s v="Abnormal"/>
    <x v="0"/>
  </r>
  <r>
    <x v="222"/>
    <s v="Elizabeth Adeleke"/>
    <n v="83"/>
    <x v="1"/>
    <x v="1"/>
    <s v="O-"/>
    <x v="4"/>
    <x v="1"/>
    <x v="212"/>
    <d v="2019-03-12T00:00:00"/>
    <n v="5"/>
    <s v="Bowen University Teaching Hospital"/>
    <x v="1"/>
    <s v="Dr. Aisha Bello"/>
    <x v="4"/>
    <n v="13545.79"/>
    <s v="Mesalazine"/>
    <n v="5"/>
    <n v="148"/>
    <m/>
    <s v="Normal"/>
    <x v="0"/>
  </r>
  <r>
    <x v="223"/>
    <s v="Chukwudi Okeke"/>
    <n v="65"/>
    <x v="4"/>
    <x v="0"/>
    <s v="B+"/>
    <x v="2"/>
    <x v="1"/>
    <x v="213"/>
    <d v="2023-01-13T00:00:00"/>
    <n v="8"/>
    <s v="Ahmadu Bello University Teaching Hospital"/>
    <x v="2"/>
    <s v="Dr. Rotimi Fashola"/>
    <x v="1"/>
    <n v="23039.39"/>
    <s v="Gabapentin"/>
    <n v="9"/>
    <n v="194"/>
    <n v="26"/>
    <s v="Abnormal"/>
    <x v="0"/>
  </r>
  <r>
    <x v="224"/>
    <s v="Kunle Ajala"/>
    <n v="37"/>
    <x v="5"/>
    <x v="0"/>
    <s v="AB-"/>
    <x v="5"/>
    <x v="2"/>
    <x v="214"/>
    <d v="2025-04-01T00:00:00"/>
    <n v="13"/>
    <s v="Federal Medical Centre Owerri"/>
    <x v="3"/>
    <s v="Dr. Adewale Ogundimu"/>
    <x v="0"/>
    <n v="51294.559999999998"/>
    <s v="Aspirin"/>
    <n v="10"/>
    <n v="214"/>
    <n v="29.4"/>
    <s v="Abnormal"/>
    <x v="0"/>
  </r>
  <r>
    <x v="225"/>
    <s v="Babatunde Akintola"/>
    <n v="60"/>
    <x v="3"/>
    <x v="0"/>
    <s v="AB-"/>
    <x v="6"/>
    <x v="0"/>
    <x v="215"/>
    <d v="2019-09-20T00:00:00"/>
    <n v="5"/>
    <s v="Federal Medical Centre Asaba"/>
    <x v="0"/>
    <s v="Dr. Yusuf Danjuma"/>
    <x v="3"/>
    <n v="73662.87"/>
    <s v="Salbutamol"/>
    <n v="6"/>
    <n v="309"/>
    <n v="32"/>
    <s v="Normal"/>
    <x v="0"/>
  </r>
  <r>
    <x v="226"/>
    <s v="Fatima Ogbonna"/>
    <n v="66"/>
    <x v="4"/>
    <x v="1"/>
    <s v="A+"/>
    <x v="0"/>
    <x v="0"/>
    <x v="216"/>
    <d v="2023-11-18T00:00:00"/>
    <n v="14"/>
    <s v="National Hospital Abuja"/>
    <x v="4"/>
    <s v="Dr. Babatunde Fashola"/>
    <x v="2"/>
    <n v="74179.789999999994"/>
    <s v="Carboplatin"/>
    <n v="12"/>
    <n v="155"/>
    <n v="16.3"/>
    <s v="Abnormal"/>
    <x v="0"/>
  </r>
  <r>
    <x v="227"/>
    <s v="Peter Sule"/>
    <n v="53"/>
    <x v="5"/>
    <x v="0"/>
    <s v="B+"/>
    <x v="2"/>
    <x v="0"/>
    <x v="217"/>
    <d v="2019-07-06T00:00:00"/>
    <n v="6"/>
    <s v="Aminu Kano Teaching Hospital"/>
    <x v="2"/>
    <s v="Dr. Rotimi Fashola"/>
    <x v="1"/>
    <n v="18089.18"/>
    <s v="Donepezil"/>
    <n v="9"/>
    <n v="371"/>
    <n v="30.1"/>
    <s v="Abnormal"/>
    <x v="0"/>
  </r>
  <r>
    <x v="228"/>
    <s v="Joseph Martin"/>
    <n v="77"/>
    <x v="1"/>
    <x v="0"/>
    <s v="O+"/>
    <x v="5"/>
    <x v="0"/>
    <x v="218"/>
    <d v="2022-05-20T00:00:00"/>
    <n v="8"/>
    <s v="Aminu Kano Teaching Hospital"/>
    <x v="2"/>
    <s v="Dr. Adewale Ogundimu"/>
    <x v="1"/>
    <n v="89777.65"/>
    <s v="Warfarin"/>
    <n v="10"/>
    <n v="309"/>
    <n v="34.299999999999997"/>
    <s v="Abnormal"/>
    <x v="0"/>
  </r>
  <r>
    <x v="229"/>
    <s v="Babatunde Okeke"/>
    <n v="70"/>
    <x v="4"/>
    <x v="0"/>
    <s v="B+"/>
    <x v="1"/>
    <x v="0"/>
    <x v="219"/>
    <d v="2021-10-08T00:00:00"/>
    <n v="4"/>
    <s v="University College Hospital Ibadan"/>
    <x v="1"/>
    <s v="Dr. Ibrahim Musa"/>
    <x v="0"/>
    <n v="39467.379999999997"/>
    <s v="Dapagliflozin"/>
    <n v="8"/>
    <n v="372"/>
    <n v="21.1"/>
    <s v="Inconclusive"/>
    <x v="1"/>
  </r>
  <r>
    <x v="230"/>
    <s v="Ifeoma Oni"/>
    <n v="36"/>
    <x v="5"/>
    <x v="1"/>
    <s v="O-"/>
    <x v="3"/>
    <x v="2"/>
    <x v="160"/>
    <d v="2024-09-17T00:00:00"/>
    <n v="5"/>
    <s v="University College Hospital Ibadan"/>
    <x v="1"/>
    <s v="Dr. Lanre Ogundele"/>
    <x v="0"/>
    <n v="24092.05"/>
    <s v="Ondansetron"/>
    <n v="6"/>
    <n v="342"/>
    <n v="30.7"/>
    <s v="Normal"/>
    <x v="0"/>
  </r>
  <r>
    <x v="231"/>
    <s v="Elizabeth Chukwu"/>
    <n v="25"/>
    <x v="2"/>
    <x v="1"/>
    <s v="O-"/>
    <x v="0"/>
    <x v="0"/>
    <x v="220"/>
    <d v="2023-03-27T00:00:00"/>
    <n v="14"/>
    <s v="Federal Medical Centre Owerri"/>
    <x v="3"/>
    <s v="Dr. Babatunde Fashola"/>
    <x v="4"/>
    <n v="33315.49"/>
    <s v="Methotrexate"/>
    <n v="12"/>
    <n v="326"/>
    <n v="24.6"/>
    <s v="Abnormal"/>
    <x v="0"/>
  </r>
  <r>
    <x v="232"/>
    <s v="Musa Adeleke"/>
    <n v="91"/>
    <x v="1"/>
    <x v="0"/>
    <s v="O+"/>
    <x v="5"/>
    <x v="0"/>
    <x v="221"/>
    <d v="2022-09-18T00:00:00"/>
    <n v="8"/>
    <s v="National Hospital Abuja"/>
    <x v="4"/>
    <s v="Dr. Fatima Al-Hassan"/>
    <x v="0"/>
    <n v="95121.19"/>
    <s v="Amlodipine"/>
    <n v="7"/>
    <n v="301"/>
    <n v="26.4"/>
    <s v="Inconclusive"/>
    <x v="1"/>
  </r>
  <r>
    <x v="233"/>
    <s v="Hauwa Onuoha"/>
    <n v="58"/>
    <x v="3"/>
    <x v="1"/>
    <s v="O-"/>
    <x v="5"/>
    <x v="1"/>
    <x v="222"/>
    <d v="2019-12-24T00:00:00"/>
    <n v="6"/>
    <s v="Federal Medical Centre Birnin Kebbi"/>
    <x v="2"/>
    <s v="Dr. Emeka Okorie"/>
    <x v="2"/>
    <n v="55536.75"/>
    <s v="Spironolactone"/>
    <n v="8"/>
    <n v="153"/>
    <n v="28.6"/>
    <s v="Inconclusive"/>
    <x v="0"/>
  </r>
  <r>
    <x v="234"/>
    <s v="Oluwaseun Obi"/>
    <n v="64"/>
    <x v="3"/>
    <x v="0"/>
    <s v="B-"/>
    <x v="7"/>
    <x v="2"/>
    <x v="223"/>
    <d v="2023-05-24T00:00:00"/>
    <n v="3"/>
    <s v="Bowen University Teaching Hospital"/>
    <x v="1"/>
    <s v="Dr. Chukwuemeka Nwosu"/>
    <x v="1"/>
    <n v="25993"/>
    <s v="Ibuprofen"/>
    <n v="6"/>
    <n v="245"/>
    <m/>
    <s v="Normal"/>
    <x v="0"/>
  </r>
  <r>
    <x v="235"/>
    <s v="Michael Yakubu"/>
    <n v="55"/>
    <x v="3"/>
    <x v="0"/>
    <s v="A-"/>
    <x v="1"/>
    <x v="2"/>
    <x v="224"/>
    <d v="2023-05-16T00:00:00"/>
    <n v="3"/>
    <s v="National Hospital Abuja"/>
    <x v="4"/>
    <s v="Dr. Chioma Nwankwo"/>
    <x v="0"/>
    <n v="18695.95"/>
    <s v="Liraglutide"/>
    <n v="8"/>
    <n v="226"/>
    <n v="28"/>
    <s v="Abnormal"/>
    <x v="1"/>
  </r>
  <r>
    <x v="236"/>
    <s v="Samuel Igwe"/>
    <n v="66"/>
    <x v="4"/>
    <x v="0"/>
    <s v="B-"/>
    <x v="1"/>
    <x v="2"/>
    <x v="225"/>
    <d v="2023-03-09T00:00:00"/>
    <n v="6"/>
    <s v="Federal Medical Centre Owerri"/>
    <x v="3"/>
    <s v="Dr. Taiwo Adeleke"/>
    <x v="4"/>
    <n v="4942.47"/>
    <s v="Glibenclamide"/>
    <n v="7"/>
    <n v="490"/>
    <n v="26.5"/>
    <s v="Abnormal"/>
    <x v="0"/>
  </r>
  <r>
    <x v="237"/>
    <s v="Kayode Sule"/>
    <n v="70"/>
    <x v="4"/>
    <x v="0"/>
    <s v="O-"/>
    <x v="5"/>
    <x v="0"/>
    <x v="226"/>
    <d v="2021-03-19T00:00:00"/>
    <n v="12"/>
    <s v="Lagos University Teaching Hospital"/>
    <x v="1"/>
    <s v="Dr. Adewale Ogundimu"/>
    <x v="4"/>
    <n v="109126.93"/>
    <s v="Amlodipine"/>
    <n v="9"/>
    <n v="302"/>
    <n v="30.1"/>
    <s v="Abnormal"/>
    <x v="0"/>
  </r>
  <r>
    <x v="238"/>
    <s v="Nneka Hassan"/>
    <n v="35"/>
    <x v="5"/>
    <x v="1"/>
    <s v="B-"/>
    <x v="7"/>
    <x v="1"/>
    <x v="227"/>
    <d v="2023-12-21T00:00:00"/>
    <n v="5"/>
    <s v="Ahmadu Bello University Teaching Hospital"/>
    <x v="2"/>
    <s v="Dr. Musa Aliyu"/>
    <x v="1"/>
    <n v="33164.660000000003"/>
    <s v="Ibuprofen"/>
    <n v="3"/>
    <n v="153"/>
    <n v="25"/>
    <s v="Normal"/>
    <x v="0"/>
  </r>
  <r>
    <x v="239"/>
    <s v="Taiwo Bankole"/>
    <n v="21"/>
    <x v="2"/>
    <x v="1"/>
    <s v="A-"/>
    <x v="7"/>
    <x v="1"/>
    <x v="228"/>
    <d v="2021-02-26T00:00:00"/>
    <n v="11"/>
    <s v="University of Calabar Teaching Hospital"/>
    <x v="0"/>
    <s v="Dr. Chukwuemeka Nwosu"/>
    <x v="0"/>
    <n v="12468"/>
    <s v="Vitamin D"/>
    <n v="5"/>
    <n v="183"/>
    <n v="28.5"/>
    <s v="Normal"/>
    <x v="0"/>
  </r>
  <r>
    <x v="240"/>
    <s v="Amaka Thompson"/>
    <n v="72"/>
    <x v="4"/>
    <x v="1"/>
    <s v=""/>
    <x v="1"/>
    <x v="1"/>
    <x v="229"/>
    <d v="2023-05-16T00:00:00"/>
    <n v="5"/>
    <s v="Federal Medical Centre Birnin Kebbi"/>
    <x v="2"/>
    <s v="Dr. Ibrahim Musa"/>
    <x v="0"/>
    <n v="22134.37"/>
    <s v="Liraglutide"/>
    <n v="5"/>
    <n v="139"/>
    <n v="31.5"/>
    <s v="Abnormal"/>
    <x v="0"/>
  </r>
  <r>
    <x v="241"/>
    <s v="Chidi Ogbonna"/>
    <n v="50"/>
    <x v="5"/>
    <x v="0"/>
    <s v="B-"/>
    <x v="5"/>
    <x v="2"/>
    <x v="230"/>
    <d v="2022-09-16T00:00:00"/>
    <n v="8"/>
    <s v="Lagos University Teaching Hospital"/>
    <x v="1"/>
    <s v="Dr. Fatima Al-Hassan"/>
    <x v="0"/>
    <n v="26612.15"/>
    <s v="Aspirin"/>
    <n v="10"/>
    <n v="411"/>
    <n v="40.799999999999997"/>
    <s v="Abnormal"/>
    <x v="0"/>
  </r>
  <r>
    <x v="242"/>
    <s v="Rotimi Eze"/>
    <n v="33"/>
    <x v="2"/>
    <x v="0"/>
    <s v="AB-"/>
    <x v="0"/>
    <x v="0"/>
    <x v="231"/>
    <d v="2021-04-25T00:00:00"/>
    <n v="8"/>
    <s v="University College Hospital Ibadan"/>
    <x v="1"/>
    <s v="Dr. Amara Osei"/>
    <x v="3"/>
    <n v="67289.759999999995"/>
    <s v="Filgrastim"/>
    <n v="10"/>
    <n v="316"/>
    <n v="26"/>
    <s v="Abnormal"/>
    <x v="0"/>
  </r>
  <r>
    <x v="243"/>
    <s v="Mary Nwosu"/>
    <n v="65"/>
    <x v="4"/>
    <x v="1"/>
    <s v="AB-"/>
    <x v="2"/>
    <x v="1"/>
    <x v="232"/>
    <d v="2021-11-25T00:00:00"/>
    <n v="6"/>
    <s v="Federal Medical Centre Owerri"/>
    <x v="3"/>
    <s v="Dr. Zainab Sule"/>
    <x v="1"/>
    <n v="48556.65"/>
    <s v="Clopidogrel"/>
    <n v="9"/>
    <n v="150"/>
    <n v="22.9"/>
    <s v="Abnormal"/>
    <x v="0"/>
  </r>
  <r>
    <x v="244"/>
    <s v="Blessing Ogbonna"/>
    <n v="71"/>
    <x v="4"/>
    <x v="1"/>
    <s v="B-"/>
    <x v="0"/>
    <x v="1"/>
    <x v="233"/>
    <d v="2022-10-12T00:00:00"/>
    <n v="12"/>
    <s v="University College Hospital Ibadan"/>
    <x v="1"/>
    <s v="Dr. Grace Oduya"/>
    <x v="0"/>
    <n v="109108.92"/>
    <s v="Trastuzumab"/>
    <n v="9"/>
    <n v="120"/>
    <n v="14"/>
    <s v="Abnormal"/>
    <x v="1"/>
  </r>
  <r>
    <x v="245"/>
    <s v="Halima Ajala"/>
    <n v="64"/>
    <x v="3"/>
    <x v="1"/>
    <s v="B+"/>
    <x v="4"/>
    <x v="1"/>
    <x v="234"/>
    <d v="2024-08-14T00:00:00"/>
    <n v="2"/>
    <s v="Federal Medical Centre Asaba"/>
    <x v="0"/>
    <s v="Dr. Nnamdi Okafor"/>
    <x v="0"/>
    <n v="5694.16"/>
    <s v="Metronidazole"/>
    <n v="4"/>
    <n v="112"/>
    <n v="28.1"/>
    <s v="Inconclusive"/>
    <x v="0"/>
  </r>
  <r>
    <x v="246"/>
    <s v="Segun Thompson"/>
    <n v="67"/>
    <x v="4"/>
    <x v="0"/>
    <s v="B-"/>
    <x v="0"/>
    <x v="1"/>
    <x v="235"/>
    <d v="2021-05-26T00:00:00"/>
    <n v="6"/>
    <s v="Aminu Kano Teaching Hospital"/>
    <x v="2"/>
    <s v="Dr. Grace Oduya"/>
    <x v="0"/>
    <n v="72127.509999999995"/>
    <s v="Dexamethasone"/>
    <n v="12"/>
    <n v="197"/>
    <m/>
    <s v="Abnormal"/>
    <x v="1"/>
  </r>
  <r>
    <x v="247"/>
    <s v="John Okafor"/>
    <n v="65"/>
    <x v="4"/>
    <x v="0"/>
    <s v=""/>
    <x v="5"/>
    <x v="2"/>
    <x v="236"/>
    <d v="2022-10-18T00:00:00"/>
    <n v="6"/>
    <s v="University of Calabar Teaching Hospital"/>
    <x v="0"/>
    <s v="Dr. Fatima Al-Hassan"/>
    <x v="3"/>
    <n v="70582.78"/>
    <s v="Spironolactone"/>
    <n v="9"/>
    <n v="171"/>
    <n v="35.6"/>
    <s v="Abnormal"/>
    <x v="0"/>
  </r>
  <r>
    <x v="248"/>
    <s v="Joseph Lawan"/>
    <n v="68"/>
    <x v="4"/>
    <x v="0"/>
    <s v="A-"/>
    <x v="3"/>
    <x v="2"/>
    <x v="12"/>
    <d v="2022-08-17T00:00:00"/>
    <n v="5"/>
    <s v="Ahmadu Bello University Teaching Hospital"/>
    <x v="2"/>
    <s v="Dr. Lanre Ogundele"/>
    <x v="0"/>
    <n v="29916.33"/>
    <s v="Ondansetron"/>
    <n v="6"/>
    <n v="410"/>
    <n v="38.5"/>
    <s v="Normal"/>
    <x v="0"/>
  </r>
  <r>
    <x v="249"/>
    <s v="Daniel Nwosu"/>
    <n v="91"/>
    <x v="1"/>
    <x v="0"/>
    <s v="AB+"/>
    <x v="0"/>
    <x v="2"/>
    <x v="237"/>
    <d v="2020-04-25T00:00:00"/>
    <n v="7"/>
    <s v="University of Calabar Teaching Hospital"/>
    <x v="0"/>
    <s v="Dr. Grace Oduya"/>
    <x v="3"/>
    <n v="138503.21"/>
    <s v="Methotrexate"/>
    <n v="12"/>
    <n v="163"/>
    <n v="24.5"/>
    <s v="Inconclusive"/>
    <x v="0"/>
  </r>
  <r>
    <x v="250"/>
    <s v="Chioma Moore"/>
    <n v="70"/>
    <x v="4"/>
    <x v="1"/>
    <s v="O+"/>
    <x v="1"/>
    <x v="3"/>
    <x v="126"/>
    <d v="2023-11-30T00:00:00"/>
    <n v="5"/>
    <s v="Federal Medical Centre Asaba"/>
    <x v="0"/>
    <s v="Dr. Taiwo Adeleke"/>
    <x v="1"/>
    <n v="26786.52"/>
    <s v="Linagliptin"/>
    <n v="8"/>
    <n v="494"/>
    <n v="32.9"/>
    <s v="Inconclusive"/>
    <x v="0"/>
  </r>
  <r>
    <x v="251"/>
    <s v="Chukwuemeka Oni"/>
    <n v="68"/>
    <x v="4"/>
    <x v="0"/>
    <s v="O+"/>
    <x v="1"/>
    <x v="2"/>
    <x v="238"/>
    <d v="2024-08-15T00:00:00"/>
    <n v="6"/>
    <s v="Bowen University Teaching Hospital"/>
    <x v="1"/>
    <s v="Dr. Taiwo Adeleke"/>
    <x v="0"/>
    <n v="14031.23"/>
    <s v="Liraglutide"/>
    <n v="7"/>
    <n v="178"/>
    <n v="43.5"/>
    <s v="Abnormal"/>
    <x v="1"/>
  </r>
  <r>
    <x v="252"/>
    <s v="Zainab Dauda"/>
    <n v="65"/>
    <x v="4"/>
    <x v="1"/>
    <s v="A+"/>
    <x v="2"/>
    <x v="2"/>
    <x v="239"/>
    <d v="2019-04-04T00:00:00"/>
    <n v="5"/>
    <s v="Federal Medical Centre Owerri"/>
    <x v="3"/>
    <s v="Dr. Rotimi Fashola"/>
    <x v="3"/>
    <n v="54806.09"/>
    <s v="Clopidogrel"/>
    <n v="4"/>
    <n v="255"/>
    <n v="30.3"/>
    <s v="Normal"/>
    <x v="0"/>
  </r>
  <r>
    <x v="253"/>
    <s v="Rotimi Moore"/>
    <n v="57"/>
    <x v="3"/>
    <x v="0"/>
    <s v="B+"/>
    <x v="7"/>
    <x v="2"/>
    <x v="240"/>
    <d v="2023-03-30T00:00:00"/>
    <n v="7"/>
    <s v="Federal Medical Centre Birnin Kebbi"/>
    <x v="2"/>
    <s v="Dr. Chukwuemeka Nwosu"/>
    <x v="0"/>
    <n v="29999.8"/>
    <s v="Ibuprofen"/>
    <n v="4"/>
    <n v="497"/>
    <n v="23.6"/>
    <s v="Abnormal"/>
    <x v="0"/>
  </r>
  <r>
    <x v="254"/>
    <s v="Emmanuel Adebayo"/>
    <n v="87"/>
    <x v="1"/>
    <x v="0"/>
    <s v="B+"/>
    <x v="2"/>
    <x v="1"/>
    <x v="241"/>
    <d v="2024-09-24T00:00:00"/>
    <n v="6"/>
    <s v="National Hospital Abuja"/>
    <x v="4"/>
    <s v="Dr. Rotimi Fashola"/>
    <x v="0"/>
    <n v="18170.7"/>
    <s v="Gabapentin"/>
    <n v="9"/>
    <n v="102"/>
    <n v="21.7"/>
    <s v="Abnormal"/>
    <x v="1"/>
  </r>
  <r>
    <x v="255"/>
    <s v="Hauwa Taylor"/>
    <n v="21"/>
    <x v="2"/>
    <x v="1"/>
    <s v="O+"/>
    <x v="1"/>
    <x v="0"/>
    <x v="242"/>
    <d v="2024-01-13T00:00:00"/>
    <n v="7"/>
    <s v="University College Hospital Ibadan"/>
    <x v="1"/>
    <s v="Dr. Chioma Nwankwo"/>
    <x v="2"/>
    <n v="14706.28"/>
    <s v="Insulin Glargine"/>
    <n v="8"/>
    <n v="100"/>
    <n v="29.9"/>
    <s v="Abnormal"/>
    <x v="0"/>
  </r>
  <r>
    <x v="256"/>
    <s v="Daniel Martin"/>
    <n v="63"/>
    <x v="3"/>
    <x v="0"/>
    <s v="B+"/>
    <x v="4"/>
    <x v="1"/>
    <x v="212"/>
    <d v="2019-05-07T00:00:00"/>
    <n v="2"/>
    <s v="Bowen University Teaching Hospital"/>
    <x v="1"/>
    <s v="Dr. Nnamdi Okafor"/>
    <x v="1"/>
    <n v="15014.56"/>
    <s v="Metronidazole"/>
    <n v="5"/>
    <n v="132"/>
    <n v="22"/>
    <s v="Normal"/>
    <x v="0"/>
  </r>
  <r>
    <x v="257"/>
    <s v="Ifeoma Thompson"/>
    <n v="69"/>
    <x v="4"/>
    <x v="1"/>
    <s v="A-"/>
    <x v="5"/>
    <x v="0"/>
    <x v="243"/>
    <d v="2023-11-19T00:00:00"/>
    <n v="7"/>
    <s v="University of Calabar Teaching Hospital"/>
    <x v="0"/>
    <s v="Dr. Adewale Ogundimu"/>
    <x v="1"/>
    <n v="129537.62"/>
    <s v="Furosemide"/>
    <n v="10"/>
    <n v="313"/>
    <n v="37.1"/>
    <s v="Abnormal"/>
    <x v="0"/>
  </r>
  <r>
    <x v="258"/>
    <s v="Lanre Martin"/>
    <n v="72"/>
    <x v="4"/>
    <x v="0"/>
    <s v="B+"/>
    <x v="4"/>
    <x v="2"/>
    <x v="244"/>
    <d v="2020-02-12T00:00:00"/>
    <n v="2"/>
    <s v="Federal Medical Centre Owerri"/>
    <x v="3"/>
    <s v="Dr. Segun Banke"/>
    <x v="1"/>
    <n v="27106.71"/>
    <s v="Mesalazine"/>
    <n v="5"/>
    <n v="476"/>
    <n v="31.1"/>
    <s v="Normal"/>
    <x v="0"/>
  </r>
  <r>
    <x v="259"/>
    <s v="Samuel Usman"/>
    <n v="74"/>
    <x v="4"/>
    <x v="0"/>
    <s v="O-"/>
    <x v="6"/>
    <x v="0"/>
    <x v="245"/>
    <d v="2021-07-29T00:00:00"/>
    <n v="3"/>
    <s v="Bowen University Teaching Hospital"/>
    <x v="1"/>
    <s v="Dr. Yusuf Danjuma"/>
    <x v="2"/>
    <n v="37715"/>
    <s v="Salbutamol"/>
    <n v="7"/>
    <n v="354"/>
    <n v="31.8"/>
    <s v="Abnormal"/>
    <x v="1"/>
  </r>
  <r>
    <x v="260"/>
    <s v="Adenike Okafor"/>
    <n v="73"/>
    <x v="4"/>
    <x v="1"/>
    <s v="A-"/>
    <x v="1"/>
    <x v="2"/>
    <x v="246"/>
    <d v="2021-09-30T00:00:00"/>
    <n v="3"/>
    <s v="Lagos University Teaching Hospital"/>
    <x v="1"/>
    <s v="Dr. Chioma Nwankwo"/>
    <x v="1"/>
    <n v="30322.11"/>
    <s v="Glibenclamide"/>
    <n v="8"/>
    <n v="227"/>
    <n v="24.6"/>
    <s v="Abnormal"/>
    <x v="0"/>
  </r>
  <r>
    <x v="261"/>
    <s v="James Aliyu"/>
    <n v="59"/>
    <x v="3"/>
    <x v="0"/>
    <s v=""/>
    <x v="6"/>
    <x v="2"/>
    <x v="247"/>
    <d v="2019-08-28T00:00:00"/>
    <n v="4"/>
    <s v="University of Calabar Teaching Hospital"/>
    <x v="0"/>
    <s v="Dr. Ngozi Eze-Williams"/>
    <x v="2"/>
    <n v="30079.68"/>
    <s v="Salbutamol"/>
    <n v="7"/>
    <n v="228"/>
    <n v="32.200000000000003"/>
    <s v="Normal"/>
    <x v="0"/>
  </r>
  <r>
    <x v="262"/>
    <s v="Emmanuel Taylor"/>
    <n v="43"/>
    <x v="5"/>
    <x v="0"/>
    <s v="O+"/>
    <x v="1"/>
    <x v="0"/>
    <x v="248"/>
    <d v="2021-03-28T00:00:00"/>
    <n v="5"/>
    <s v="University College Hospital Ibadan"/>
    <x v="1"/>
    <s v="Dr. Ibrahim Musa"/>
    <x v="0"/>
    <n v="19585.14"/>
    <s v="Glibenclamide"/>
    <n v="8"/>
    <n v="110"/>
    <n v="37.299999999999997"/>
    <s v="Abnormal"/>
    <x v="0"/>
  </r>
  <r>
    <x v="263"/>
    <s v="Chukwuemeka Garba"/>
    <n v="28"/>
    <x v="2"/>
    <x v="0"/>
    <s v="B+"/>
    <x v="7"/>
    <x v="0"/>
    <x v="249"/>
    <d v="2020-09-22T00:00:00"/>
    <n v="6"/>
    <s v="Federal Medical Centre Owerri"/>
    <x v="3"/>
    <s v="Dr. Sarah Adeyemi"/>
    <x v="4"/>
    <n v="16514.009999999998"/>
    <s v="Celecoxib"/>
    <n v="4"/>
    <n v="422"/>
    <n v="22.6"/>
    <s v="Normal"/>
    <x v="0"/>
  </r>
  <r>
    <x v="264"/>
    <s v="Rotimi Nwosu"/>
    <n v="79"/>
    <x v="1"/>
    <x v="0"/>
    <s v="AB+"/>
    <x v="5"/>
    <x v="1"/>
    <x v="250"/>
    <d v="2022-11-21T00:00:00"/>
    <n v="5"/>
    <s v="Federal Medical Centre Asaba"/>
    <x v="0"/>
    <s v="Fatima Al-Hassan"/>
    <x v="4"/>
    <n v="50187.65"/>
    <s v="Furosemide"/>
    <n v="10"/>
    <n v="170"/>
    <n v="35.9"/>
    <s v="Inconclusive"/>
    <x v="1"/>
  </r>
  <r>
    <x v="265"/>
    <s v="Josephine Chukwu"/>
    <n v="74"/>
    <x v="4"/>
    <x v="1"/>
    <s v="AB-"/>
    <x v="2"/>
    <x v="0"/>
    <x v="93"/>
    <d v="2020-05-14T00:00:00"/>
    <n v="7"/>
    <s v="Ahmadu Bello University Teaching Hospital"/>
    <x v="2"/>
    <s v="Dr. Zainab Sule"/>
    <x v="1"/>
    <n v="62309.15"/>
    <s v="Aspirin"/>
    <n v="8"/>
    <n v="380"/>
    <n v="25"/>
    <s v="Abnormal"/>
    <x v="0"/>
  </r>
  <r>
    <x v="266"/>
    <s v="Taiwo Smith"/>
    <n v="91"/>
    <x v="1"/>
    <x v="1"/>
    <s v="A+"/>
    <x v="1"/>
    <x v="0"/>
    <x v="251"/>
    <d v="2021-02-26T00:00:00"/>
    <n v="8"/>
    <s v="University College Hospital Ibadan"/>
    <x v="1"/>
    <s v="Dr. Chioma Nwankwo"/>
    <x v="0"/>
    <n v="13785.22"/>
    <s v="Dapagliflozin"/>
    <n v="5"/>
    <n v="333"/>
    <n v="32.1"/>
    <s v="Abnormal"/>
    <x v="1"/>
  </r>
  <r>
    <x v="267"/>
    <s v="Taiwo Akintola"/>
    <n v="59"/>
    <x v="3"/>
    <x v="1"/>
    <s v="AB+"/>
    <x v="4"/>
    <x v="3"/>
    <x v="252"/>
    <d v="2022-02-16T00:00:00"/>
    <n v="5"/>
    <s v="Ahmadu Bello University Teaching Hospital"/>
    <x v="2"/>
    <s v="Dr. Aisha Bello"/>
    <x v="0"/>
    <n v="13710.14"/>
    <s v="Ciprofloxacin"/>
    <n v="5"/>
    <n v="413"/>
    <n v="25.7"/>
    <s v="Normal"/>
    <x v="0"/>
  </r>
  <r>
    <x v="268"/>
    <s v="Babatunde Oni"/>
    <n v="59"/>
    <x v="3"/>
    <x v="0"/>
    <s v="B+"/>
    <x v="5"/>
    <x v="0"/>
    <x v="253"/>
    <d v="2021-05-11T00:00:00"/>
    <n v="17"/>
    <s v="Federal Medical Centre Birnin Kebbi"/>
    <x v="2"/>
    <s v="Dr. Emeka Okorie"/>
    <x v="0"/>
    <n v="83564.62"/>
    <s v="Amiodarone"/>
    <n v="10"/>
    <n v="323"/>
    <n v="34.1"/>
    <s v="Abnormal"/>
    <x v="0"/>
  </r>
  <r>
    <x v="269"/>
    <s v="Chidi Ibrahim"/>
    <n v="64"/>
    <x v="3"/>
    <x v="0"/>
    <s v="A+"/>
    <x v="5"/>
    <x v="0"/>
    <x v="254"/>
    <m/>
    <m/>
    <s v="Aminu Kano Teaching Hospital"/>
    <x v="2"/>
    <s v="Dr. Adewale Ogundimu"/>
    <x v="2"/>
    <n v="222893.69"/>
    <s v="Lisinopril"/>
    <n v="10"/>
    <n v="343"/>
    <n v="32.1"/>
    <s v="Abnormal"/>
    <x v="0"/>
  </r>
  <r>
    <x v="270"/>
    <s v="Rukayat Salami"/>
    <n v="72"/>
    <x v="4"/>
    <x v="1"/>
    <s v="A-"/>
    <x v="5"/>
    <x v="1"/>
    <x v="133"/>
    <d v="2019-10-25T00:00:00"/>
    <n v="7"/>
    <s v="Ahmadu Bello University Teaching Hospital"/>
    <x v="2"/>
    <s v="Dr. Adewale Ogundimu"/>
    <x v="0"/>
    <n v="24344.2"/>
    <s v="Furosemide"/>
    <n v="9"/>
    <n v="136"/>
    <n v="20.2"/>
    <s v="Abnormal"/>
    <x v="0"/>
  </r>
  <r>
    <x v="271"/>
    <s v="Zainab Garba"/>
    <n v="76"/>
    <x v="1"/>
    <x v="1"/>
    <s v="B+"/>
    <x v="4"/>
    <x v="2"/>
    <x v="255"/>
    <d v="2022-05-25T00:00:00"/>
    <n v="5"/>
    <s v="Federal Medical Centre Birnin Kebbi"/>
    <x v="2"/>
    <s v="Dr. Aisha Bello"/>
    <x v="0"/>
    <n v="12361.72"/>
    <s v="Omeprazole"/>
    <n v="5"/>
    <n v="328"/>
    <n v="36.1"/>
    <s v="Normal"/>
    <x v="0"/>
  </r>
  <r>
    <x v="272"/>
    <s v="Suleiman Obi"/>
    <n v="69"/>
    <x v="4"/>
    <x v="0"/>
    <s v=""/>
    <x v="5"/>
    <x v="0"/>
    <x v="256"/>
    <d v="2022-10-14T00:00:00"/>
    <n v="17"/>
    <s v="Federal Medical Centre Asaba"/>
    <x v="0"/>
    <s v="Dr. Adewale Ogundimu"/>
    <x v="4"/>
    <n v="73434"/>
    <s v="Amiodarone"/>
    <n v="9"/>
    <n v="360"/>
    <n v="31.5"/>
    <s v="Abnormal"/>
    <x v="0"/>
  </r>
  <r>
    <x v="273"/>
    <s v="Chidi Williams"/>
    <n v="79"/>
    <x v="1"/>
    <x v="0"/>
    <s v="B-"/>
    <x v="6"/>
    <x v="0"/>
    <x v="257"/>
    <d v="2024-12-12T00:00:00"/>
    <n v="7"/>
    <s v="Federal Medical Centre Asaba"/>
    <x v="0"/>
    <s v="Dr. Ngozi Eze-Williams"/>
    <x v="0"/>
    <n v="27331.3"/>
    <s v="Ipratropium"/>
    <n v="7"/>
    <n v="353"/>
    <n v="32.299999999999997"/>
    <s v="Abnormal"/>
    <x v="1"/>
  </r>
  <r>
    <x v="274"/>
    <s v="Femi Hassan"/>
    <n v="69"/>
    <x v="4"/>
    <x v="0"/>
    <s v="A-"/>
    <x v="7"/>
    <x v="2"/>
    <x v="258"/>
    <d v="2019-05-17T00:00:00"/>
    <n v="5"/>
    <s v="Lagos University Teaching Hospital"/>
    <x v="1"/>
    <s v="Dr. Musa Aliyu"/>
    <x v="0"/>
    <n v="44058.61"/>
    <s v="Enoxaparin"/>
    <n v="6"/>
    <n v="480"/>
    <n v="25.3"/>
    <s v="Inconclusive"/>
    <x v="0"/>
  </r>
  <r>
    <x v="275"/>
    <s v="Yusuf Martin"/>
    <n v="73"/>
    <x v="4"/>
    <x v="0"/>
    <s v="B-"/>
    <x v="5"/>
    <x v="0"/>
    <x v="259"/>
    <d v="2024-11-21T00:00:00"/>
    <n v="7"/>
    <s v="Bowen University Teaching Hospital"/>
    <x v="1"/>
    <s v="Dr. Fatima Al-Hassan"/>
    <x v="1"/>
    <n v="166449"/>
    <s v="Lisinopril"/>
    <n v="10"/>
    <n v="330"/>
    <n v="37.5"/>
    <s v="Abnormal"/>
    <x v="1"/>
  </r>
  <r>
    <x v="276"/>
    <s v="Musa Bello"/>
    <n v="65"/>
    <x v="4"/>
    <x v="0"/>
    <s v="B+"/>
    <x v="0"/>
    <x v="1"/>
    <x v="74"/>
    <d v="2022-07-28T00:00:00"/>
    <n v="16"/>
    <s v="Bowen University Teaching Hospital"/>
    <x v="1"/>
    <s v="Dr. Babatunde Fashola"/>
    <x v="1"/>
    <n v="53979"/>
    <s v="Dexamethasone"/>
    <n v="12"/>
    <n v="180"/>
    <m/>
    <s v="Abnormal"/>
    <x v="0"/>
  </r>
  <r>
    <x v="277"/>
    <s v="Rebecca Ajala"/>
    <n v="67"/>
    <x v="4"/>
    <x v="1"/>
    <s v="A-"/>
    <x v="2"/>
    <x v="0"/>
    <x v="260"/>
    <d v="2020-06-28T00:00:00"/>
    <n v="7"/>
    <s v="Federal Medical Centre Birnin Kebbi"/>
    <x v="2"/>
    <s v="Dr. Olumide Abiodun"/>
    <x v="1"/>
    <n v="51853.84"/>
    <s v="Phenytoin"/>
    <n v="8"/>
    <n v="398"/>
    <n v="28"/>
    <s v="Inconclusive"/>
    <x v="0"/>
  </r>
  <r>
    <x v="278"/>
    <s v="Kayode Okonkwo"/>
    <n v="21"/>
    <x v="2"/>
    <x v="0"/>
    <s v="O-"/>
    <x v="2"/>
    <x v="0"/>
    <x v="261"/>
    <d v="2024-08-03T00:00:00"/>
    <n v="6"/>
    <s v="Federal Medical Centre Owerri"/>
    <x v="3"/>
    <s v="Dr. Rotimi Fashola"/>
    <x v="1"/>
    <n v="31747.040000000001"/>
    <s v="Levetiracetam"/>
    <n v="9"/>
    <n v="340"/>
    <n v="20.100000000000001"/>
    <s v="Abnormal"/>
    <x v="0"/>
  </r>
  <r>
    <x v="279"/>
    <s v="Kemi Chukwu"/>
    <n v="76"/>
    <x v="1"/>
    <x v="1"/>
    <s v="O+"/>
    <x v="6"/>
    <x v="0"/>
    <x v="262"/>
    <d v="2019-11-16T00:00:00"/>
    <n v="8"/>
    <s v="University of Calabar Teaching Hospital"/>
    <x v="0"/>
    <s v="Dr. Halima Usman"/>
    <x v="0"/>
    <n v="33738.75"/>
    <s v="Theophylline"/>
    <n v="6"/>
    <n v="308"/>
    <n v="27.9"/>
    <s v="Abnormal"/>
    <x v="0"/>
  </r>
  <r>
    <x v="280"/>
    <s v="Chidi Onuoha"/>
    <n v="59"/>
    <x v="3"/>
    <x v="0"/>
    <s v="AB+"/>
    <x v="7"/>
    <x v="0"/>
    <x v="263"/>
    <d v="2023-01-26T00:00:00"/>
    <n v="6"/>
    <s v="Ahmadu Bello University Teaching Hospital"/>
    <x v="2"/>
    <s v="Dr. Musa Aliyu"/>
    <x v="0"/>
    <n v="33823.69"/>
    <s v="Enoxaparin"/>
    <n v="5"/>
    <n v="147"/>
    <n v="25"/>
    <s v="Normal"/>
    <x v="0"/>
  </r>
  <r>
    <x v="281"/>
    <s v="Kayode Martin"/>
    <n v="48"/>
    <x v="5"/>
    <x v="0"/>
    <s v="B+"/>
    <x v="6"/>
    <x v="0"/>
    <x v="264"/>
    <d v="2020-08-23T00:00:00"/>
    <n v="8"/>
    <s v="Federal Medical Centre Birnin Kebbi"/>
    <x v="2"/>
    <s v="Dr. Ngozi Eze-Williams"/>
    <x v="4"/>
    <n v="20456.32"/>
    <s v="Tiotropium"/>
    <n v="7"/>
    <n v="374"/>
    <n v="38.299999999999997"/>
    <s v="Abnormal"/>
    <x v="0"/>
  </r>
  <r>
    <x v="282"/>
    <s v="Hauwa Igwe"/>
    <n v="67"/>
    <x v="4"/>
    <x v="1"/>
    <s v="O+"/>
    <x v="1"/>
    <x v="0"/>
    <x v="265"/>
    <d v="2023-03-02T00:00:00"/>
    <n v="4"/>
    <s v="Ahmadu Bello University Teaching Hospital"/>
    <x v="2"/>
    <s v="Dr. Chioma Nwankwo"/>
    <x v="3"/>
    <n v="41529.29"/>
    <s v="Linagliptin"/>
    <n v="6"/>
    <n v="452"/>
    <n v="26.6"/>
    <s v="Abnormal"/>
    <x v="1"/>
  </r>
  <r>
    <x v="283"/>
    <s v="Amaka Nwosu"/>
    <n v="78"/>
    <x v="1"/>
    <x v="1"/>
    <s v="O-"/>
    <x v="3"/>
    <x v="2"/>
    <x v="266"/>
    <d v="2020-02-16T00:00:00"/>
    <n v="3"/>
    <s v="Federal Medical Centre Birnin Kebbi"/>
    <x v="2"/>
    <s v="Dr. Precious Obi"/>
    <x v="3"/>
    <n v="116129.94"/>
    <s v="Amoxicillin"/>
    <n v="6"/>
    <n v="460"/>
    <n v="19.100000000000001"/>
    <s v="Abnormal"/>
    <x v="0"/>
  </r>
  <r>
    <x v="284"/>
    <s v="Chiamaka Bello"/>
    <n v="59"/>
    <x v="3"/>
    <x v="1"/>
    <s v="B+"/>
    <x v="2"/>
    <x v="0"/>
    <x v="34"/>
    <d v="2019-04-25T00:00:00"/>
    <n v="7"/>
    <s v="Federal Medical Centre Asaba"/>
    <x v="0"/>
    <s v="Dr. Olumide Abiodun"/>
    <x v="1"/>
    <n v="128508.96"/>
    <s v="Gabapentin"/>
    <n v="6"/>
    <n v="390"/>
    <n v="29.7"/>
    <s v="Abnormal"/>
    <x v="0"/>
  </r>
  <r>
    <x v="285"/>
    <s v="Taiwo Abubakar"/>
    <n v="83"/>
    <x v="1"/>
    <x v="1"/>
    <s v="AB+"/>
    <x v="2"/>
    <x v="0"/>
    <x v="267"/>
    <d v="2019-01-12T00:00:00"/>
    <n v="12"/>
    <s v="National Hospital Abuja"/>
    <x v="4"/>
    <s v="Dr. Zainab Sule"/>
    <x v="0"/>
    <n v="87624.67"/>
    <s v="Clopidogrel"/>
    <n v="9"/>
    <n v="310"/>
    <n v="29.1"/>
    <s v="Normal"/>
    <x v="0"/>
  </r>
  <r>
    <x v="286"/>
    <s v="Blessing Fashola"/>
    <n v="49"/>
    <x v="5"/>
    <x v="1"/>
    <s v="A+"/>
    <x v="0"/>
    <x v="1"/>
    <x v="263"/>
    <d v="2023-02-02T00:00:00"/>
    <n v="13"/>
    <s v="Federal Medical Centre Owerri"/>
    <x v="3"/>
    <s v="Dr. Grace Oduya"/>
    <x v="2"/>
    <n v="48769.32"/>
    <s v="Cyclophosphamide"/>
    <n v="12"/>
    <n v="172"/>
    <n v="30.6"/>
    <s v="Abnormal"/>
    <x v="0"/>
  </r>
  <r>
    <x v="287"/>
    <s v="Adaeze Bankole"/>
    <n v="64"/>
    <x v="3"/>
    <x v="1"/>
    <s v="O+"/>
    <x v="6"/>
    <x v="0"/>
    <x v="268"/>
    <d v="2020-12-10T00:00:00"/>
    <n v="3"/>
    <s v="Federal Medical Centre Owerri"/>
    <x v="3"/>
    <s v="Dr. Halima Usman"/>
    <x v="3"/>
    <n v="34491.61"/>
    <s v="Azithromycin"/>
    <n v="6"/>
    <n v="322"/>
    <n v="34.200000000000003"/>
    <s v="Normal"/>
    <x v="0"/>
  </r>
  <r>
    <x v="288"/>
    <s v="Biodun Dauda"/>
    <n v="53"/>
    <x v="5"/>
    <x v="0"/>
    <s v="A-"/>
    <x v="3"/>
    <x v="2"/>
    <x v="269"/>
    <d v="2020-03-22T00:00:00"/>
    <n v="6"/>
    <s v="Aminu Kano Teaching Hospital"/>
    <x v="2"/>
    <s v="Dr. Lanre Ogundele"/>
    <x v="4"/>
    <n v="11923.33"/>
    <s v="Paracetamol"/>
    <n v="5"/>
    <n v="319"/>
    <n v="33.5"/>
    <s v="Normal"/>
    <x v="0"/>
  </r>
  <r>
    <x v="289"/>
    <s v="Suleiman Martin"/>
    <n v="60"/>
    <x v="3"/>
    <x v="0"/>
    <s v="O+"/>
    <x v="0"/>
    <x v="1"/>
    <x v="270"/>
    <d v="2021-08-23T00:00:00"/>
    <n v="13"/>
    <s v="Bowen University Teaching Hospital"/>
    <x v="1"/>
    <s v="Dr. Babatunde Fashola"/>
    <x v="0"/>
    <n v="48077.69"/>
    <s v="Rituximab"/>
    <n v="9"/>
    <n v="106"/>
    <n v="16.7"/>
    <s v="Abnormal"/>
    <x v="0"/>
  </r>
  <r>
    <x v="290"/>
    <s v="Mariam Chukwu"/>
    <n v="40"/>
    <x v="5"/>
    <x v="1"/>
    <s v="AB-"/>
    <x v="1"/>
    <x v="1"/>
    <x v="271"/>
    <d v="2019-01-26T00:00:00"/>
    <n v="6"/>
    <s v="Federal Medical Centre Owerri"/>
    <x v="3"/>
    <s v="Dr. Ibrahim Musa"/>
    <x v="0"/>
    <n v="11821"/>
    <s v="Dapagliflozin"/>
    <n v="6"/>
    <n v="150"/>
    <n v="31.6"/>
    <s v="Normal"/>
    <x v="0"/>
  </r>
  <r>
    <x v="291"/>
    <s v="Amaka Adeyemi"/>
    <n v="86"/>
    <x v="1"/>
    <x v="1"/>
    <s v="AB-"/>
    <x v="0"/>
    <x v="2"/>
    <x v="272"/>
    <d v="2023-01-12T00:00:00"/>
    <n v="11"/>
    <s v="Lagos University Teaching Hospital"/>
    <x v="1"/>
    <s v="Dr. Babatunde Fashola"/>
    <x v="0"/>
    <n v="72442.789999999994"/>
    <s v="Carboplatin"/>
    <n v="12"/>
    <n v="187"/>
    <m/>
    <s v="Abnormal"/>
    <x v="0"/>
  </r>
  <r>
    <x v="292"/>
    <s v="Sarah Wilson"/>
    <n v="53"/>
    <x v="5"/>
    <x v="1"/>
    <s v="A+"/>
    <x v="6"/>
    <x v="1"/>
    <x v="273"/>
    <d v="2022-02-26T00:00:00"/>
    <n v="3"/>
    <s v="National Hospital Abuja"/>
    <x v="4"/>
    <s v="Dr. Halima Usman"/>
    <x v="1"/>
    <n v="9307.89"/>
    <s v="Theophylline"/>
    <n v="7"/>
    <n v="149"/>
    <n v="27.4"/>
    <s v="Normal"/>
    <x v="0"/>
  </r>
  <r>
    <x v="293"/>
    <s v="Rukayat Thompson"/>
    <n v="60"/>
    <x v="3"/>
    <x v="1"/>
    <s v="A-"/>
    <x v="0"/>
    <x v="0"/>
    <x v="274"/>
    <d v="2023-09-02T00:00:00"/>
    <n v="11"/>
    <s v="University College Hospital Ibadan"/>
    <x v="1"/>
    <s v="Dr. Babatunde Fashola"/>
    <x v="2"/>
    <n v="72879"/>
    <s v="Letrozole"/>
    <n v="10"/>
    <n v="114"/>
    <n v="26.6"/>
    <s v="Normal"/>
    <x v="0"/>
  </r>
  <r>
    <x v="294"/>
    <s v="Chidi Yakubu"/>
    <n v="70"/>
    <x v="4"/>
    <x v="0"/>
    <s v="A-"/>
    <x v="5"/>
    <x v="0"/>
    <x v="259"/>
    <d v="2024-11-25T00:00:00"/>
    <n v="11"/>
    <s v="University of Calabar Teaching Hospital"/>
    <x v="0"/>
    <s v="Dr. Emeka Okorie"/>
    <x v="0"/>
    <n v="80603"/>
    <s v="Warfarin"/>
    <n v="10"/>
    <n v="379"/>
    <n v="31.5"/>
    <s v="Inconclusive"/>
    <x v="1"/>
  </r>
  <r>
    <x v="295"/>
    <s v="Kayode Aliyu"/>
    <n v="83"/>
    <x v="1"/>
    <x v="0"/>
    <s v="A-"/>
    <x v="5"/>
    <x v="0"/>
    <x v="227"/>
    <d v="2023-12-27T00:00:00"/>
    <n v="11"/>
    <s v="Federal Medical Centre Owerri"/>
    <x v="3"/>
    <s v="Dr. Adewale Ogundimu"/>
    <x v="1"/>
    <n v="81532.800000000003"/>
    <s v="Amiodarone"/>
    <n v="10"/>
    <n v="360"/>
    <n v="27.7"/>
    <s v="Abnormal"/>
    <x v="1"/>
  </r>
  <r>
    <x v="296"/>
    <s v="Lydia Lawan"/>
    <n v="84"/>
    <x v="1"/>
    <x v="1"/>
    <s v="B+"/>
    <x v="5"/>
    <x v="1"/>
    <x v="275"/>
    <d v="2024-07-06T00:00:00"/>
    <n v="4"/>
    <s v="University College Hospital Ibadan"/>
    <x v="1"/>
    <s v="Dr. Adewale Ogundimu"/>
    <x v="1"/>
    <n v="124685"/>
    <s v="Amlodipine"/>
    <n v="10"/>
    <n v="194"/>
    <n v="42"/>
    <s v="Abnormal"/>
    <x v="1"/>
  </r>
  <r>
    <x v="297"/>
    <s v="Aisha Wilson"/>
    <n v="87"/>
    <x v="1"/>
    <x v="1"/>
    <s v="A-"/>
    <x v="5"/>
    <x v="0"/>
    <x v="276"/>
    <d v="2022-12-09T00:00:00"/>
    <n v="10"/>
    <s v="Aminu Kano Teaching Hospital"/>
    <x v="2"/>
    <s v="Dr. Emeka Okorie"/>
    <x v="3"/>
    <n v="74300.490000000005"/>
    <s v="Digoxin"/>
    <n v="9"/>
    <n v="318"/>
    <n v="25.6"/>
    <s v="Abnormal"/>
    <x v="0"/>
  </r>
  <r>
    <x v="298"/>
    <s v="Chioma Okonkwo"/>
    <n v="69"/>
    <x v="4"/>
    <x v="1"/>
    <s v="B-"/>
    <x v="0"/>
    <x v="0"/>
    <x v="277"/>
    <d v="2024-07-07T00:00:00"/>
    <n v="14"/>
    <s v="Lagos University Teaching Hospital"/>
    <x v="1"/>
    <s v="Dr. Amara Osei"/>
    <x v="0"/>
    <n v="85085.39"/>
    <s v="Rituximab"/>
    <n v="12"/>
    <n v="116"/>
    <n v="29.8"/>
    <s v="Inconclusive"/>
    <x v="0"/>
  </r>
  <r>
    <x v="299"/>
    <s v="Rukayat Smith"/>
    <n v="56"/>
    <x v="3"/>
    <x v="1"/>
    <s v="A-"/>
    <x v="0"/>
    <x v="2"/>
    <x v="278"/>
    <d v="2020-06-08T00:00:00"/>
    <n v="13"/>
    <s v="Federal Medical Centre Birnin Kebbi"/>
    <x v="2"/>
    <s v="Dr. Babatunde Fashola"/>
    <x v="4"/>
    <n v="51973"/>
    <s v="Tamoxifen"/>
    <n v="10"/>
    <n v="357"/>
    <n v="20.3"/>
    <s v="Abnormal"/>
    <x v="0"/>
  </r>
  <r>
    <x v="300"/>
    <s v="Babatunde Osagie"/>
    <n v="61"/>
    <x v="3"/>
    <x v="0"/>
    <s v="A-"/>
    <x v="1"/>
    <x v="0"/>
    <x v="279"/>
    <d v="2024-03-10T00:00:00"/>
    <n v="5"/>
    <s v="University College Hospital Ibadan"/>
    <x v="1"/>
    <s v="Dr. Ibrahim Musa"/>
    <x v="1"/>
    <n v="38768.81"/>
    <s v="Liraglutide"/>
    <n v="6"/>
    <n v="248"/>
    <m/>
    <s v="Normal"/>
    <x v="0"/>
  </r>
  <r>
    <x v="301"/>
    <s v="Kemi Martin"/>
    <n v="73"/>
    <x v="4"/>
    <x v="1"/>
    <s v="O-"/>
    <x v="5"/>
    <x v="0"/>
    <x v="280"/>
    <d v="2020-10-03T00:00:00"/>
    <n v="8"/>
    <s v="University College Hospital Ibadan"/>
    <x v="1"/>
    <s v="Dr. Adewale Ogundimu"/>
    <x v="1"/>
    <n v="121048"/>
    <s v="Lisinopril"/>
    <n v="9"/>
    <n v="361"/>
    <m/>
    <s v="Abnormal"/>
    <x v="1"/>
  </r>
  <r>
    <x v="302"/>
    <s v="Blessing Garba"/>
    <n v="89"/>
    <x v="1"/>
    <x v="1"/>
    <s v="A+"/>
    <x v="0"/>
    <x v="1"/>
    <x v="244"/>
    <d v="2020-12-12T00:00:00"/>
    <n v="12"/>
    <s v="Lagos University Teaching Hospital"/>
    <x v="1"/>
    <s v="Dr. Amara Osei"/>
    <x v="0"/>
    <n v="27472.49"/>
    <s v="Filgrastim"/>
    <n v="12"/>
    <n v="101"/>
    <n v="26.4"/>
    <s v="Abnormal"/>
    <x v="0"/>
  </r>
  <r>
    <x v="303"/>
    <s v="Esther Abiodun"/>
    <n v="60"/>
    <x v="3"/>
    <x v="1"/>
    <s v="O+"/>
    <x v="0"/>
    <x v="1"/>
    <x v="276"/>
    <d v="2022-12-16T00:00:00"/>
    <n v="17"/>
    <s v="University College Hospital Ibadan"/>
    <x v="1"/>
    <s v="Dr. Grace Oduya"/>
    <x v="4"/>
    <n v="30757.08"/>
    <s v="Dexamethasone"/>
    <n v="10"/>
    <n v="161"/>
    <n v="21"/>
    <s v="Abnormal"/>
    <x v="0"/>
  </r>
  <r>
    <x v="304"/>
    <s v="Suleiman Brown"/>
    <n v="91"/>
    <x v="1"/>
    <x v="0"/>
    <s v="O+"/>
    <x v="0"/>
    <x v="0"/>
    <x v="281"/>
    <d v="2019-05-17T00:00:00"/>
    <n v="16"/>
    <s v="Bowen University Teaching Hospital"/>
    <x v="1"/>
    <s v="Dr. Amara Osei"/>
    <x v="1"/>
    <n v="134889.72"/>
    <s v="Trastuzumab"/>
    <n v="12"/>
    <n v="158"/>
    <n v="28.2"/>
    <s v="Normal"/>
    <x v="1"/>
  </r>
  <r>
    <x v="305"/>
    <s v="Stella Fashola"/>
    <n v="65"/>
    <x v="4"/>
    <x v="1"/>
    <s v="A-"/>
    <x v="6"/>
    <x v="1"/>
    <x v="282"/>
    <d v="2022-11-26T00:00:00"/>
    <n v="4"/>
    <s v="Federal Medical Centre Asaba"/>
    <x v="0"/>
    <s v="Dr. Ngozi Eze-Williams"/>
    <x v="0"/>
    <n v="11133.82"/>
    <s v="Ipratropium"/>
    <n v="6"/>
    <n v="193"/>
    <n v="24.8"/>
    <s v="Abnormal"/>
    <x v="1"/>
  </r>
  <r>
    <x v="306"/>
    <s v="Lanre Davis"/>
    <n v="50"/>
    <x v="5"/>
    <x v="0"/>
    <s v="AB+"/>
    <x v="5"/>
    <x v="1"/>
    <x v="283"/>
    <d v="2019-11-22T00:00:00"/>
    <n v="5"/>
    <s v="University College Hospital Ibadan"/>
    <x v="1"/>
    <s v="Dr. Fatima Al-Hassan"/>
    <x v="2"/>
    <n v="40733.32"/>
    <s v="Furosemide"/>
    <n v="10"/>
    <n v="166"/>
    <n v="30.1"/>
    <s v="Inconclusive"/>
    <x v="0"/>
  </r>
  <r>
    <x v="307"/>
    <s v="Nnamdi Moore"/>
    <n v="66"/>
    <x v="4"/>
    <x v="0"/>
    <s v="B-"/>
    <x v="5"/>
    <x v="2"/>
    <x v="284"/>
    <d v="2023-11-16T00:00:00"/>
    <n v="20"/>
    <s v="Bowen University Teaching Hospital"/>
    <x v="1"/>
    <s v="Dr. Emeka Okorie"/>
    <x v="4"/>
    <n v="53600"/>
    <s v="Furosemide"/>
    <n v="6"/>
    <n v="216"/>
    <n v="25.1"/>
    <s v="Abnormal"/>
    <x v="1"/>
  </r>
  <r>
    <x v="308"/>
    <s v="Ngozi Williams"/>
    <n v="61"/>
    <x v="3"/>
    <x v="1"/>
    <s v="A+"/>
    <x v="2"/>
    <x v="0"/>
    <x v="285"/>
    <d v="2023-10-24T00:00:00"/>
    <n v="9"/>
    <s v="Federal Medical Centre Asaba"/>
    <x v="0"/>
    <s v="Dr. Olumide Abiodun"/>
    <x v="1"/>
    <n v="59453.14"/>
    <s v="Clopidogrel"/>
    <n v="9"/>
    <n v="392"/>
    <n v="27.7"/>
    <s v="Abnormal"/>
    <x v="0"/>
  </r>
  <r>
    <x v="309"/>
    <s v="Ifeanyi Okonkwo"/>
    <n v="60"/>
    <x v="3"/>
    <x v="0"/>
    <s v="A-"/>
    <x v="1"/>
    <x v="0"/>
    <x v="41"/>
    <d v="2021-10-30T00:00:00"/>
    <n v="9"/>
    <s v="Federal Medical Centre Asaba"/>
    <x v="0"/>
    <s v="Dr. Taiwo Adeleke"/>
    <x v="4"/>
    <n v="30498.67"/>
    <s v="Empagliflozin"/>
    <n v="6"/>
    <n v="461"/>
    <n v="37.799999999999997"/>
    <s v="Abnormal"/>
    <x v="0"/>
  </r>
  <r>
    <x v="310"/>
    <s v="Biodun Lawal"/>
    <n v="91"/>
    <x v="1"/>
    <x v="0"/>
    <s v=""/>
    <x v="4"/>
    <x v="1"/>
    <x v="286"/>
    <d v="2024-06-02T00:00:00"/>
    <n v="4"/>
    <s v="University College Hospital Ibadan"/>
    <x v="1"/>
    <s v="Dr. Aisha Bello"/>
    <x v="0"/>
    <n v="12815.68"/>
    <s v="Mesalazine"/>
    <n v="4"/>
    <n v="103"/>
    <m/>
    <s v="Abnormal"/>
    <x v="1"/>
  </r>
  <r>
    <x v="311"/>
    <s v="Babatunde Salami"/>
    <n v="53"/>
    <x v="5"/>
    <x v="0"/>
    <s v="B-"/>
    <x v="2"/>
    <x v="1"/>
    <x v="287"/>
    <d v="2019-02-09T00:00:00"/>
    <n v="11"/>
    <s v="Federal Medical Centre Birnin Kebbi"/>
    <x v="2"/>
    <s v="Dr. Olumide Abiodun"/>
    <x v="4"/>
    <n v="34008.22"/>
    <s v="Valproate"/>
    <n v="7"/>
    <n v="135"/>
    <n v="25.2"/>
    <s v="Abnormal"/>
    <x v="0"/>
  </r>
  <r>
    <x v="312"/>
    <s v="Fatima Davis"/>
    <n v="70"/>
    <x v="4"/>
    <x v="1"/>
    <s v="AB-"/>
    <x v="6"/>
    <x v="2"/>
    <x v="288"/>
    <d v="2020-05-28T00:00:00"/>
    <n v="4"/>
    <s v="Federal Medical Centre Owerri"/>
    <x v="3"/>
    <s v="Dr. Halima Usman"/>
    <x v="1"/>
    <n v="17189.14"/>
    <s v="Montelukast"/>
    <n v="4"/>
    <n v="192"/>
    <n v="31.7"/>
    <s v="Abnormal"/>
    <x v="1"/>
  </r>
  <r>
    <x v="313"/>
    <s v="Ibrahim Akintola"/>
    <n v="40"/>
    <x v="5"/>
    <x v="0"/>
    <s v="B-"/>
    <x v="1"/>
    <x v="1"/>
    <x v="289"/>
    <d v="2022-07-27T00:00:00"/>
    <n v="4"/>
    <s v="Lagos University Teaching Hospital"/>
    <x v="1"/>
    <s v="Dr. Taiwo Adeleke"/>
    <x v="0"/>
    <n v="14902.86"/>
    <s v="Insulin Glargine"/>
    <n v="7"/>
    <n v="187"/>
    <m/>
    <s v="Abnormal"/>
    <x v="1"/>
  </r>
  <r>
    <x v="314"/>
    <s v="Michael Moore"/>
    <n v="60"/>
    <x v="3"/>
    <x v="0"/>
    <s v="A-"/>
    <x v="5"/>
    <x v="0"/>
    <x v="290"/>
    <d v="2019-04-21T00:00:00"/>
    <n v="6"/>
    <s v="Federal Medical Centre Owerri"/>
    <x v="3"/>
    <s v="Dr. Adewale Ogundimu"/>
    <x v="1"/>
    <n v="176889.62"/>
    <s v="Amiodarone"/>
    <n v="10"/>
    <n v="373"/>
    <n v="29.9"/>
    <s v="Inconclusive"/>
    <x v="1"/>
  </r>
  <r>
    <x v="315"/>
    <s v="John Ajala"/>
    <n v="76"/>
    <x v="1"/>
    <x v="0"/>
    <s v="B-"/>
    <x v="5"/>
    <x v="2"/>
    <x v="291"/>
    <d v="2023-01-30T00:00:00"/>
    <n v="8"/>
    <s v="Federal Medical Centre Owerri"/>
    <x v="3"/>
    <s v="Dr. Emeka Okorie"/>
    <x v="0"/>
    <n v="70445.34"/>
    <s v="Amlodipine"/>
    <n v="9"/>
    <n v="164"/>
    <n v="31.2"/>
    <s v="Abnormal"/>
    <x v="0"/>
  </r>
  <r>
    <x v="316"/>
    <s v="Uche Salami"/>
    <n v="74"/>
    <x v="4"/>
    <x v="0"/>
    <s v="A-"/>
    <x v="7"/>
    <x v="0"/>
    <x v="292"/>
    <m/>
    <m/>
    <s v="National Hospital Abuja"/>
    <x v="4"/>
    <s v="Dr. Sarah Adeyemi"/>
    <x v="4"/>
    <n v="31778.69"/>
    <s v="Celecoxib"/>
    <n v="3"/>
    <n v="298"/>
    <n v="32.5"/>
    <s v="Normal"/>
    <x v="1"/>
  </r>
  <r>
    <x v="317"/>
    <s v="Femi Brown"/>
    <n v="69"/>
    <x v="4"/>
    <x v="0"/>
    <s v="O-"/>
    <x v="1"/>
    <x v="2"/>
    <x v="293"/>
    <d v="2024-01-18T00:00:00"/>
    <n v="5"/>
    <s v="National Hospital Abuja"/>
    <x v="4"/>
    <s v="Dr. Taiwo Adeleke"/>
    <x v="3"/>
    <n v="24407.53"/>
    <s v="Insulin Glargine"/>
    <n v="8"/>
    <n v="190"/>
    <n v="19.600000000000001"/>
    <s v="Abnormal"/>
    <x v="1"/>
  </r>
  <r>
    <x v="318"/>
    <s v="John Ajala"/>
    <n v="60"/>
    <x v="3"/>
    <x v="0"/>
    <s v="AB+"/>
    <x v="5"/>
    <x v="1"/>
    <x v="294"/>
    <d v="2019-07-11T00:00:00"/>
    <n v="20"/>
    <s v="Federal Medical Centre Asaba"/>
    <x v="0"/>
    <s v="Dr. Adewale Ogundimu"/>
    <x v="0"/>
    <n v="42325"/>
    <s v="Furosemide"/>
    <n v="10"/>
    <n v="185"/>
    <n v="26.4"/>
    <s v="Abnormal"/>
    <x v="0"/>
  </r>
  <r>
    <x v="319"/>
    <s v="Rachel Oni"/>
    <n v="54"/>
    <x v="5"/>
    <x v="1"/>
    <s v="B+"/>
    <x v="1"/>
    <x v="1"/>
    <x v="295"/>
    <d v="2022-03-07T00:00:00"/>
    <n v="7"/>
    <s v="Lagos University Teaching Hospital"/>
    <x v="1"/>
    <s v="Dr. Chioma Nwankwo"/>
    <x v="4"/>
    <n v="10381.77"/>
    <s v="Insulin Glargine"/>
    <n v="8"/>
    <n v="185"/>
    <n v="38.200000000000003"/>
    <s v="Abnormal"/>
    <x v="0"/>
  </r>
  <r>
    <x v="320"/>
    <s v="Femi Adeleke"/>
    <n v="70"/>
    <x v="4"/>
    <x v="0"/>
    <s v="O-"/>
    <x v="2"/>
    <x v="0"/>
    <x v="143"/>
    <d v="2019-06-11T00:00:00"/>
    <n v="4"/>
    <s v="University of Calabar Teaching Hospital"/>
    <x v="0"/>
    <s v="Dr. Olumide Abiodun"/>
    <x v="1"/>
    <n v="211546"/>
    <s v="Levetiracetam"/>
    <n v="7"/>
    <n v="393"/>
    <n v="28.3"/>
    <s v="Abnormal"/>
    <x v="0"/>
  </r>
  <r>
    <x v="321"/>
    <s v="Yusuf Dauda"/>
    <n v="58"/>
    <x v="3"/>
    <x v="0"/>
    <s v="B-"/>
    <x v="5"/>
    <x v="0"/>
    <x v="296"/>
    <d v="2021-08-29T00:00:00"/>
    <n v="10"/>
    <s v="Ahmadu Bello University Teaching Hospital"/>
    <x v="2"/>
    <s v="Dr. Emeka Okorie"/>
    <x v="1"/>
    <n v="65161.83"/>
    <s v="Amiodarone"/>
    <n v="9"/>
    <n v="357"/>
    <n v="37.700000000000003"/>
    <s v="Abnormal"/>
    <x v="0"/>
  </r>
  <r>
    <x v="322"/>
    <s v="James Thompson"/>
    <n v="56"/>
    <x v="3"/>
    <x v="0"/>
    <s v="B-"/>
    <x v="1"/>
    <x v="1"/>
    <x v="296"/>
    <d v="2021-08-22T00:00:00"/>
    <n v="3"/>
    <s v="Aminu Kano Teaching Hospital"/>
    <x v="2"/>
    <s v="Dr. Ibrahim Musa"/>
    <x v="2"/>
    <n v="16978.29"/>
    <s v="Dapagliflozin"/>
    <n v="8"/>
    <n v="139"/>
    <n v="19.3"/>
    <s v="Abnormal"/>
    <x v="0"/>
  </r>
  <r>
    <x v="323"/>
    <s v="Miriam Obi"/>
    <n v="66"/>
    <x v="4"/>
    <x v="1"/>
    <s v="O+"/>
    <x v="1"/>
    <x v="0"/>
    <x v="256"/>
    <d v="2022-10-02T00:00:00"/>
    <n v="5"/>
    <s v="Lagos University Teaching Hospital"/>
    <x v="1"/>
    <s v="Dr. Chioma Nwankwo"/>
    <x v="3"/>
    <n v="40720.959999999999"/>
    <s v="Empagliflozin"/>
    <n v="5"/>
    <n v="227"/>
    <n v="27.5"/>
    <s v="Abnormal"/>
    <x v="1"/>
  </r>
  <r>
    <x v="324"/>
    <s v="Fatima Bankole"/>
    <n v="47"/>
    <x v="5"/>
    <x v="1"/>
    <s v="O+"/>
    <x v="3"/>
    <x v="0"/>
    <x v="297"/>
    <d v="2022-02-09T00:00:00"/>
    <n v="20"/>
    <s v="Lagos University Teaching Hospital"/>
    <x v="1"/>
    <s v="Dr. Precious Obi"/>
    <x v="0"/>
    <n v="22347.95"/>
    <s v="Enoxaparin"/>
    <n v="6"/>
    <n v="259"/>
    <n v="30.6"/>
    <s v="Normal"/>
    <x v="1"/>
  </r>
  <r>
    <x v="325"/>
    <s v="Joseph Ogbonna"/>
    <n v="56"/>
    <x v="3"/>
    <x v="0"/>
    <s v="AB+"/>
    <x v="6"/>
    <x v="0"/>
    <x v="298"/>
    <d v="2023-12-25T00:00:00"/>
    <n v="8"/>
    <s v="National Hospital Abuja"/>
    <x v="4"/>
    <s v="Dr. Ngozi Eze-Williams"/>
    <x v="0"/>
    <n v="28745.97"/>
    <s v="Prednisolone"/>
    <n v="7"/>
    <n v="310"/>
    <n v="27.3"/>
    <s v="Abnormal"/>
    <x v="0"/>
  </r>
  <r>
    <x v="326"/>
    <s v="Joseph Ajala"/>
    <n v="39"/>
    <x v="5"/>
    <x v="0"/>
    <s v="A-"/>
    <x v="1"/>
    <x v="0"/>
    <x v="299"/>
    <d v="2022-07-11T00:00:00"/>
    <n v="12"/>
    <s v="Federal Medical Centre Birnin Kebbi"/>
    <x v="2"/>
    <s v="Dr. Taiwo Adeleke"/>
    <x v="1"/>
    <n v="35086.51"/>
    <s v="Liraglutide"/>
    <n v="8"/>
    <n v="458"/>
    <n v="27.9"/>
    <s v="Abnormal"/>
    <x v="0"/>
  </r>
  <r>
    <x v="327"/>
    <s v="Tunde Musa"/>
    <n v="41"/>
    <x v="5"/>
    <x v="0"/>
    <s v="AB-"/>
    <x v="1"/>
    <x v="1"/>
    <x v="300"/>
    <d v="2023-09-13T00:00:00"/>
    <n v="4"/>
    <s v="Aminu Kano Teaching Hospital"/>
    <x v="2"/>
    <s v="Dr. Taiwo Adeleke"/>
    <x v="0"/>
    <n v="13395.75"/>
    <s v="Glibenclamide"/>
    <n v="6"/>
    <n v="160"/>
    <n v="38.5"/>
    <s v="Abnormal"/>
    <x v="0"/>
  </r>
  <r>
    <x v="328"/>
    <s v="Joseph Okafor"/>
    <n v="79"/>
    <x v="1"/>
    <x v="0"/>
    <s v="O+"/>
    <x v="7"/>
    <x v="1"/>
    <x v="301"/>
    <d v="2021-02-10T00:00:00"/>
    <n v="3"/>
    <s v="University College Hospital Ibadan"/>
    <x v="1"/>
    <s v="Dr. Chukwuemeka Nwosu"/>
    <x v="0"/>
    <n v="29038.7"/>
    <s v="Tramadol"/>
    <n v="5"/>
    <n v="147"/>
    <n v="28.4"/>
    <s v="Normal"/>
    <x v="1"/>
  </r>
  <r>
    <x v="329"/>
    <s v="Amaka Aliyu"/>
    <n v="66"/>
    <x v="4"/>
    <x v="1"/>
    <s v="B+"/>
    <x v="0"/>
    <x v="1"/>
    <x v="302"/>
    <d v="2023-04-24T00:00:00"/>
    <n v="6"/>
    <s v="Federal Medical Centre Owerri"/>
    <x v="3"/>
    <s v="Dr. Babatunde Fashola"/>
    <x v="1"/>
    <n v="28286.69"/>
    <s v="Dexamethasone"/>
    <n v="11"/>
    <n v="141"/>
    <n v="17.600000000000001"/>
    <s v="Abnormal"/>
    <x v="0"/>
  </r>
  <r>
    <x v="330"/>
    <s v="Peter Lawal"/>
    <n v="62"/>
    <x v="3"/>
    <x v="0"/>
    <s v="O+"/>
    <x v="2"/>
    <x v="0"/>
    <x v="303"/>
    <d v="2022-07-14T00:00:00"/>
    <n v="14"/>
    <s v="Federal Medical Centre Asaba"/>
    <x v="0"/>
    <s v="Dr. Olumide Abiodun"/>
    <x v="4"/>
    <n v="24640.98"/>
    <s v="Aspirin"/>
    <n v="9"/>
    <n v="303"/>
    <n v="16.899999999999999"/>
    <s v="Inconclusive"/>
    <x v="0"/>
  </r>
  <r>
    <x v="331"/>
    <s v="Ifeoma Ogbonna"/>
    <n v="64"/>
    <x v="3"/>
    <x v="1"/>
    <s v="A+"/>
    <x v="6"/>
    <x v="0"/>
    <x v="31"/>
    <d v="2022-09-13T00:00:00"/>
    <n v="6"/>
    <s v="Lagos University Teaching Hospital"/>
    <x v="1"/>
    <s v="Dr. Yusuf Danjuma"/>
    <x v="0"/>
    <n v="54655"/>
    <s v="Salbutamol"/>
    <n v="7"/>
    <n v="391"/>
    <n v="34.700000000000003"/>
    <s v="Inconclusive"/>
    <x v="0"/>
  </r>
  <r>
    <x v="332"/>
    <s v="Fatima Adebayo"/>
    <n v="63"/>
    <x v="3"/>
    <x v="1"/>
    <s v="B+"/>
    <x v="1"/>
    <x v="2"/>
    <x v="304"/>
    <d v="2019-12-10T00:00:00"/>
    <n v="4"/>
    <s v="University College Hospital Ibadan"/>
    <x v="1"/>
    <s v="Dr. Chioma Nwankwo"/>
    <x v="1"/>
    <n v="11647.1"/>
    <s v="Empagliflozin"/>
    <n v="8"/>
    <n v="469"/>
    <n v="26.4"/>
    <s v="Normal"/>
    <x v="0"/>
  </r>
  <r>
    <x v="333"/>
    <s v="Peter Danjuma"/>
    <n v="76"/>
    <x v="1"/>
    <x v="0"/>
    <s v="A-"/>
    <x v="1"/>
    <x v="1"/>
    <x v="305"/>
    <d v="2023-08-08T00:00:00"/>
    <n v="4"/>
    <s v="National Hospital Abuja"/>
    <x v="4"/>
    <s v="Dr. Chioma Nwankwo"/>
    <x v="0"/>
    <n v="14377.25"/>
    <s v="Liraglutide"/>
    <n v="7"/>
    <n v="180"/>
    <n v="22.2"/>
    <s v="Abnormal"/>
    <x v="0"/>
  </r>
  <r>
    <x v="334"/>
    <s v="Funke Bello"/>
    <n v="56"/>
    <x v="3"/>
    <x v="1"/>
    <s v="O-"/>
    <x v="5"/>
    <x v="0"/>
    <x v="306"/>
    <d v="2022-03-28T00:00:00"/>
    <n v="7"/>
    <s v="Ahmadu Bello University Teaching Hospital"/>
    <x v="2"/>
    <s v="Dr. Fatima Al-Hassan"/>
    <x v="1"/>
    <n v="123379.15"/>
    <s v="Digoxin"/>
    <n v="10"/>
    <n v="304"/>
    <n v="25.7"/>
    <s v="Abnormal"/>
    <x v="0"/>
  </r>
  <r>
    <x v="335"/>
    <s v="Uche Aliyu"/>
    <n v="88"/>
    <x v="1"/>
    <x v="0"/>
    <s v="A-"/>
    <x v="0"/>
    <x v="1"/>
    <x v="307"/>
    <d v="2024-10-13T00:00:00"/>
    <n v="10"/>
    <s v="University of Calabar Teaching Hospital"/>
    <x v="0"/>
    <s v="Dr. Amara Osei"/>
    <x v="1"/>
    <n v="93087"/>
    <s v="Cyclophosphamide"/>
    <n v="11"/>
    <n v="160"/>
    <n v="20"/>
    <s v="Abnormal"/>
    <x v="0"/>
  </r>
  <r>
    <x v="336"/>
    <s v="Ngozi Hassan"/>
    <n v="62"/>
    <x v="3"/>
    <x v="1"/>
    <s v="B-"/>
    <x v="4"/>
    <x v="2"/>
    <x v="308"/>
    <d v="2024-04-26T00:00:00"/>
    <n v="3"/>
    <s v="Aminu Kano Teaching Hospital"/>
    <x v="2"/>
    <s v="Dr. Segun Banke"/>
    <x v="1"/>
    <n v="25442.57"/>
    <s v="Ciprofloxacin"/>
    <n v="5"/>
    <n v="484"/>
    <n v="31.8"/>
    <s v="Inconclusive"/>
    <x v="0"/>
  </r>
  <r>
    <x v="337"/>
    <s v="Esther Yakubu"/>
    <n v="22"/>
    <x v="2"/>
    <x v="1"/>
    <s v="B-"/>
    <x v="5"/>
    <x v="0"/>
    <x v="159"/>
    <d v="2021-03-02T00:00:00"/>
    <n v="8"/>
    <s v="Lagos University Teaching Hospital"/>
    <x v="1"/>
    <s v="Dr. Fatima Al-Hassan"/>
    <x v="1"/>
    <n v="31158.92"/>
    <s v="Aspirin"/>
    <n v="9"/>
    <n v="359"/>
    <n v="35.799999999999997"/>
    <s v="Abnormal"/>
    <x v="0"/>
  </r>
  <r>
    <x v="338"/>
    <s v="Suleiman Okonkwo"/>
    <n v="67"/>
    <x v="4"/>
    <x v="0"/>
    <s v="AB-"/>
    <x v="5"/>
    <x v="0"/>
    <x v="309"/>
    <d v="2019-04-28T00:00:00"/>
    <n v="7"/>
    <s v="Federal Medical Centre Asaba"/>
    <x v="0"/>
    <s v="Dr. Adewale Ogundimu"/>
    <x v="1"/>
    <n v="185573.78"/>
    <s v="Lisinopril"/>
    <n v="8"/>
    <n v="336"/>
    <n v="31.5"/>
    <s v="Abnormal"/>
    <x v="1"/>
  </r>
  <r>
    <x v="339"/>
    <s v="John Fashola"/>
    <n v="80"/>
    <x v="1"/>
    <x v="0"/>
    <s v="O-"/>
    <x v="6"/>
    <x v="1"/>
    <x v="68"/>
    <d v="2019-02-24T00:00:00"/>
    <n v="4"/>
    <s v="National Hospital Abuja"/>
    <x v="4"/>
    <s v="Dr. Halima Usman"/>
    <x v="4"/>
    <n v="23409.77"/>
    <s v="Theophylline"/>
    <n v="7"/>
    <n v="191"/>
    <n v="29.4"/>
    <s v="Normal"/>
    <x v="0"/>
  </r>
  <r>
    <x v="340"/>
    <s v="Halima Danjuma"/>
    <n v="92"/>
    <x v="1"/>
    <x v="1"/>
    <s v="A+"/>
    <x v="2"/>
    <x v="1"/>
    <x v="275"/>
    <d v="2024-02-15T00:00:00"/>
    <n v="8"/>
    <s v="Federal Medical Centre Birnin Kebbi"/>
    <x v="2"/>
    <s v="Dr. Zainab Sule"/>
    <x v="0"/>
    <n v="31635.71"/>
    <s v="Levetiracetam"/>
    <n v="9"/>
    <n v="193"/>
    <n v="25"/>
    <s v="Abnormal"/>
    <x v="1"/>
  </r>
  <r>
    <x v="341"/>
    <s v="Mary Adeleke"/>
    <n v="22"/>
    <x v="2"/>
    <x v="1"/>
    <s v="A+"/>
    <x v="5"/>
    <x v="1"/>
    <x v="259"/>
    <d v="2024-11-21T00:00:00"/>
    <n v="7"/>
    <s v="Aminu Kano Teaching Hospital"/>
    <x v="2"/>
    <s v="Dr. Fatima Al-Hassan"/>
    <x v="1"/>
    <n v="67759"/>
    <s v="Aspirin"/>
    <n v="7"/>
    <n v="183"/>
    <n v="30"/>
    <s v="Inconclusive"/>
    <x v="0"/>
  </r>
  <r>
    <x v="342"/>
    <s v="Gbenga Davis"/>
    <n v="74"/>
    <x v="4"/>
    <x v="0"/>
    <s v="AB-"/>
    <x v="3"/>
    <x v="1"/>
    <x v="126"/>
    <d v="2023-11-28T00:00:00"/>
    <n v="3"/>
    <s v="Ahmadu Bello University Teaching Hospital"/>
    <x v="2"/>
    <s v="Dr. Kemi Adeyemi"/>
    <x v="1"/>
    <n v="34216.85"/>
    <s v="Amoxicillin"/>
    <n v="6"/>
    <n v="102"/>
    <n v="23.6"/>
    <s v="Normal"/>
    <x v="1"/>
  </r>
  <r>
    <x v="343"/>
    <s v="Miriam Oni"/>
    <n v="72"/>
    <x v="4"/>
    <x v="1"/>
    <s v="AB-"/>
    <x v="7"/>
    <x v="1"/>
    <x v="310"/>
    <d v="2023-12-30T00:00:00"/>
    <n v="4"/>
    <s v="University of Calabar Teaching Hospital"/>
    <x v="0"/>
    <s v="Dr. Chukwuemeka Nwosu"/>
    <x v="0"/>
    <n v="22835.11"/>
    <s v="Celecoxib"/>
    <n v="4"/>
    <n v="157"/>
    <n v="25.8"/>
    <s v="Normal"/>
    <x v="0"/>
  </r>
  <r>
    <x v="344"/>
    <s v="Babatunde Okonkwo"/>
    <n v="61"/>
    <x v="3"/>
    <x v="0"/>
    <s v="AB-"/>
    <x v="5"/>
    <x v="0"/>
    <x v="311"/>
    <d v="2020-05-26T00:00:00"/>
    <n v="6"/>
    <s v="Aminu Kano Teaching Hospital"/>
    <x v="2"/>
    <s v="Dr. Fatima Al-Hassan"/>
    <x v="3"/>
    <n v="146467.38"/>
    <s v="Warfarin"/>
    <n v="10"/>
    <n v="351"/>
    <n v="28.3"/>
    <s v="Abnormal"/>
    <x v="0"/>
  </r>
  <r>
    <x v="345"/>
    <s v="Chukwuemeka Oni"/>
    <n v="80"/>
    <x v="1"/>
    <x v="0"/>
    <s v="O-"/>
    <x v="1"/>
    <x v="0"/>
    <x v="300"/>
    <d v="2023-09-17T00:00:00"/>
    <n v="8"/>
    <s v="Aminu Kano Teaching Hospital"/>
    <x v="2"/>
    <s v="Dr. Taiwo Adeleke"/>
    <x v="1"/>
    <n v="42992.87"/>
    <s v="Dapagliflozin"/>
    <n v="8"/>
    <n v="111"/>
    <n v="30.4"/>
    <s v="Inconclusive"/>
    <x v="0"/>
  </r>
  <r>
    <x v="346"/>
    <s v="Funke Usman"/>
    <n v="80"/>
    <x v="1"/>
    <x v="1"/>
    <s v="A+"/>
    <x v="0"/>
    <x v="2"/>
    <x v="312"/>
    <d v="2021-05-12T00:00:00"/>
    <n v="15"/>
    <s v="Ahmadu Bello University Teaching Hospital"/>
    <x v="2"/>
    <s v="Dr. Grace Oduya"/>
    <x v="0"/>
    <n v="43208.25"/>
    <s v="Letrozole"/>
    <n v="10"/>
    <n v="446"/>
    <n v="25.5"/>
    <s v="Inconclusive"/>
    <x v="0"/>
  </r>
  <r>
    <x v="347"/>
    <s v="Rachel Lawal"/>
    <n v="69"/>
    <x v="4"/>
    <x v="1"/>
    <s v="A-"/>
    <x v="6"/>
    <x v="0"/>
    <x v="313"/>
    <d v="2019-09-06T00:00:00"/>
    <n v="4"/>
    <s v="Federal Medical Centre Birnin Kebbi"/>
    <x v="2"/>
    <s v="Dr. Halima Usman"/>
    <x v="1"/>
    <n v="55844.66"/>
    <s v="Tiotropium"/>
    <n v="4"/>
    <n v="352"/>
    <n v="26.7"/>
    <s v="Normal"/>
    <x v="1"/>
  </r>
  <r>
    <x v="348"/>
    <s v="Chioma Abiodun"/>
    <n v="45"/>
    <x v="5"/>
    <x v="1"/>
    <s v="AB+"/>
    <x v="1"/>
    <x v="1"/>
    <x v="98"/>
    <d v="2023-12-30T00:00:00"/>
    <n v="3"/>
    <s v="Aminu Kano Teaching Hospital"/>
    <x v="2"/>
    <s v="Dr. Taiwo Adeleke"/>
    <x v="1"/>
    <n v="9158"/>
    <s v="Linagliptin"/>
    <n v="8"/>
    <n v="186"/>
    <n v="27.6"/>
    <s v="Normal"/>
    <x v="0"/>
  </r>
  <r>
    <x v="349"/>
    <s v="Kunle Adeyemi"/>
    <n v="61"/>
    <x v="3"/>
    <x v="0"/>
    <s v="O-"/>
    <x v="5"/>
    <x v="0"/>
    <x v="314"/>
    <d v="2024-10-29T00:00:00"/>
    <n v="12"/>
    <s v="Federal Medical Centre Birnin Kebbi"/>
    <x v="2"/>
    <s v="Dr. Adewale Ogundimu"/>
    <x v="0"/>
    <n v="59793.93"/>
    <s v="Digoxin"/>
    <n v="9"/>
    <n v="308"/>
    <n v="36.299999999999997"/>
    <s v="Normal"/>
    <x v="0"/>
  </r>
  <r>
    <x v="350"/>
    <s v="Perpetua Dauda"/>
    <n v="66"/>
    <x v="4"/>
    <x v="1"/>
    <s v="B-"/>
    <x v="6"/>
    <x v="2"/>
    <x v="315"/>
    <d v="2021-07-30T00:00:00"/>
    <n v="6"/>
    <s v="Lagos University Teaching Hospital"/>
    <x v="1"/>
    <s v="Dr. Ngozi Eze-Williams"/>
    <x v="2"/>
    <n v="26173.77"/>
    <s v="Ipratropium"/>
    <n v="7"/>
    <n v="193"/>
    <n v="29.3"/>
    <s v="Normal"/>
    <x v="0"/>
  </r>
  <r>
    <x v="351"/>
    <s v="Aisha Williams"/>
    <n v="55"/>
    <x v="3"/>
    <x v="1"/>
    <s v="O-"/>
    <x v="7"/>
    <x v="2"/>
    <x v="316"/>
    <d v="2020-06-29T00:00:00"/>
    <n v="3"/>
    <s v="Ahmadu Bello University Teaching Hospital"/>
    <x v="2"/>
    <s v="Dr. Musa Aliyu"/>
    <x v="1"/>
    <n v="36334.46"/>
    <s v="Enoxaparin"/>
    <n v="2"/>
    <n v="151"/>
    <n v="25.4"/>
    <s v="Normal"/>
    <x v="0"/>
  </r>
  <r>
    <x v="352"/>
    <s v="Elizabeth Moore"/>
    <n v="66"/>
    <x v="4"/>
    <x v="1"/>
    <s v="B+"/>
    <x v="0"/>
    <x v="1"/>
    <x v="317"/>
    <d v="2023-08-04T00:00:00"/>
    <n v="9"/>
    <s v="Federal Medical Centre Birnin Kebbi"/>
    <x v="2"/>
    <s v="Dr. Babatunde Fashola"/>
    <x v="1"/>
    <n v="121698.66"/>
    <s v="Ondansetron"/>
    <n v="12"/>
    <n v="165"/>
    <n v="15.5"/>
    <s v="Abnormal"/>
    <x v="0"/>
  </r>
  <r>
    <x v="353"/>
    <s v="Segun Okeke"/>
    <n v="62"/>
    <x v="3"/>
    <x v="0"/>
    <s v="O-"/>
    <x v="1"/>
    <x v="1"/>
    <x v="318"/>
    <d v="2024-12-17T00:00:00"/>
    <n v="5"/>
    <s v="Ahmadu Bello University Teaching Hospital"/>
    <x v="2"/>
    <s v="Dr. Taiwo Adeleke"/>
    <x v="0"/>
    <n v="7612.27"/>
    <s v="Glibenclamide"/>
    <n v="8"/>
    <n v="199"/>
    <n v="37.799999999999997"/>
    <s v="Inconclusive"/>
    <x v="0"/>
  </r>
  <r>
    <x v="354"/>
    <s v="Femi Igwe"/>
    <n v="86"/>
    <x v="1"/>
    <x v="0"/>
    <s v="AB-"/>
    <x v="3"/>
    <x v="1"/>
    <x v="319"/>
    <d v="2023-08-09T00:00:00"/>
    <n v="3"/>
    <s v="Bowen University Teaching Hospital"/>
    <x v="1"/>
    <s v="Dr. Precious Obi"/>
    <x v="4"/>
    <n v="13100.43"/>
    <s v="Enoxaparin"/>
    <n v="5"/>
    <n v="125"/>
    <n v="22.6"/>
    <s v="Normal"/>
    <x v="0"/>
  </r>
  <r>
    <x v="355"/>
    <s v="Joseph Brown"/>
    <n v="23"/>
    <x v="2"/>
    <x v="0"/>
    <s v="O+"/>
    <x v="6"/>
    <x v="2"/>
    <x v="320"/>
    <d v="2021-10-24T00:00:00"/>
    <n v="4"/>
    <s v="Lagos University Teaching Hospital"/>
    <x v="1"/>
    <s v="Dr. Yusuf Danjuma"/>
    <x v="2"/>
    <n v="6759.46"/>
    <s v="Salbutamol"/>
    <n v="4"/>
    <n v="401"/>
    <m/>
    <s v="Normal"/>
    <x v="0"/>
  </r>
  <r>
    <x v="356"/>
    <s v="Tolulope Martin"/>
    <n v="69"/>
    <x v="4"/>
    <x v="1"/>
    <s v="O+"/>
    <x v="6"/>
    <x v="1"/>
    <x v="321"/>
    <d v="2023-01-25T00:00:00"/>
    <n v="6"/>
    <s v="National Hospital Abuja"/>
    <x v="4"/>
    <s v="Dr. Halima Usman"/>
    <x v="2"/>
    <n v="21552.58"/>
    <s v="Theophylline"/>
    <n v="6"/>
    <n v="106"/>
    <n v="30.3"/>
    <s v="Abnormal"/>
    <x v="0"/>
  </r>
  <r>
    <x v="357"/>
    <s v="Stella Oni"/>
    <n v="65"/>
    <x v="4"/>
    <x v="1"/>
    <s v="AB-"/>
    <x v="6"/>
    <x v="1"/>
    <x v="82"/>
    <d v="2020-04-10T00:00:00"/>
    <n v="5"/>
    <s v="Federal Medical Centre Birnin Kebbi"/>
    <x v="2"/>
    <s v="Dr. Ngozi Eze-Williams"/>
    <x v="0"/>
    <n v="35002.370000000003"/>
    <s v="Theophylline"/>
    <n v="7"/>
    <n v="194"/>
    <n v="34.5"/>
    <s v="Abnormal"/>
    <x v="0"/>
  </r>
  <r>
    <x v="358"/>
    <s v="Kunle Abubakar"/>
    <n v="14"/>
    <x v="0"/>
    <x v="0"/>
    <s v="AB-"/>
    <x v="0"/>
    <x v="2"/>
    <x v="322"/>
    <d v="2024-12-29T00:00:00"/>
    <n v="9"/>
    <s v="Federal Medical Centre Owerri"/>
    <x v="3"/>
    <s v="Dr. Grace Oduya"/>
    <x v="2"/>
    <n v="31426"/>
    <s v="Letrozole"/>
    <n v="10"/>
    <n v="206"/>
    <m/>
    <s v="Inconclusive"/>
    <x v="0"/>
  </r>
  <r>
    <x v="359"/>
    <s v="Emmanuel Lawal"/>
    <n v="86"/>
    <x v="1"/>
    <x v="0"/>
    <s v="AB-"/>
    <x v="5"/>
    <x v="2"/>
    <x v="323"/>
    <d v="2022-10-25T00:00:00"/>
    <n v="10"/>
    <s v="Federal Medical Centre Asaba"/>
    <x v="0"/>
    <s v="Dr. Emeka Okorie"/>
    <x v="0"/>
    <n v="70387.210000000006"/>
    <s v="Lisinopril"/>
    <n v="10"/>
    <n v="207"/>
    <n v="24.7"/>
    <s v="Abnormal"/>
    <x v="1"/>
  </r>
  <r>
    <x v="360"/>
    <s v="Bashir Osagie"/>
    <n v="49"/>
    <x v="5"/>
    <x v="0"/>
    <s v="O+"/>
    <x v="6"/>
    <x v="2"/>
    <x v="324"/>
    <d v="2022-05-19T00:00:00"/>
    <n v="3"/>
    <s v="National Hospital Abuja"/>
    <x v="4"/>
    <s v="Dr. Halima Usman"/>
    <x v="4"/>
    <n v="13532.12"/>
    <s v="Salbutamol"/>
    <n v="4"/>
    <n v="188"/>
    <n v="33.9"/>
    <s v="Abnormal"/>
    <x v="0"/>
  </r>
  <r>
    <x v="361"/>
    <s v="Blessing Bankole"/>
    <n v="70"/>
    <x v="4"/>
    <x v="1"/>
    <s v="B+"/>
    <x v="2"/>
    <x v="2"/>
    <x v="325"/>
    <m/>
    <m/>
    <s v="Ahmadu Bello University Teaching Hospital"/>
    <x v="2"/>
    <s v="Dr. Zainab Sule"/>
    <x v="0"/>
    <n v="20698.97"/>
    <s v="Valproate"/>
    <n v="9"/>
    <n v="214"/>
    <n v="30"/>
    <s v="Abnormal"/>
    <x v="0"/>
  </r>
  <r>
    <x v="362"/>
    <s v="Rachel Hassan"/>
    <n v="61"/>
    <x v="3"/>
    <x v="1"/>
    <s v="A-"/>
    <x v="5"/>
    <x v="0"/>
    <x v="326"/>
    <d v="2020-06-17T00:00:00"/>
    <n v="8"/>
    <s v="Federal Medical Centre Birnin Kebbi"/>
    <x v="2"/>
    <s v="Dr. Emeka Okorie"/>
    <x v="2"/>
    <n v="83317.960000000006"/>
    <s v="Atorvastatin"/>
    <n v="9"/>
    <n v="313"/>
    <n v="34.9"/>
    <s v="Abnormal"/>
    <x v="1"/>
  </r>
  <r>
    <x v="363"/>
    <s v="Lydia Ajala"/>
    <n v="72"/>
    <x v="4"/>
    <x v="1"/>
    <s v="O+"/>
    <x v="6"/>
    <x v="0"/>
    <x v="327"/>
    <d v="2019-02-06T00:00:00"/>
    <n v="12"/>
    <s v="Federal Medical Centre Owerri"/>
    <x v="3"/>
    <s v="Dr. Yusuf Danjuma"/>
    <x v="1"/>
    <n v="56476.84"/>
    <s v="Ipratropium"/>
    <n v="7"/>
    <n v="358"/>
    <n v="27.8"/>
    <s v="Abnormal"/>
    <x v="0"/>
  </r>
  <r>
    <x v="364"/>
    <s v="Segun Sule"/>
    <n v="70"/>
    <x v="4"/>
    <x v="0"/>
    <s v="B+"/>
    <x v="6"/>
    <x v="0"/>
    <x v="328"/>
    <d v="2024-10-29T00:00:00"/>
    <n v="2"/>
    <s v="Aminu Kano Teaching Hospital"/>
    <x v="2"/>
    <s v="Dr. Ngozi Eze-Williams"/>
    <x v="1"/>
    <n v="54216.66"/>
    <s v="Prednisolone"/>
    <n v="7"/>
    <n v="324"/>
    <n v="14"/>
    <s v="Inconclusive"/>
    <x v="0"/>
  </r>
  <r>
    <x v="365"/>
    <s v="Chidi Johnson"/>
    <n v="73"/>
    <x v="4"/>
    <x v="0"/>
    <s v="AB+"/>
    <x v="5"/>
    <x v="0"/>
    <x v="329"/>
    <d v="2024-12-25T00:00:00"/>
    <n v="11"/>
    <s v="University of Calabar Teaching Hospital"/>
    <x v="0"/>
    <s v="Dr. Emeka Okorie"/>
    <x v="0"/>
    <n v="153913.96"/>
    <s v="Amlodipine"/>
    <n v="10"/>
    <n v="366"/>
    <n v="25.7"/>
    <s v="Inconclusive"/>
    <x v="0"/>
  </r>
  <r>
    <x v="366"/>
    <s v="Gbenga Aliyu"/>
    <n v="75"/>
    <x v="1"/>
    <x v="0"/>
    <s v="B+"/>
    <x v="5"/>
    <x v="0"/>
    <x v="330"/>
    <d v="2020-10-11T00:00:00"/>
    <n v="23"/>
    <s v="Federal Medical Centre Birnin Kebbi"/>
    <x v="2"/>
    <s v="Dr. Adewale Ogundimu"/>
    <x v="1"/>
    <n v="135913.01999999999"/>
    <s v="Aspirin"/>
    <n v="10"/>
    <n v="397"/>
    <n v="27.7"/>
    <s v="Abnormal"/>
    <x v="0"/>
  </r>
  <r>
    <x v="367"/>
    <s v="Emmanuel Bello"/>
    <n v="74"/>
    <x v="4"/>
    <x v="0"/>
    <s v="AB-"/>
    <x v="1"/>
    <x v="0"/>
    <x v="331"/>
    <d v="2022-04-11T00:00:00"/>
    <n v="5"/>
    <s v="University of Calabar Teaching Hospital"/>
    <x v="0"/>
    <s v="Dr. Chioma Nwankwo"/>
    <x v="1"/>
    <n v="18499.849999999999"/>
    <s v="Insulin Glargine"/>
    <n v="7"/>
    <n v="353"/>
    <n v="30.9"/>
    <s v="Abnormal"/>
    <x v="0"/>
  </r>
  <r>
    <x v="368"/>
    <s v="Aisha Sule"/>
    <n v="83"/>
    <x v="1"/>
    <x v="1"/>
    <s v="A-"/>
    <x v="0"/>
    <x v="3"/>
    <x v="106"/>
    <d v="2019-12-18T00:00:00"/>
    <n v="11"/>
    <s v="Bowen University Teaching Hospital"/>
    <x v="1"/>
    <s v="Dr. Amara Osei"/>
    <x v="4"/>
    <n v="61312.12"/>
    <s v="Letrozole"/>
    <n v="12"/>
    <n v="222"/>
    <n v="17.5"/>
    <s v="Abnormal"/>
    <x v="0"/>
  </r>
  <r>
    <x v="369"/>
    <s v="Emmanuel Abiodun"/>
    <n v="55"/>
    <x v="3"/>
    <x v="0"/>
    <s v="A+"/>
    <x v="1"/>
    <x v="2"/>
    <x v="216"/>
    <d v="2023-10-11T00:00:00"/>
    <n v="6"/>
    <s v="University of Calabar Teaching Hospital"/>
    <x v="0"/>
    <s v="Dr. Chioma Nwankwo"/>
    <x v="0"/>
    <n v="28368.959999999999"/>
    <s v="Linagliptin"/>
    <n v="8"/>
    <n v="425"/>
    <n v="44"/>
    <s v="Abnormal"/>
    <x v="0"/>
  </r>
  <r>
    <x v="370"/>
    <s v="Perpetua Usman"/>
    <n v="70"/>
    <x v="4"/>
    <x v="1"/>
    <s v="B+"/>
    <x v="2"/>
    <x v="1"/>
    <x v="332"/>
    <d v="2021-07-27T00:00:00"/>
    <n v="6"/>
    <s v="National Hospital Abuja"/>
    <x v="4"/>
    <s v="Dr. Zainab Sule"/>
    <x v="0"/>
    <n v="43195.03"/>
    <s v="Clopidogrel"/>
    <n v="9"/>
    <n v="102"/>
    <n v="19.8"/>
    <s v="Abnormal"/>
    <x v="0"/>
  </r>
  <r>
    <x v="371"/>
    <s v="James Davis"/>
    <n v="73"/>
    <x v="4"/>
    <x v="0"/>
    <s v="B-"/>
    <x v="7"/>
    <x v="2"/>
    <x v="333"/>
    <d v="2023-07-23T00:00:00"/>
    <n v="7"/>
    <s v="Ahmadu Bello University Teaching Hospital"/>
    <x v="2"/>
    <s v="Dr. Musa Aliyu"/>
    <x v="0"/>
    <n v="26760.52"/>
    <s v="Enoxaparin"/>
    <n v="6"/>
    <n v="225"/>
    <n v="19.3"/>
    <s v="Normal"/>
    <x v="0"/>
  </r>
  <r>
    <x v="372"/>
    <s v="Kunle Hassan"/>
    <n v="82"/>
    <x v="1"/>
    <x v="0"/>
    <s v="AB-"/>
    <x v="1"/>
    <x v="2"/>
    <x v="334"/>
    <d v="2024-06-08T00:00:00"/>
    <n v="6"/>
    <s v="Ahmadu Bello University Teaching Hospital"/>
    <x v="2"/>
    <s v="Dr. Ibrahim Musa"/>
    <x v="0"/>
    <n v="30963.119999999999"/>
    <s v="Dapagliflozin"/>
    <n v="7"/>
    <n v="263"/>
    <n v="42.6"/>
    <s v="Normal"/>
    <x v="0"/>
  </r>
  <r>
    <x v="373"/>
    <s v="Grace Fashola"/>
    <n v="82"/>
    <x v="1"/>
    <x v="1"/>
    <s v="O-"/>
    <x v="6"/>
    <x v="0"/>
    <x v="1"/>
    <d v="2021-07-31T00:00:00"/>
    <n v="9"/>
    <s v="University of Calabar Teaching Hospital"/>
    <x v="0"/>
    <s v="Dr. Yusuf Danjuma"/>
    <x v="1"/>
    <n v="44784"/>
    <s v="Tiotropium"/>
    <n v="5"/>
    <n v="344"/>
    <m/>
    <s v="Abnormal"/>
    <x v="0"/>
  </r>
  <r>
    <x v="374"/>
    <s v="Ngozi Thompson"/>
    <n v="83"/>
    <x v="1"/>
    <x v="1"/>
    <s v="A-"/>
    <x v="6"/>
    <x v="3"/>
    <x v="335"/>
    <d v="2021-11-23T00:00:00"/>
    <n v="5"/>
    <s v="Federal Medical Centre Asaba"/>
    <x v="0"/>
    <s v="Dr. Yusuf Danjuma"/>
    <x v="1"/>
    <n v="23230.14"/>
    <s v="Montelukast"/>
    <n v="7"/>
    <n v="414"/>
    <n v="20.3"/>
    <s v="Abnormal"/>
    <x v="1"/>
  </r>
  <r>
    <x v="375"/>
    <s v="Ngozi Moore"/>
    <n v="80"/>
    <x v="1"/>
    <x v="1"/>
    <s v="B-"/>
    <x v="5"/>
    <x v="0"/>
    <x v="336"/>
    <d v="2023-05-24T00:00:00"/>
    <n v="18"/>
    <s v="National Hospital Abuja"/>
    <x v="4"/>
    <s v="Dr. Fatima Al-Hassan"/>
    <x v="0"/>
    <n v="117403.34"/>
    <s v="Furosemide"/>
    <n v="10"/>
    <n v="343"/>
    <n v="35.799999999999997"/>
    <s v="Abnormal"/>
    <x v="1"/>
  </r>
  <r>
    <x v="376"/>
    <s v="Amaka Bankole"/>
    <n v="19"/>
    <x v="2"/>
    <x v="1"/>
    <s v="A-"/>
    <x v="4"/>
    <x v="0"/>
    <x v="337"/>
    <d v="2023-03-19T00:00:00"/>
    <n v="3"/>
    <s v="University of Calabar Teaching Hospital"/>
    <x v="0"/>
    <s v="Dr. Aisha Bello"/>
    <x v="0"/>
    <n v="13545.48"/>
    <s v="Metronidazole"/>
    <n v="5"/>
    <n v="249"/>
    <n v="19.100000000000001"/>
    <s v="Normal"/>
    <x v="0"/>
  </r>
  <r>
    <x v="377"/>
    <s v="Femi Abiodun"/>
    <n v="24"/>
    <x v="2"/>
    <x v="0"/>
    <s v="A-"/>
    <x v="5"/>
    <x v="2"/>
    <x v="338"/>
    <d v="2019-03-10T00:00:00"/>
    <n v="7"/>
    <s v="University of Calabar Teaching Hospital"/>
    <x v="0"/>
    <s v="Dr. Adewale Ogundimu"/>
    <x v="2"/>
    <n v="43434.04"/>
    <s v="Digoxin"/>
    <n v="7"/>
    <n v="264"/>
    <n v="41.5"/>
    <s v="Normal"/>
    <x v="0"/>
  </r>
  <r>
    <x v="378"/>
    <s v="Adewale Hassan"/>
    <n v="68"/>
    <x v="4"/>
    <x v="0"/>
    <s v="B+"/>
    <x v="1"/>
    <x v="1"/>
    <x v="339"/>
    <d v="2019-12-07T00:00:00"/>
    <n v="3"/>
    <s v="Federal Medical Centre Owerri"/>
    <x v="3"/>
    <s v="Dr. Chioma Nwankwo"/>
    <x v="3"/>
    <n v="24344.71"/>
    <s v="Metformin"/>
    <n v="8"/>
    <n v="106"/>
    <n v="36"/>
    <s v="Abnormal"/>
    <x v="1"/>
  </r>
  <r>
    <x v="379"/>
    <s v="Mary Lawan"/>
    <n v="76"/>
    <x v="1"/>
    <x v="1"/>
    <s v="AB-"/>
    <x v="5"/>
    <x v="0"/>
    <x v="340"/>
    <d v="2020-11-21T00:00:00"/>
    <n v="13"/>
    <s v="University College Hospital Ibadan"/>
    <x v="1"/>
    <s v="Dr. Emeka Okorie"/>
    <x v="4"/>
    <n v="44547"/>
    <s v="Lisinopril"/>
    <n v="10"/>
    <n v="347"/>
    <n v="27.9"/>
    <s v="Inconclusive"/>
    <x v="1"/>
  </r>
  <r>
    <x v="380"/>
    <s v="Mary Anderson"/>
    <n v="69"/>
    <x v="4"/>
    <x v="1"/>
    <s v="B-"/>
    <x v="0"/>
    <x v="2"/>
    <x v="341"/>
    <d v="2022-03-02T00:00:00"/>
    <n v="13"/>
    <s v="Federal Medical Centre Owerri"/>
    <x v="3"/>
    <s v="Dr. Amara Osei"/>
    <x v="0"/>
    <n v="20406.2"/>
    <s v="Carboplatin"/>
    <n v="10"/>
    <n v="350"/>
    <n v="20.6"/>
    <s v="Abnormal"/>
    <x v="0"/>
  </r>
  <r>
    <x v="381"/>
    <s v="Uche Okonkwo"/>
    <n v="87"/>
    <x v="1"/>
    <x v="0"/>
    <s v="O-"/>
    <x v="7"/>
    <x v="2"/>
    <x v="342"/>
    <d v="2021-04-14T00:00:00"/>
    <n v="7"/>
    <s v="Federal Medical Centre Owerri"/>
    <x v="3"/>
    <s v="Dr. Chukwuemeka Nwosu"/>
    <x v="0"/>
    <n v="31529.62"/>
    <s v="Vitamin D"/>
    <n v="6"/>
    <n v="405"/>
    <n v="23.7"/>
    <s v="Normal"/>
    <x v="0"/>
  </r>
  <r>
    <x v="382"/>
    <s v="Chukwuemeka Danjuma"/>
    <n v="70"/>
    <x v="4"/>
    <x v="0"/>
    <s v="AB-"/>
    <x v="3"/>
    <x v="0"/>
    <x v="343"/>
    <d v="2019-08-24T00:00:00"/>
    <n v="4"/>
    <s v="Federal Medical Centre Owerri"/>
    <x v="3"/>
    <s v="Dr. Precious Obi"/>
    <x v="3"/>
    <n v="49549.32"/>
    <s v="Morphine"/>
    <n v="6"/>
    <n v="133"/>
    <n v="19.100000000000001"/>
    <s v="Abnormal"/>
    <x v="0"/>
  </r>
  <r>
    <x v="383"/>
    <s v="Emeka Anderson"/>
    <n v="86"/>
    <x v="1"/>
    <x v="0"/>
    <s v="O-"/>
    <x v="5"/>
    <x v="1"/>
    <x v="344"/>
    <d v="2024-10-11T00:00:00"/>
    <n v="9"/>
    <s v="Federal Medical Centre Asaba"/>
    <x v="0"/>
    <s v="Dr. Adewale Ogundimu"/>
    <x v="0"/>
    <n v="54761.91"/>
    <s v="Digoxin"/>
    <n v="7"/>
    <n v="146"/>
    <n v="33.1"/>
    <s v="Abnormal"/>
    <x v="1"/>
  </r>
  <r>
    <x v="384"/>
    <s v="Josephine Adeyemi"/>
    <n v="59"/>
    <x v="3"/>
    <x v="1"/>
    <s v="B-"/>
    <x v="3"/>
    <x v="2"/>
    <x v="345"/>
    <d v="2021-07-24T00:00:00"/>
    <n v="6"/>
    <s v="Federal Medical Centre Owerri"/>
    <x v="3"/>
    <s v="Dr. Precious Obi"/>
    <x v="0"/>
    <n v="15286.9"/>
    <s v="Paracetamol"/>
    <n v="6"/>
    <n v="437"/>
    <n v="26.3"/>
    <s v="Normal"/>
    <x v="0"/>
  </r>
  <r>
    <x v="385"/>
    <s v="Hauwa Yakubu"/>
    <n v="70"/>
    <x v="4"/>
    <x v="1"/>
    <s v="B+"/>
    <x v="4"/>
    <x v="2"/>
    <x v="346"/>
    <d v="2023-08-18T00:00:00"/>
    <n v="2"/>
    <s v="National Hospital Abuja"/>
    <x v="4"/>
    <s v="Dr. Segun Banke"/>
    <x v="1"/>
    <n v="13971.7"/>
    <s v="Metronidazole"/>
    <n v="5"/>
    <n v="201"/>
    <n v="30"/>
    <s v="Normal"/>
    <x v="0"/>
  </r>
  <r>
    <x v="386"/>
    <s v="John Wilson"/>
    <n v="72"/>
    <x v="4"/>
    <x v="0"/>
    <s v="AB+"/>
    <x v="7"/>
    <x v="0"/>
    <x v="347"/>
    <d v="2019-08-09T00:00:00"/>
    <n v="4"/>
    <s v="National Hospital Abuja"/>
    <x v="4"/>
    <s v="Dr. Sarah Adeyemi"/>
    <x v="2"/>
    <n v="81123"/>
    <s v="Calcium"/>
    <n v="4"/>
    <n v="181"/>
    <n v="29.7"/>
    <s v="Inconclusive"/>
    <x v="0"/>
  </r>
  <r>
    <x v="387"/>
    <s v="Ruth Martin"/>
    <n v="67"/>
    <x v="4"/>
    <x v="1"/>
    <s v="AB-"/>
    <x v="1"/>
    <x v="0"/>
    <x v="348"/>
    <d v="2024-01-01T00:00:00"/>
    <n v="4"/>
    <s v="Ahmadu Bello University Teaching Hospital"/>
    <x v="2"/>
    <s v="Dr. Ibrahim Musa"/>
    <x v="3"/>
    <n v="65597.19"/>
    <s v="Glibenclamide"/>
    <n v="7"/>
    <n v="289"/>
    <n v="36"/>
    <s v="Abnormal"/>
    <x v="1"/>
  </r>
  <r>
    <x v="388"/>
    <s v="Stella Okonkwo"/>
    <n v="41"/>
    <x v="5"/>
    <x v="1"/>
    <s v="O-"/>
    <x v="6"/>
    <x v="1"/>
    <x v="349"/>
    <d v="2023-09-16T00:00:00"/>
    <n v="8"/>
    <s v="National Hospital Abuja"/>
    <x v="4"/>
    <s v="Dr. Halima Usman"/>
    <x v="4"/>
    <n v="10008.040000000001"/>
    <s v="Theophylline"/>
    <n v="7"/>
    <n v="170"/>
    <n v="26.7"/>
    <s v="Abnormal"/>
    <x v="0"/>
  </r>
  <r>
    <x v="389"/>
    <s v="Joseph Ogbonna"/>
    <n v="69"/>
    <x v="4"/>
    <x v="0"/>
    <s v="A+"/>
    <x v="5"/>
    <x v="1"/>
    <x v="350"/>
    <d v="2023-10-11T00:00:00"/>
    <n v="6"/>
    <s v="Federal Medical Centre Owerri"/>
    <x v="3"/>
    <s v="Dr. Adewale Ogundimu"/>
    <x v="1"/>
    <n v="79818.83"/>
    <s v="Lisinopril"/>
    <n v="10"/>
    <n v="122"/>
    <n v="43.5"/>
    <s v="Normal"/>
    <x v="0"/>
  </r>
  <r>
    <x v="390"/>
    <s v="Miriam Davis"/>
    <n v="75"/>
    <x v="1"/>
    <x v="1"/>
    <s v="AB-"/>
    <x v="2"/>
    <x v="0"/>
    <x v="111"/>
    <d v="2022-09-28T00:00:00"/>
    <n v="11"/>
    <s v="Federal Medical Centre Birnin Kebbi"/>
    <x v="2"/>
    <s v="Dr. Olumide Abiodun"/>
    <x v="1"/>
    <n v="109343"/>
    <s v="Phenytoin"/>
    <n v="9"/>
    <n v="360"/>
    <m/>
    <s v="Abnormal"/>
    <x v="0"/>
  </r>
  <r>
    <x v="391"/>
    <s v="Kemi Hassan"/>
    <n v="64"/>
    <x v="3"/>
    <x v="1"/>
    <s v="B-"/>
    <x v="7"/>
    <x v="1"/>
    <x v="351"/>
    <d v="2021-02-20T00:00:00"/>
    <n v="6"/>
    <s v="Lagos University Teaching Hospital"/>
    <x v="1"/>
    <s v="Dr. Chukwuemeka Nwosu"/>
    <x v="0"/>
    <n v="16982.919999999998"/>
    <s v="Calcium"/>
    <n v="6"/>
    <n v="194"/>
    <n v="34.299999999999997"/>
    <s v="Normal"/>
    <x v="0"/>
  </r>
  <r>
    <x v="392"/>
    <s v="Yusuf Dauda"/>
    <n v="57"/>
    <x v="3"/>
    <x v="0"/>
    <s v="AB-"/>
    <x v="7"/>
    <x v="0"/>
    <x v="352"/>
    <d v="2024-01-03T00:00:00"/>
    <n v="2"/>
    <s v="Lagos University Teaching Hospital"/>
    <x v="1"/>
    <s v="Dr. Sarah Adeyemi"/>
    <x v="1"/>
    <n v="57009.42"/>
    <s v="Enoxaparin"/>
    <n v="4"/>
    <n v="197"/>
    <n v="21.2"/>
    <s v="Normal"/>
    <x v="0"/>
  </r>
  <r>
    <x v="393"/>
    <s v="Adenike Abiodun"/>
    <n v="85"/>
    <x v="1"/>
    <x v="1"/>
    <s v="O+"/>
    <x v="1"/>
    <x v="2"/>
    <x v="353"/>
    <d v="2023-09-21T00:00:00"/>
    <n v="6"/>
    <s v="Aminu Kano Teaching Hospital"/>
    <x v="2"/>
    <s v="Dr. Taiwo Adeleke"/>
    <x v="4"/>
    <n v="12367.95"/>
    <s v="Glibenclamide"/>
    <n v="8"/>
    <n v="272"/>
    <n v="17"/>
    <s v="Abnormal"/>
    <x v="1"/>
  </r>
  <r>
    <x v="394"/>
    <s v="Daniel Smith"/>
    <n v="83"/>
    <x v="1"/>
    <x v="0"/>
    <s v="O+"/>
    <x v="2"/>
    <x v="0"/>
    <x v="313"/>
    <d v="2019-09-12T00:00:00"/>
    <n v="10"/>
    <s v="Federal Medical Centre Asaba"/>
    <x v="0"/>
    <s v="Dr. Rotimi Fashola"/>
    <x v="4"/>
    <n v="35798.14"/>
    <s v="Clopidogrel"/>
    <n v="8"/>
    <n v="316"/>
    <n v="24.5"/>
    <s v="Abnormal"/>
    <x v="1"/>
  </r>
  <r>
    <x v="395"/>
    <s v="Chioma Adeyemi"/>
    <n v="53"/>
    <x v="5"/>
    <x v="1"/>
    <s v="B-"/>
    <x v="7"/>
    <x v="1"/>
    <x v="354"/>
    <d v="2022-07-12T00:00:00"/>
    <n v="8"/>
    <s v="Federal Medical Centre Asaba"/>
    <x v="0"/>
    <s v="Dr. Musa Aliyu"/>
    <x v="0"/>
    <n v="15352.68"/>
    <s v="Enoxaparin"/>
    <n v="4"/>
    <n v="162"/>
    <n v="16.399999999999999"/>
    <s v="Normal"/>
    <x v="0"/>
  </r>
  <r>
    <x v="396"/>
    <s v="Halima Ajala"/>
    <n v="57"/>
    <x v="3"/>
    <x v="1"/>
    <s v="B-"/>
    <x v="4"/>
    <x v="2"/>
    <x v="355"/>
    <d v="2019-04-10T00:00:00"/>
    <n v="2"/>
    <s v="Federal Medical Centre Birnin Kebbi"/>
    <x v="2"/>
    <s v="Dr. Segun Banke"/>
    <x v="2"/>
    <n v="10657.16"/>
    <s v="Loperamide"/>
    <n v="4"/>
    <n v="196"/>
    <n v="25.2"/>
    <s v="Normal"/>
    <x v="0"/>
  </r>
  <r>
    <x v="397"/>
    <s v="Peter Okonkwo"/>
    <n v="68"/>
    <x v="4"/>
    <x v="0"/>
    <s v="AB-"/>
    <x v="7"/>
    <x v="0"/>
    <x v="356"/>
    <m/>
    <m/>
    <s v="Federal Medical Centre Asaba"/>
    <x v="0"/>
    <s v="Dr. Chukwuemeka Nwosu"/>
    <x v="4"/>
    <n v="46683.21"/>
    <s v="Celecoxib"/>
    <n v="6"/>
    <n v="333"/>
    <n v="14"/>
    <s v="Normal"/>
    <x v="0"/>
  </r>
  <r>
    <x v="398"/>
    <s v="Babatunde Lawal"/>
    <n v="39"/>
    <x v="5"/>
    <x v="0"/>
    <s v="A-"/>
    <x v="1"/>
    <x v="1"/>
    <x v="357"/>
    <d v="2023-03-21T00:00:00"/>
    <n v="4"/>
    <s v="Bowen University Teaching Hospital"/>
    <x v="1"/>
    <s v="Dr. Chioma Nwankwo"/>
    <x v="1"/>
    <n v="10613.71"/>
    <s v="Metformin"/>
    <n v="7"/>
    <n v="130"/>
    <n v="15.8"/>
    <s v="Normal"/>
    <x v="0"/>
  </r>
  <r>
    <x v="399"/>
    <s v="Ibrahim Ajala"/>
    <n v="56"/>
    <x v="3"/>
    <x v="0"/>
    <s v="B+"/>
    <x v="5"/>
    <x v="0"/>
    <x v="358"/>
    <d v="2019-11-08T00:00:00"/>
    <n v="14"/>
    <s v="Federal Medical Centre Asaba"/>
    <x v="0"/>
    <s v="Dr. Emeka Okorie"/>
    <x v="1"/>
    <n v="112084"/>
    <s v="Metoprolol"/>
    <n v="10"/>
    <n v="381"/>
    <n v="27.1"/>
    <s v="Abnormal"/>
    <x v="0"/>
  </r>
  <r>
    <x v="400"/>
    <s v="Fatima Okeke"/>
    <n v="71"/>
    <x v="4"/>
    <x v="1"/>
    <s v="AB+"/>
    <x v="1"/>
    <x v="1"/>
    <x v="359"/>
    <d v="2019-02-12T00:00:00"/>
    <n v="5"/>
    <s v="Ahmadu Bello University Teaching Hospital"/>
    <x v="2"/>
    <s v="Dr. Taiwo Adeleke"/>
    <x v="0"/>
    <n v="19113.66"/>
    <s v="Sitagliptin"/>
    <n v="7"/>
    <n v="133"/>
    <n v="20.6"/>
    <s v="Abnormal"/>
    <x v="0"/>
  </r>
  <r>
    <x v="401"/>
    <s v="Hauwa Usman"/>
    <n v="91"/>
    <x v="1"/>
    <x v="1"/>
    <s v="A+"/>
    <x v="1"/>
    <x v="2"/>
    <x v="360"/>
    <d v="2021-04-07T00:00:00"/>
    <n v="8"/>
    <s v="Federal Medical Centre Asaba"/>
    <x v="0"/>
    <s v="Dr. Ibrahim Musa"/>
    <x v="2"/>
    <n v="27747.8"/>
    <s v="Empagliflozin"/>
    <n v="7"/>
    <n v="192"/>
    <n v="37.6"/>
    <s v="Abnormal"/>
    <x v="0"/>
  </r>
  <r>
    <x v="402"/>
    <s v="Taiwo Dauda"/>
    <n v="61"/>
    <x v="3"/>
    <x v="1"/>
    <s v="AB-"/>
    <x v="6"/>
    <x v="2"/>
    <x v="361"/>
    <d v="2019-12-13T00:00:00"/>
    <n v="12"/>
    <s v="Federal Medical Centre Birnin Kebbi"/>
    <x v="2"/>
    <s v="Dr. Halima Usman"/>
    <x v="0"/>
    <n v="14410.58"/>
    <s v="Prednisolone"/>
    <n v="4"/>
    <n v="434"/>
    <n v="18.8"/>
    <s v="Abnormal"/>
    <x v="0"/>
  </r>
  <r>
    <x v="403"/>
    <s v="Babatunde Onuoha"/>
    <n v="41"/>
    <x v="5"/>
    <x v="0"/>
    <s v="A+"/>
    <x v="6"/>
    <x v="2"/>
    <x v="362"/>
    <d v="2022-01-26T00:00:00"/>
    <n v="3"/>
    <s v="National Hospital Abuja"/>
    <x v="4"/>
    <s v="Dr. Yusuf Danjuma"/>
    <x v="0"/>
    <n v="17723"/>
    <s v="Tiotropium"/>
    <n v="7"/>
    <n v="436"/>
    <n v="26.9"/>
    <s v="Abnormal"/>
    <x v="0"/>
  </r>
  <r>
    <x v="404"/>
    <s v="Abdullahi Okeke"/>
    <n v="59"/>
    <x v="3"/>
    <x v="0"/>
    <s v="B+"/>
    <x v="6"/>
    <x v="0"/>
    <x v="119"/>
    <d v="2023-11-26T00:00:00"/>
    <n v="7"/>
    <s v="Aminu Kano Teaching Hospital"/>
    <x v="2"/>
    <s v="Dr. Ngozi Eze-Williams"/>
    <x v="2"/>
    <n v="30315.21"/>
    <s v="Ipratropium"/>
    <n v="4"/>
    <n v="344"/>
    <n v="25.2"/>
    <s v="Normal"/>
    <x v="0"/>
  </r>
  <r>
    <x v="405"/>
    <s v="Deborah Anderson"/>
    <n v="67"/>
    <x v="4"/>
    <x v="1"/>
    <s v="B-"/>
    <x v="3"/>
    <x v="0"/>
    <x v="363"/>
    <d v="2020-07-20T00:00:00"/>
    <n v="3"/>
    <s v="Bowen University Teaching Hospital"/>
    <x v="1"/>
    <s v="Dr. Lanre Ogundele"/>
    <x v="3"/>
    <n v="86951.22"/>
    <s v="Enoxaparin"/>
    <n v="4"/>
    <n v="141"/>
    <n v="22"/>
    <s v="Abnormal"/>
    <x v="0"/>
  </r>
  <r>
    <x v="406"/>
    <s v="Kayode Akintola"/>
    <n v="64"/>
    <x v="3"/>
    <x v="0"/>
    <s v="A+"/>
    <x v="0"/>
    <x v="2"/>
    <x v="364"/>
    <d v="2023-03-22T00:00:00"/>
    <n v="12"/>
    <s v="Bowen University Teaching Hospital"/>
    <x v="1"/>
    <s v="Dr. Grace Oduya"/>
    <x v="4"/>
    <n v="93341.78"/>
    <s v="Ondansetron"/>
    <n v="11"/>
    <n v="155"/>
    <n v="28.4"/>
    <s v="Normal"/>
    <x v="0"/>
  </r>
  <r>
    <x v="407"/>
    <s v="Rachel Wilson"/>
    <n v="69"/>
    <x v="4"/>
    <x v="1"/>
    <s v="A+"/>
    <x v="6"/>
    <x v="0"/>
    <x v="365"/>
    <d v="2019-10-25T00:00:00"/>
    <n v="5"/>
    <s v="Ahmadu Bello University Teaching Hospital"/>
    <x v="2"/>
    <s v="Dr. Halima Usman"/>
    <x v="0"/>
    <n v="27773.39"/>
    <s v="Theophylline"/>
    <n v="4"/>
    <n v="303"/>
    <n v="18.5"/>
    <s v="Normal"/>
    <x v="1"/>
  </r>
  <r>
    <x v="408"/>
    <s v="Perpetua Anderson"/>
    <n v="71"/>
    <x v="4"/>
    <x v="1"/>
    <s v="O-"/>
    <x v="7"/>
    <x v="2"/>
    <x v="366"/>
    <d v="2019-12-27T00:00:00"/>
    <n v="5"/>
    <s v="Lagos University Teaching Hospital"/>
    <x v="1"/>
    <s v="Dr. Chukwuemeka Nwosu"/>
    <x v="4"/>
    <n v="38499.4"/>
    <s v="Tramadol"/>
    <n v="6"/>
    <n v="148"/>
    <n v="23.7"/>
    <s v="Normal"/>
    <x v="0"/>
  </r>
  <r>
    <x v="409"/>
    <s v="Segun Abiodun"/>
    <n v="89"/>
    <x v="1"/>
    <x v="0"/>
    <s v="B-"/>
    <x v="2"/>
    <x v="1"/>
    <x v="367"/>
    <d v="2019-07-25T00:00:00"/>
    <n v="6"/>
    <s v="Federal Medical Centre Birnin Kebbi"/>
    <x v="2"/>
    <s v="Dr. Olumide Abiodun"/>
    <x v="4"/>
    <n v="21716.87"/>
    <s v="Gabapentin"/>
    <n v="9"/>
    <n v="100"/>
    <n v="27.4"/>
    <s v="Abnormal"/>
    <x v="1"/>
  </r>
  <r>
    <x v="410"/>
    <s v="Femi Anderson"/>
    <n v="59"/>
    <x v="3"/>
    <x v="0"/>
    <s v="O+"/>
    <x v="5"/>
    <x v="1"/>
    <x v="368"/>
    <m/>
    <m/>
    <s v="Aminu Kano Teaching Hospital"/>
    <x v="2"/>
    <s v="Dr. Emeka Okorie"/>
    <x v="0"/>
    <n v="36499.919999999998"/>
    <s v="Amlodipine"/>
    <n v="10"/>
    <n v="111"/>
    <m/>
    <s v="Inconclusive"/>
    <x v="0"/>
  </r>
  <r>
    <x v="411"/>
    <s v="Grace Lawal"/>
    <n v="58"/>
    <x v="3"/>
    <x v="1"/>
    <s v="A+"/>
    <x v="6"/>
    <x v="1"/>
    <x v="369"/>
    <d v="2023-03-13T00:00:00"/>
    <n v="3"/>
    <s v="National Hospital Abuja"/>
    <x v="4"/>
    <s v="Dr. Yusuf Danjuma"/>
    <x v="1"/>
    <n v="25213"/>
    <s v="Azithromycin"/>
    <n v="7"/>
    <n v="114"/>
    <m/>
    <s v="Abnormal"/>
    <x v="0"/>
  </r>
  <r>
    <x v="412"/>
    <s v="Ruth Aliyu"/>
    <n v="85"/>
    <x v="1"/>
    <x v="1"/>
    <s v="O+"/>
    <x v="6"/>
    <x v="0"/>
    <x v="133"/>
    <d v="2019-10-23T00:00:00"/>
    <n v="5"/>
    <s v="Aminu Kano Teaching Hospital"/>
    <x v="2"/>
    <s v="Dr. Halima Usman"/>
    <x v="4"/>
    <n v="62477.46"/>
    <s v="Prednisolone"/>
    <n v="7"/>
    <n v="305"/>
    <n v="17.7"/>
    <s v="Normal"/>
    <x v="0"/>
  </r>
  <r>
    <x v="413"/>
    <s v="Kunle Obi"/>
    <n v="87"/>
    <x v="1"/>
    <x v="0"/>
    <s v="AB+"/>
    <x v="7"/>
    <x v="2"/>
    <x v="370"/>
    <d v="2020-07-10T00:00:00"/>
    <n v="1"/>
    <s v="University of Calabar Teaching Hospital"/>
    <x v="0"/>
    <s v="Dr. Chukwuemeka Nwosu"/>
    <x v="2"/>
    <n v="23743.69"/>
    <s v="Tramadol"/>
    <n v="2"/>
    <n v="255"/>
    <n v="23.5"/>
    <s v="Normal"/>
    <x v="1"/>
  </r>
  <r>
    <x v="414"/>
    <s v="Adewale Onuoha"/>
    <n v="62"/>
    <x v="3"/>
    <x v="0"/>
    <s v="B-"/>
    <x v="4"/>
    <x v="1"/>
    <x v="215"/>
    <d v="2019-09-16T00:00:00"/>
    <n v="1"/>
    <s v="Aminu Kano Teaching Hospital"/>
    <x v="2"/>
    <s v="Dr. Nnamdi Okafor"/>
    <x v="3"/>
    <n v="29307.38"/>
    <s v="Ciprofloxacin"/>
    <n v="5"/>
    <n v="198"/>
    <n v="24"/>
    <s v="Abnormal"/>
    <x v="0"/>
  </r>
  <r>
    <x v="415"/>
    <s v="Lydia Usman"/>
    <n v="68"/>
    <x v="4"/>
    <x v="1"/>
    <s v="O+"/>
    <x v="7"/>
    <x v="2"/>
    <x v="371"/>
    <d v="2022-10-15T00:00:00"/>
    <n v="2"/>
    <s v="Federal Medical Centre Owerri"/>
    <x v="3"/>
    <s v="Dr. Chukwuemeka Nwosu"/>
    <x v="1"/>
    <n v="29900.23"/>
    <s v="Tramadol"/>
    <n v="3"/>
    <n v="101"/>
    <n v="23.9"/>
    <s v="Abnormal"/>
    <x v="1"/>
  </r>
  <r>
    <x v="416"/>
    <s v="Aisha Lawan"/>
    <n v="92"/>
    <x v="1"/>
    <x v="1"/>
    <s v="O+"/>
    <x v="1"/>
    <x v="1"/>
    <x v="372"/>
    <d v="2024-07-03T00:00:00"/>
    <n v="5"/>
    <s v="Ahmadu Bello University Teaching Hospital"/>
    <x v="2"/>
    <s v="Dr. Chioma Nwankwo"/>
    <x v="0"/>
    <n v="10923"/>
    <s v="Insulin Glargine"/>
    <n v="8"/>
    <n v="172"/>
    <n v="29.1"/>
    <s v="Abnormal"/>
    <x v="0"/>
  </r>
  <r>
    <x v="417"/>
    <s v="Abdullahi Williams"/>
    <n v="58"/>
    <x v="3"/>
    <x v="0"/>
    <s v="O-"/>
    <x v="7"/>
    <x v="1"/>
    <x v="373"/>
    <m/>
    <m/>
    <s v="Ahmadu Bello University Teaching Hospital"/>
    <x v="2"/>
    <s v="Dr. Musa Aliyu"/>
    <x v="0"/>
    <n v="14376.15"/>
    <s v="Ibuprofen"/>
    <n v="6"/>
    <n v="128"/>
    <n v="26"/>
    <s v="Abnormal"/>
    <x v="0"/>
  </r>
  <r>
    <x v="418"/>
    <s v="Elizabeth Aliyu"/>
    <n v="64"/>
    <x v="3"/>
    <x v="1"/>
    <s v="O+"/>
    <x v="7"/>
    <x v="0"/>
    <x v="374"/>
    <d v="2023-04-26T00:00:00"/>
    <n v="2"/>
    <s v="National Hospital Abuja"/>
    <x v="4"/>
    <s v="Dr. Chukwuemeka Nwosu"/>
    <x v="4"/>
    <n v="21570.52"/>
    <s v="Celecoxib"/>
    <n v="6"/>
    <n v="206"/>
    <n v="25.5"/>
    <s v="Normal"/>
    <x v="0"/>
  </r>
  <r>
    <x v="419"/>
    <s v="Ruth Adeyemi"/>
    <n v="87"/>
    <x v="1"/>
    <x v="1"/>
    <s v="B+"/>
    <x v="7"/>
    <x v="1"/>
    <x v="375"/>
    <d v="2019-03-04T00:00:00"/>
    <n v="3"/>
    <s v="Federal Medical Centre Birnin Kebbi"/>
    <x v="2"/>
    <s v="Dr. Sarah Adeyemi"/>
    <x v="0"/>
    <n v="27143.759999999998"/>
    <s v="Tramadol"/>
    <n v="6"/>
    <n v="182"/>
    <n v="29"/>
    <s v="Abnormal"/>
    <x v="0"/>
  </r>
  <r>
    <x v="420"/>
    <s v="Halima Thompson"/>
    <n v="55"/>
    <x v="3"/>
    <x v="1"/>
    <s v="B+"/>
    <x v="5"/>
    <x v="0"/>
    <x v="376"/>
    <d v="2021-11-20T00:00:00"/>
    <n v="9"/>
    <s v="National Hospital Abuja"/>
    <x v="4"/>
    <s v="Dr. Emeka Okorie"/>
    <x v="1"/>
    <n v="68090.460000000006"/>
    <s v="Warfarin"/>
    <n v="9"/>
    <n v="321"/>
    <n v="21.1"/>
    <s v="Inconclusive"/>
    <x v="0"/>
  </r>
  <r>
    <x v="421"/>
    <s v="Segun Oni"/>
    <n v="21"/>
    <x v="2"/>
    <x v="0"/>
    <s v="AB-"/>
    <x v="7"/>
    <x v="0"/>
    <x v="377"/>
    <m/>
    <m/>
    <s v="Aminu Kano Teaching Hospital"/>
    <x v="2"/>
    <s v="Dr. Chukwuemeka Nwosu"/>
    <x v="1"/>
    <n v="31815.06"/>
    <s v="Ibuprofen"/>
    <n v="6"/>
    <n v="336"/>
    <n v="28.6"/>
    <s v="Normal"/>
    <x v="0"/>
  </r>
  <r>
    <x v="422"/>
    <s v="Chioma Ogbonna"/>
    <n v="54"/>
    <x v="5"/>
    <x v="1"/>
    <s v="B-"/>
    <x v="5"/>
    <x v="1"/>
    <x v="378"/>
    <d v="2023-07-24T00:00:00"/>
    <n v="11"/>
    <s v="Federal Medical Centre Owerri"/>
    <x v="3"/>
    <s v="Dr. Emeka Okorie"/>
    <x v="4"/>
    <n v="38995.4"/>
    <s v="Furosemide"/>
    <n v="8"/>
    <n v="114"/>
    <n v="23.5"/>
    <s v="Abnormal"/>
    <x v="0"/>
  </r>
  <r>
    <x v="423"/>
    <s v="Hauwa Garba"/>
    <n v="58"/>
    <x v="3"/>
    <x v="1"/>
    <s v="AB+"/>
    <x v="6"/>
    <x v="1"/>
    <x v="57"/>
    <d v="2022-11-15T00:00:00"/>
    <n v="7"/>
    <s v="University College Hospital Ibadan"/>
    <x v="1"/>
    <s v="Dr. Halima Usman"/>
    <x v="4"/>
    <n v="16769.27"/>
    <s v="Prednisolone"/>
    <n v="7"/>
    <n v="159"/>
    <n v="38.9"/>
    <s v="Inconclusive"/>
    <x v="0"/>
  </r>
  <r>
    <x v="424"/>
    <s v="Oluwaseun Onuoha"/>
    <n v="63"/>
    <x v="3"/>
    <x v="0"/>
    <s v="A-"/>
    <x v="5"/>
    <x v="0"/>
    <x v="138"/>
    <d v="2020-09-09T00:00:00"/>
    <n v="20"/>
    <s v="Bowen University Teaching Hospital"/>
    <x v="1"/>
    <s v="Dr. Emeka Okorie"/>
    <x v="0"/>
    <n v="57809.52"/>
    <s v="Spironolactone"/>
    <n v="10"/>
    <n v="365"/>
    <n v="30.4"/>
    <s v="Abnormal"/>
    <x v="0"/>
  </r>
  <r>
    <x v="425"/>
    <s v="Mariam Salami"/>
    <n v="22"/>
    <x v="2"/>
    <x v="1"/>
    <s v="AB+"/>
    <x v="0"/>
    <x v="0"/>
    <x v="379"/>
    <d v="2021-03-23T00:00:00"/>
    <n v="8"/>
    <s v="Aminu Kano Teaching Hospital"/>
    <x v="2"/>
    <s v="Dr Amara Osei"/>
    <x v="1"/>
    <n v="40621.42"/>
    <s v="Cyclophosphamide"/>
    <n v="12"/>
    <n v="133"/>
    <n v="29.1"/>
    <s v="Normal"/>
    <x v="0"/>
  </r>
  <r>
    <x v="426"/>
    <s v="Deborah Lawal"/>
    <n v="40"/>
    <x v="5"/>
    <x v="1"/>
    <s v="O+"/>
    <x v="2"/>
    <x v="1"/>
    <x v="380"/>
    <d v="2023-10-03T00:00:00"/>
    <n v="5"/>
    <s v="Aminu Kano Teaching Hospital"/>
    <x v="2"/>
    <s v="Dr. Zainab Sule"/>
    <x v="2"/>
    <n v="39843.120000000003"/>
    <s v="Valproate"/>
    <n v="7"/>
    <n v="165"/>
    <n v="27.1"/>
    <s v="Normal"/>
    <x v="0"/>
  </r>
  <r>
    <x v="427"/>
    <s v="Chidi Williams"/>
    <n v="69"/>
    <x v="4"/>
    <x v="0"/>
    <s v="O+"/>
    <x v="5"/>
    <x v="2"/>
    <x v="381"/>
    <d v="2024-09-07T00:00:00"/>
    <n v="5"/>
    <s v="Ahmadu Bello University Teaching Hospital"/>
    <x v="2"/>
    <s v="Dr. Adewale Ogundimu"/>
    <x v="2"/>
    <n v="55938.96"/>
    <s v="Lisinopril"/>
    <n v="6"/>
    <n v="115"/>
    <m/>
    <s v="Normal"/>
    <x v="0"/>
  </r>
  <r>
    <x v="428"/>
    <s v="Adenike Garba"/>
    <n v="87"/>
    <x v="1"/>
    <x v="1"/>
    <s v="AB-"/>
    <x v="1"/>
    <x v="1"/>
    <x v="382"/>
    <d v="2022-09-08T00:00:00"/>
    <n v="7"/>
    <s v="Federal Medical Centre Owerri"/>
    <x v="3"/>
    <s v="Dr. Chioma Nwankwo"/>
    <x v="0"/>
    <n v="11481.57"/>
    <s v="Glibenclamide"/>
    <n v="8"/>
    <n v="145"/>
    <n v="32.1"/>
    <s v="Inconclusive"/>
    <x v="1"/>
  </r>
  <r>
    <x v="429"/>
    <s v="Adaeze Okeke"/>
    <n v="20"/>
    <x v="2"/>
    <x v="1"/>
    <s v="B+"/>
    <x v="6"/>
    <x v="0"/>
    <x v="383"/>
    <d v="2020-01-03T00:00:00"/>
    <n v="7"/>
    <s v="Federal Medical Centre Asaba"/>
    <x v="0"/>
    <s v="Dr. Halima Usman"/>
    <x v="2"/>
    <n v="27901.47"/>
    <s v="Prednisolone"/>
    <n v="5"/>
    <n v="345"/>
    <n v="27.6"/>
    <s v="Normal"/>
    <x v="1"/>
  </r>
  <r>
    <x v="430"/>
    <s v="Rukayat Taylor"/>
    <n v="58"/>
    <x v="3"/>
    <x v="1"/>
    <s v="AB+"/>
    <x v="2"/>
    <x v="0"/>
    <x v="64"/>
    <d v="2019-09-09T00:00:00"/>
    <n v="11"/>
    <s v="Ahmadu Bello University Teaching Hospital"/>
    <x v="2"/>
    <s v="Dr. Olumide Abiodun"/>
    <x v="4"/>
    <n v="65652.44"/>
    <s v="Gabapentin"/>
    <n v="9"/>
    <n v="360"/>
    <n v="22.4"/>
    <s v="Abnormal"/>
    <x v="0"/>
  </r>
  <r>
    <x v="431"/>
    <s v="Daniel Abiodun"/>
    <n v="26"/>
    <x v="2"/>
    <x v="0"/>
    <s v="A+"/>
    <x v="6"/>
    <x v="1"/>
    <x v="384"/>
    <d v="2023-09-28T00:00:00"/>
    <n v="2"/>
    <s v="Federal Medical Centre Asaba"/>
    <x v="0"/>
    <s v="Dr. Ngozi Eze-Williams"/>
    <x v="2"/>
    <n v="16651"/>
    <s v="Tiotropium"/>
    <n v="7"/>
    <n v="146"/>
    <n v="33.6"/>
    <s v="Inconclusive"/>
    <x v="0"/>
  </r>
  <r>
    <x v="432"/>
    <s v="Chidi Salami"/>
    <n v="63"/>
    <x v="3"/>
    <x v="0"/>
    <s v="O+"/>
    <x v="5"/>
    <x v="0"/>
    <x v="385"/>
    <d v="2021-03-23T00:00:00"/>
    <n v="7"/>
    <s v="University of Calabar Teaching Hospital"/>
    <x v="0"/>
    <s v="Dr. Fatima Al-Hassan"/>
    <x v="0"/>
    <n v="72905.64"/>
    <s v="Metoprolol"/>
    <n v="8"/>
    <n v="340"/>
    <m/>
    <s v="Abnormal"/>
    <x v="1"/>
  </r>
  <r>
    <x v="433"/>
    <s v="Chiamaka Yakubu"/>
    <n v="82"/>
    <x v="1"/>
    <x v="1"/>
    <s v="AB+"/>
    <x v="4"/>
    <x v="2"/>
    <x v="386"/>
    <d v="2021-07-09T00:00:00"/>
    <n v="2"/>
    <s v="University of Calabar Teaching Hospital"/>
    <x v="0"/>
    <s v="Dr. Segun Banke"/>
    <x v="0"/>
    <n v="20012.48"/>
    <s v="Loperamide"/>
    <n v="3"/>
    <n v="126"/>
    <n v="23.5"/>
    <s v="Inconclusive"/>
    <x v="0"/>
  </r>
  <r>
    <x v="434"/>
    <s v="Mariam Williams"/>
    <n v="68"/>
    <x v="4"/>
    <x v="1"/>
    <s v="AB+"/>
    <x v="0"/>
    <x v="1"/>
    <x v="387"/>
    <d v="2019-11-30T00:00:00"/>
    <n v="7"/>
    <s v="University College Hospital Ibadan"/>
    <x v="1"/>
    <s v="Dr. Grace Oduya"/>
    <x v="1"/>
    <n v="90422"/>
    <s v="Filgrastim"/>
    <n v="12"/>
    <n v="188"/>
    <n v="23.2"/>
    <s v="Abnormal"/>
    <x v="0"/>
  </r>
  <r>
    <x v="435"/>
    <s v="Chioma Adeleke"/>
    <n v="75"/>
    <x v="1"/>
    <x v="1"/>
    <s v="A-"/>
    <x v="4"/>
    <x v="1"/>
    <x v="388"/>
    <d v="2024-12-31T00:00:00"/>
    <n v="2"/>
    <s v="National Hospital Abuja"/>
    <x v="4"/>
    <s v="Dr. Nnamdi Okafor"/>
    <x v="1"/>
    <n v="15751.96"/>
    <s v="Metronidazole"/>
    <n v="4"/>
    <n v="118"/>
    <m/>
    <s v="Normal"/>
    <x v="0"/>
  </r>
  <r>
    <x v="436"/>
    <s v="Bashir Garba"/>
    <n v="86"/>
    <x v="1"/>
    <x v="0"/>
    <s v="A+"/>
    <x v="5"/>
    <x v="0"/>
    <x v="389"/>
    <d v="2024-06-23T00:00:00"/>
    <n v="20"/>
    <s v="University of Calabar Teaching Hospital"/>
    <x v="0"/>
    <s v="Dr. Adewale Ogundimu"/>
    <x v="1"/>
    <n v="280000"/>
    <s v="Digoxin"/>
    <n v="10"/>
    <n v="347"/>
    <n v="30.4"/>
    <s v="Abnormal"/>
    <x v="0"/>
  </r>
  <r>
    <x v="437"/>
    <s v="Emeka Smith"/>
    <n v="77"/>
    <x v="1"/>
    <x v="0"/>
    <s v="O+"/>
    <x v="3"/>
    <x v="1"/>
    <x v="390"/>
    <d v="2022-02-11T00:00:00"/>
    <n v="6"/>
    <s v="National Hospital Abuja"/>
    <x v="4"/>
    <s v="Dr. Lanre Ogundele"/>
    <x v="1"/>
    <n v="42188"/>
    <s v="Enoxaparin"/>
    <n v="6"/>
    <n v="143"/>
    <n v="34.299999999999997"/>
    <s v="Inconclusive"/>
    <x v="0"/>
  </r>
  <r>
    <x v="438"/>
    <s v="Babatunde Okonkwo"/>
    <n v="59"/>
    <x v="3"/>
    <x v="0"/>
    <s v="AB+"/>
    <x v="6"/>
    <x v="1"/>
    <x v="391"/>
    <d v="2023-01-29T00:00:00"/>
    <n v="5"/>
    <s v="National Hospital Abuja"/>
    <x v="4"/>
    <s v="Dr. Halima Usman"/>
    <x v="2"/>
    <n v="11643.65"/>
    <s v="Ipratropium"/>
    <n v="7"/>
    <n v="196"/>
    <n v="39"/>
    <s v="Abnormal"/>
    <x v="0"/>
  </r>
  <r>
    <x v="439"/>
    <s v="Emeka Brown"/>
    <n v="55"/>
    <x v="3"/>
    <x v="0"/>
    <s v="B-"/>
    <x v="5"/>
    <x v="0"/>
    <x v="392"/>
    <d v="2023-06-11T00:00:00"/>
    <n v="19"/>
    <s v="Aminu Kano Teaching Hospital"/>
    <x v="2"/>
    <s v="Dr. Adewale Ogundimu"/>
    <x v="0"/>
    <n v="79311.070000000007"/>
    <s v="Atorvastatin"/>
    <n v="7"/>
    <n v="334"/>
    <n v="32.700000000000003"/>
    <s v="Abnormal"/>
    <x v="0"/>
  </r>
  <r>
    <x v="440"/>
    <s v="Bashir Okeke"/>
    <n v="48"/>
    <x v="5"/>
    <x v="0"/>
    <s v="A+"/>
    <x v="1"/>
    <x v="1"/>
    <x v="393"/>
    <d v="2022-03-28T00:00:00"/>
    <n v="4"/>
    <s v="Federal Medical Centre Owerri"/>
    <x v="3"/>
    <s v="Dr. Ibrahim Musa"/>
    <x v="4"/>
    <n v="5577.72"/>
    <s v="Glibenclamide"/>
    <n v="6"/>
    <n v="195"/>
    <n v="15.8"/>
    <s v="Normal"/>
    <x v="0"/>
  </r>
  <r>
    <x v="441"/>
    <s v="Hauwa Thompson"/>
    <n v="38"/>
    <x v="5"/>
    <x v="1"/>
    <s v="B-"/>
    <x v="3"/>
    <x v="1"/>
    <x v="173"/>
    <d v="2020-02-09T00:00:00"/>
    <n v="8"/>
    <s v="Lagos University Teaching Hospital"/>
    <x v="1"/>
    <s v="Dr. Precious Obi"/>
    <x v="4"/>
    <n v="15199.04"/>
    <s v="Metronidazole"/>
    <n v="5"/>
    <n v="131"/>
    <n v="21.4"/>
    <s v="Inconclusive"/>
    <x v="0"/>
  </r>
  <r>
    <x v="442"/>
    <s v="Ibrahim Abiodun"/>
    <n v="57"/>
    <x v="3"/>
    <x v="0"/>
    <s v="B-"/>
    <x v="6"/>
    <x v="0"/>
    <x v="155"/>
    <d v="2019-11-26T00:00:00"/>
    <n v="10"/>
    <s v="Ahmadu Bello University Teaching Hospital"/>
    <x v="2"/>
    <s v="Dr. Halima Usman"/>
    <x v="4"/>
    <n v="22464.18"/>
    <s v="Tiotropium"/>
    <n v="6"/>
    <n v="328"/>
    <n v="22"/>
    <s v="Inconclusive"/>
    <x v="0"/>
  </r>
  <r>
    <x v="443"/>
    <s v="Emeka Adeleke"/>
    <n v="46"/>
    <x v="5"/>
    <x v="0"/>
    <s v="A+"/>
    <x v="5"/>
    <x v="0"/>
    <x v="151"/>
    <d v="2020-03-22T00:00:00"/>
    <n v="8"/>
    <s v="University of Calabar Teaching Hospital"/>
    <x v="0"/>
    <s v="Dr. Adewale Ogundimu"/>
    <x v="2"/>
    <n v="124478.78"/>
    <s v="Amlodipine"/>
    <n v="8"/>
    <n v="388"/>
    <n v="23.5"/>
    <s v="Inconclusive"/>
    <x v="0"/>
  </r>
  <r>
    <x v="444"/>
    <s v="Mary Sule"/>
    <n v="44"/>
    <x v="5"/>
    <x v="1"/>
    <s v="B+"/>
    <x v="1"/>
    <x v="1"/>
    <x v="394"/>
    <d v="2023-04-01T00:00:00"/>
    <n v="3"/>
    <s v="Federal Medical Centre Owerri"/>
    <x v="3"/>
    <s v="Dr. Ibrahim Musa"/>
    <x v="1"/>
    <n v="11856.02"/>
    <s v="Linagliptin"/>
    <n v="8"/>
    <n v="126"/>
    <n v="21.8"/>
    <s v="Abnormal"/>
    <x v="0"/>
  </r>
  <r>
    <x v="445"/>
    <s v="Adewale Akintola"/>
    <n v="92"/>
    <x v="1"/>
    <x v="0"/>
    <s v="A+"/>
    <x v="5"/>
    <x v="2"/>
    <x v="395"/>
    <d v="2022-03-13T00:00:00"/>
    <n v="19"/>
    <s v="Ahmadu Bello University Teaching Hospital"/>
    <x v="2"/>
    <s v="Dr. Emeka Okorie"/>
    <x v="4"/>
    <n v="53964.29"/>
    <s v="Warfarin"/>
    <n v="8"/>
    <n v="210"/>
    <n v="23.9"/>
    <s v="Abnormal"/>
    <x v="0"/>
  </r>
  <r>
    <x v="446"/>
    <s v="David Martin"/>
    <n v="53"/>
    <x v="5"/>
    <x v="0"/>
    <s v="AB+"/>
    <x v="1"/>
    <x v="0"/>
    <x v="396"/>
    <d v="2020-02-10T00:00:00"/>
    <n v="6"/>
    <s v="Bowen University Teaching Hospital"/>
    <x v="1"/>
    <s v="Dr. Taiwo Adeleke"/>
    <x v="1"/>
    <n v="20323"/>
    <s v="Liraglutide"/>
    <n v="7"/>
    <n v="178"/>
    <n v="42.5"/>
    <s v="Abnormal"/>
    <x v="0"/>
  </r>
  <r>
    <x v="447"/>
    <s v="Sarah Fashola"/>
    <n v="36"/>
    <x v="5"/>
    <x v="1"/>
    <s v="A+"/>
    <x v="6"/>
    <x v="0"/>
    <x v="397"/>
    <d v="2021-11-01T00:00:00"/>
    <n v="9"/>
    <s v="University College Hospital Ibadan"/>
    <x v="1"/>
    <s v="Dr. Halima Usman"/>
    <x v="0"/>
    <n v="24727.07"/>
    <s v="Ipratropium"/>
    <n v="5"/>
    <n v="348"/>
    <n v="31.8"/>
    <s v="Abnormal"/>
    <x v="0"/>
  </r>
  <r>
    <x v="448"/>
    <s v="Bukola Martin"/>
    <n v="67"/>
    <x v="4"/>
    <x v="1"/>
    <s v="B-"/>
    <x v="0"/>
    <x v="1"/>
    <x v="398"/>
    <d v="2020-07-22T00:00:00"/>
    <n v="15"/>
    <s v="National Hospital Abuja"/>
    <x v="4"/>
    <s v="Dr. Amara Osei"/>
    <x v="1"/>
    <n v="73818.880000000005"/>
    <s v="Tamoxifen"/>
    <n v="12"/>
    <n v="179"/>
    <n v="14"/>
    <s v="Abnormal"/>
    <x v="1"/>
  </r>
  <r>
    <x v="449"/>
    <s v="Abdullahi Salami"/>
    <n v="72"/>
    <x v="4"/>
    <x v="0"/>
    <s v="A+"/>
    <x v="5"/>
    <x v="1"/>
    <x v="399"/>
    <d v="2019-05-15T00:00:00"/>
    <n v="10"/>
    <s v="Lagos University Teaching Hospital"/>
    <x v="1"/>
    <s v="Dr. Emeka Okorie"/>
    <x v="2"/>
    <n v="70158.789999999994"/>
    <s v="Aspirin"/>
    <n v="6"/>
    <n v="186"/>
    <n v="34.799999999999997"/>
    <s v="Abnormal"/>
    <x v="0"/>
  </r>
  <r>
    <x v="450"/>
    <s v="Chidi Smith"/>
    <n v="37"/>
    <x v="5"/>
    <x v="0"/>
    <s v="AB+"/>
    <x v="7"/>
    <x v="2"/>
    <x v="4"/>
    <d v="2019-11-13T00:00:00"/>
    <n v="3"/>
    <s v="University of Calabar Teaching Hospital"/>
    <x v="0"/>
    <s v="Dr. Chukwuemeka Nwosu"/>
    <x v="4"/>
    <n v="18260.990000000002"/>
    <s v="Ibuprofen"/>
    <n v="5"/>
    <n v="293"/>
    <n v="22"/>
    <s v="Normal"/>
    <x v="0"/>
  </r>
  <r>
    <x v="451"/>
    <s v="Ibrahim Adebayo"/>
    <n v="45"/>
    <x v="5"/>
    <x v="0"/>
    <s v="AB+"/>
    <x v="6"/>
    <x v="0"/>
    <x v="400"/>
    <d v="2024-04-13T00:00:00"/>
    <n v="5"/>
    <s v="University College Hospital Ibadan"/>
    <x v="1"/>
    <s v="Dr. Yusuf Danjuma"/>
    <x v="2"/>
    <n v="42191"/>
    <s v="Ipratropium"/>
    <n v="5"/>
    <n v="350"/>
    <m/>
    <s v="Inconclusive"/>
    <x v="0"/>
  </r>
  <r>
    <x v="452"/>
    <s v="Chiamaka Moore"/>
    <n v="69"/>
    <x v="4"/>
    <x v="1"/>
    <s v="AB+"/>
    <x v="4"/>
    <x v="1"/>
    <x v="401"/>
    <d v="2023-04-01T00:00:00"/>
    <n v="3"/>
    <s v="Aminu Kano Teaching Hospital"/>
    <x v="2"/>
    <s v="Dr. Nnamdi Okafor"/>
    <x v="4"/>
    <n v="12418.78"/>
    <s v="Ciprofloxacin"/>
    <n v="4"/>
    <n v="153"/>
    <n v="20.399999999999999"/>
    <s v="Normal"/>
    <x v="0"/>
  </r>
  <r>
    <x v="453"/>
    <s v="Nnamdi Nwosu"/>
    <n v="56"/>
    <x v="3"/>
    <x v="0"/>
    <s v="AB+"/>
    <x v="2"/>
    <x v="2"/>
    <x v="402"/>
    <d v="2023-05-22T00:00:00"/>
    <n v="6"/>
    <s v="Lagos University Teaching Hospital"/>
    <x v="1"/>
    <s v="Dr. Rotimi Fashola"/>
    <x v="2"/>
    <n v="54745.91"/>
    <s v="Levetiracetam"/>
    <n v="9"/>
    <n v="394"/>
    <n v="29.6"/>
    <s v="Normal"/>
    <x v="0"/>
  </r>
  <r>
    <x v="454"/>
    <s v="Peter Ajala"/>
    <n v="38"/>
    <x v="5"/>
    <x v="0"/>
    <s v="B-"/>
    <x v="5"/>
    <x v="0"/>
    <x v="403"/>
    <d v="2019-09-26T00:00:00"/>
    <n v="16"/>
    <s v="Federal Medical Centre Owerri"/>
    <x v="3"/>
    <s v="Dr. Adewale Ogundimu"/>
    <x v="0"/>
    <n v="48020.62"/>
    <s v="Aspirin"/>
    <n v="10"/>
    <n v="391"/>
    <n v="19.8"/>
    <s v="Abnormal"/>
    <x v="0"/>
  </r>
  <r>
    <x v="455"/>
    <s v="Funke Brown"/>
    <n v="74"/>
    <x v="4"/>
    <x v="1"/>
    <s v="A+"/>
    <x v="2"/>
    <x v="1"/>
    <x v="154"/>
    <d v="2021-07-17T00:00:00"/>
    <n v="4"/>
    <s v="Ahmadu Bello University Teaching Hospital"/>
    <x v="2"/>
    <s v="Dr. Olumide Abiodun"/>
    <x v="4"/>
    <n v="64511.199999999997"/>
    <s v="Phenytoin"/>
    <n v="9"/>
    <n v="103"/>
    <n v="21.6"/>
    <s v="Abnormal"/>
    <x v="0"/>
  </r>
  <r>
    <x v="456"/>
    <s v="Lydia Okafor"/>
    <n v="39"/>
    <x v="5"/>
    <x v="1"/>
    <s v="AB+"/>
    <x v="2"/>
    <x v="0"/>
    <x v="404"/>
    <d v="2022-03-28T00:00:00"/>
    <n v="21"/>
    <s v="Federal Medical Centre Asaba"/>
    <x v="0"/>
    <s v="Dr. Zainab Sule"/>
    <x v="0"/>
    <n v="106756.85"/>
    <s v="Donepezil"/>
    <n v="8"/>
    <n v="328"/>
    <n v="25.6"/>
    <s v="Abnormal"/>
    <x v="1"/>
  </r>
  <r>
    <x v="457"/>
    <s v="Kayode Aliyu"/>
    <n v="48"/>
    <x v="5"/>
    <x v="0"/>
    <s v="A+"/>
    <x v="5"/>
    <x v="0"/>
    <x v="405"/>
    <d v="2019-12-16T00:00:00"/>
    <n v="35"/>
    <s v="University of Calabar Teaching Hospital"/>
    <x v="0"/>
    <s v="Dr. Adewale Ogundimu"/>
    <x v="0"/>
    <n v="58907"/>
    <s v="Aspirin"/>
    <n v="10"/>
    <n v="316"/>
    <n v="23.1"/>
    <s v="Abnormal"/>
    <x v="0"/>
  </r>
  <r>
    <x v="458"/>
    <s v="Biodun Adebayo"/>
    <n v="76"/>
    <x v="1"/>
    <x v="0"/>
    <s v="O-"/>
    <x v="3"/>
    <x v="0"/>
    <x v="406"/>
    <d v="2020-03-10T00:00:00"/>
    <n v="11"/>
    <s v="Federal Medical Centre Birnin Kebbi"/>
    <x v="2"/>
    <s v="Dr. Precious Obi"/>
    <x v="0"/>
    <n v="70252.87"/>
    <s v="Amoxicillin"/>
    <n v="6"/>
    <n v="429"/>
    <n v="29.1"/>
    <s v="Normal"/>
    <x v="0"/>
  </r>
  <r>
    <x v="459"/>
    <s v="Gbenga Williams"/>
    <n v="55"/>
    <x v="3"/>
    <x v="0"/>
    <s v="A+"/>
    <x v="2"/>
    <x v="0"/>
    <x v="407"/>
    <d v="2021-06-09T00:00:00"/>
    <n v="7"/>
    <s v="University of Calabar Teaching Hospital"/>
    <x v="0"/>
    <s v="Dr. Rotimi Fashola"/>
    <x v="3"/>
    <n v="57036.01"/>
    <s v="Donepezil"/>
    <n v="9"/>
    <n v="374"/>
    <n v="24.6"/>
    <s v="Abnormal"/>
    <x v="0"/>
  </r>
  <r>
    <x v="460"/>
    <s v="Taiwo Yakubu"/>
    <n v="16"/>
    <x v="0"/>
    <x v="1"/>
    <s v="B-"/>
    <x v="5"/>
    <x v="1"/>
    <x v="408"/>
    <d v="2023-04-01T00:00:00"/>
    <n v="12"/>
    <s v="Federal Medical Centre Birnin Kebbi"/>
    <x v="2"/>
    <s v="Dr. Fatima Al-Hassan"/>
    <x v="1"/>
    <n v="50178.18"/>
    <s v="Digoxin"/>
    <n v="8"/>
    <n v="102"/>
    <n v="37.4"/>
    <s v="Abnormal"/>
    <x v="0"/>
  </r>
  <r>
    <x v="461"/>
    <s v="Amaka Usman"/>
    <n v="80"/>
    <x v="1"/>
    <x v="1"/>
    <s v="O-"/>
    <x v="2"/>
    <x v="3"/>
    <x v="409"/>
    <d v="2023-10-08T00:00:00"/>
    <n v="27"/>
    <s v="Ahmadu Bello University Teaching Hospital"/>
    <x v="2"/>
    <s v="Dr. Olumide Abiodun"/>
    <x v="0"/>
    <n v="47448.04"/>
    <s v="Topiramate"/>
    <n v="9"/>
    <n v="258"/>
    <m/>
    <s v="Normal"/>
    <x v="0"/>
  </r>
  <r>
    <x v="462"/>
    <s v="Funke Ajala"/>
    <n v="64"/>
    <x v="3"/>
    <x v="1"/>
    <s v="O+"/>
    <x v="0"/>
    <x v="3"/>
    <x v="410"/>
    <d v="2019-01-18T00:00:00"/>
    <n v="5"/>
    <s v="University of Calabar Teaching Hospital"/>
    <x v="0"/>
    <s v="Dr. Grace Oduya"/>
    <x v="1"/>
    <n v="99991.08"/>
    <s v="Methotrexate"/>
    <n v="11"/>
    <n v="137"/>
    <n v="21.9"/>
    <s v="Abnormal"/>
    <x v="0"/>
  </r>
  <r>
    <x v="463"/>
    <s v="Lydia Abubakar"/>
    <n v="22"/>
    <x v="2"/>
    <x v="1"/>
    <s v="O+"/>
    <x v="2"/>
    <x v="0"/>
    <x v="411"/>
    <d v="2020-09-07T00:00:00"/>
    <n v="5"/>
    <s v="National Hospital Abuja"/>
    <x v="4"/>
    <s v="Dr. Zainab Sule"/>
    <x v="0"/>
    <n v="33016"/>
    <s v="Topiramate"/>
    <n v="9"/>
    <n v="308"/>
    <n v="28.9"/>
    <s v="Normal"/>
    <x v="1"/>
  </r>
  <r>
    <x v="464"/>
    <s v="Miriam Adeyemi"/>
    <n v="37"/>
    <x v="5"/>
    <x v="1"/>
    <s v="A+"/>
    <x v="6"/>
    <x v="0"/>
    <x v="412"/>
    <d v="2019-11-05T00:00:00"/>
    <n v="9"/>
    <s v="National Hospital Abuja"/>
    <x v="4"/>
    <s v="Dr. Halima Usman"/>
    <x v="4"/>
    <n v="23477.77"/>
    <s v="Theophylline"/>
    <n v="7"/>
    <n v="356"/>
    <n v="27.7"/>
    <s v="Abnormal"/>
    <x v="0"/>
  </r>
  <r>
    <x v="465"/>
    <s v="Sarah Taylor"/>
    <n v="87"/>
    <x v="1"/>
    <x v="1"/>
    <s v="B-"/>
    <x v="3"/>
    <x v="0"/>
    <x v="201"/>
    <d v="2024-07-24T00:00:00"/>
    <n v="16"/>
    <s v="University College Hospital Ibadan"/>
    <x v="1"/>
    <s v="Dr. Kemi Adeyemi"/>
    <x v="4"/>
    <n v="90591"/>
    <s v="Ondansetron"/>
    <n v="6"/>
    <n v="145"/>
    <n v="24.9"/>
    <s v="Normal"/>
    <x v="0"/>
  </r>
  <r>
    <x v="466"/>
    <s v="Adenike Fashola"/>
    <n v="46"/>
    <x v="5"/>
    <x v="1"/>
    <s v="B-"/>
    <x v="7"/>
    <x v="3"/>
    <x v="413"/>
    <d v="2020-11-07T00:00:00"/>
    <n v="4"/>
    <s v="National Hospital Abuja"/>
    <x v="4"/>
    <s v="Dr. Sarah Adeyemi"/>
    <x v="4"/>
    <n v="15083.08"/>
    <s v="Enoxaparin"/>
    <n v="6"/>
    <n v="379"/>
    <n v="23.1"/>
    <s v="Abnormal"/>
    <x v="0"/>
  </r>
  <r>
    <x v="467"/>
    <s v="James Okonkwo"/>
    <n v="85"/>
    <x v="1"/>
    <x v="0"/>
    <s v="B+"/>
    <x v="3"/>
    <x v="0"/>
    <x v="414"/>
    <d v="2024-01-31T00:00:00"/>
    <n v="6"/>
    <s v="National Hospital Abuja"/>
    <x v="4"/>
    <s v="Dr. Lanre Ogundele"/>
    <x v="4"/>
    <n v="49708.1"/>
    <s v="Enoxaparin"/>
    <n v="3"/>
    <n v="401"/>
    <m/>
    <s v="Normal"/>
    <x v="0"/>
  </r>
  <r>
    <x v="468"/>
    <s v="Femi Dauda"/>
    <n v="88"/>
    <x v="1"/>
    <x v="0"/>
    <s v="A-"/>
    <x v="6"/>
    <x v="2"/>
    <x v="415"/>
    <m/>
    <m/>
    <s v="Federal Medical Centre Birnin Kebbi"/>
    <x v="2"/>
    <s v="Dr. Ngozi Eze-Williams"/>
    <x v="4"/>
    <n v="10238.83"/>
    <s v="Salbutamol"/>
    <n v="6"/>
    <n v="131"/>
    <n v="19.399999999999999"/>
    <s v="Abnormal"/>
    <x v="0"/>
  </r>
  <r>
    <x v="469"/>
    <s v="Adaeze Adebayo"/>
    <n v="57"/>
    <x v="3"/>
    <x v="1"/>
    <s v="A-"/>
    <x v="5"/>
    <x v="2"/>
    <x v="188"/>
    <d v="2021-12-19T00:00:00"/>
    <n v="8"/>
    <s v="Federal Medical Centre Asaba"/>
    <x v="0"/>
    <s v="Dr. Adewale Ogundimu"/>
    <x v="1"/>
    <n v="85017.23"/>
    <s v="Lisinopril"/>
    <n v="8"/>
    <n v="392"/>
    <n v="29.2"/>
    <s v="Normal"/>
    <x v="0"/>
  </r>
  <r>
    <x v="470"/>
    <s v="Aisha Chukwu"/>
    <n v="92"/>
    <x v="1"/>
    <x v="1"/>
    <s v="O-"/>
    <x v="7"/>
    <x v="2"/>
    <x v="416"/>
    <d v="2020-10-13T00:00:00"/>
    <n v="3"/>
    <s v="Federal Medical Centre Birnin Kebbi"/>
    <x v="2"/>
    <s v="Dr. Musa Aliyu"/>
    <x v="1"/>
    <n v="46963.86"/>
    <s v="Vitamin D"/>
    <n v="4"/>
    <n v="455"/>
    <n v="28.9"/>
    <s v="Normal"/>
    <x v="0"/>
  </r>
  <r>
    <x v="471"/>
    <s v="Rotimi Oni"/>
    <n v="72"/>
    <x v="4"/>
    <x v="0"/>
    <s v="B+"/>
    <x v="5"/>
    <x v="0"/>
    <x v="417"/>
    <d v="2019-10-10T00:00:00"/>
    <n v="22"/>
    <s v="University College Hospital Ibadan"/>
    <x v="1"/>
    <s v="Dr. Fatima Al-Hassan"/>
    <x v="0"/>
    <n v="92345.75"/>
    <s v="Amiodarone"/>
    <n v="10"/>
    <n v="395"/>
    <n v="23.5"/>
    <s v="Abnormal"/>
    <x v="0"/>
  </r>
  <r>
    <x v="472"/>
    <s v="Funke Adebayo"/>
    <n v="57"/>
    <x v="3"/>
    <x v="1"/>
    <s v="O+"/>
    <x v="1"/>
    <x v="2"/>
    <x v="418"/>
    <d v="2023-05-21T00:00:00"/>
    <n v="3"/>
    <s v="Federal Medical Centre Owerri"/>
    <x v="3"/>
    <s v="Dr. Taiwo Adeleke"/>
    <x v="2"/>
    <n v="13810.18"/>
    <s v="Linagliptin"/>
    <n v="6"/>
    <n v="413"/>
    <n v="34.799999999999997"/>
    <s v="Inconclusive"/>
    <x v="0"/>
  </r>
  <r>
    <x v="473"/>
    <s v="Adenike Akintola"/>
    <n v="64"/>
    <x v="3"/>
    <x v="1"/>
    <s v="B-"/>
    <x v="5"/>
    <x v="0"/>
    <x v="419"/>
    <d v="2020-11-17T00:00:00"/>
    <n v="8"/>
    <s v="Ahmadu Bello University Teaching Hospital"/>
    <x v="2"/>
    <s v="Dr. Fatima Al-Hassan"/>
    <x v="1"/>
    <n v="172063.25"/>
    <s v="Spironolactone"/>
    <n v="9"/>
    <n v="347"/>
    <n v="33.9"/>
    <s v="Abnormal"/>
    <x v="0"/>
  </r>
  <r>
    <x v="474"/>
    <s v="Daniel Ajala"/>
    <n v="70"/>
    <x v="4"/>
    <x v="0"/>
    <s v="B-"/>
    <x v="5"/>
    <x v="0"/>
    <x v="420"/>
    <d v="2024-06-28T00:00:00"/>
    <n v="8"/>
    <s v="Federal Medical Centre Asaba"/>
    <x v="0"/>
    <s v="Dr. Fatima Al-Hassan"/>
    <x v="3"/>
    <n v="262274.68"/>
    <s v="Spironolactone"/>
    <n v="10"/>
    <n v="330"/>
    <n v="37.1"/>
    <s v="Abnormal"/>
    <x v="0"/>
  </r>
  <r>
    <x v="475"/>
    <s v="Emeka Abubakar"/>
    <n v="60"/>
    <x v="3"/>
    <x v="0"/>
    <s v="A-"/>
    <x v="5"/>
    <x v="0"/>
    <x v="353"/>
    <d v="2023-09-27T00:00:00"/>
    <n v="12"/>
    <s v="Ahmadu Bello University Teaching Hospital"/>
    <x v="2"/>
    <s v="Dr. Adewale Ogundimu"/>
    <x v="0"/>
    <n v="49548.03"/>
    <s v="Furosemide"/>
    <n v="10"/>
    <n v="345"/>
    <n v="35.299999999999997"/>
    <s v="Inconclusive"/>
    <x v="1"/>
  </r>
  <r>
    <x v="476"/>
    <s v="Ibrahim Smith"/>
    <n v="73"/>
    <x v="4"/>
    <x v="0"/>
    <s v="O-"/>
    <x v="3"/>
    <x v="0"/>
    <x v="421"/>
    <d v="2024-10-13T00:00:00"/>
    <n v="6"/>
    <s v="University College Hospital Ibadan"/>
    <x v="1"/>
    <s v="Dr. Lanre Ogundele"/>
    <x v="1"/>
    <n v="39828.57"/>
    <s v="Morphine"/>
    <n v="6"/>
    <n v="252"/>
    <n v="31"/>
    <s v="Normal"/>
    <x v="0"/>
  </r>
  <r>
    <x v="477"/>
    <s v="Miriam Brown"/>
    <n v="83"/>
    <x v="1"/>
    <x v="1"/>
    <s v="B-"/>
    <x v="1"/>
    <x v="1"/>
    <x v="422"/>
    <d v="2022-03-27T00:00:00"/>
    <n v="2"/>
    <s v="Bowen University Teaching Hospital"/>
    <x v="1"/>
    <s v="Dr. Ibrahim Musa"/>
    <x v="2"/>
    <n v="28504.67"/>
    <s v="Metformin"/>
    <n v="8"/>
    <n v="109"/>
    <n v="40.5"/>
    <s v="Abnormal"/>
    <x v="0"/>
  </r>
  <r>
    <x v="478"/>
    <s v="Chioma Aliyu"/>
    <n v="85"/>
    <x v="1"/>
    <x v="1"/>
    <s v="O-"/>
    <x v="4"/>
    <x v="1"/>
    <x v="423"/>
    <d v="2023-10-13T00:00:00"/>
    <n v="3"/>
    <s v="Bowen University Teaching Hospital"/>
    <x v="1"/>
    <s v="Dr. Aisha Bello"/>
    <x v="4"/>
    <n v="12514.08"/>
    <s v="Mesalazine"/>
    <n v="5"/>
    <n v="182"/>
    <n v="20.6"/>
    <s v="Abnormal"/>
    <x v="0"/>
  </r>
  <r>
    <x v="479"/>
    <s v="Tolulope Aliyu"/>
    <n v="80"/>
    <x v="1"/>
    <x v="1"/>
    <s v="B-"/>
    <x v="2"/>
    <x v="0"/>
    <x v="202"/>
    <d v="2020-03-18T00:00:00"/>
    <n v="9"/>
    <s v="National Hospital Abuja"/>
    <x v="4"/>
    <s v="Dr. Zainab Sule"/>
    <x v="1"/>
    <n v="70012.62"/>
    <s v="Phenytoin"/>
    <n v="9"/>
    <n v="320"/>
    <n v="25.8"/>
    <s v="Abnormal"/>
    <x v="0"/>
  </r>
  <r>
    <x v="480"/>
    <s v="Musa Taylor"/>
    <n v="71"/>
    <x v="4"/>
    <x v="0"/>
    <s v="O-"/>
    <x v="1"/>
    <x v="1"/>
    <x v="424"/>
    <d v="2023-01-31T00:00:00"/>
    <n v="4"/>
    <s v="University College Hospital Ibadan"/>
    <x v="1"/>
    <s v="Dr. Taiwo Adeleke"/>
    <x v="2"/>
    <n v="15402.67"/>
    <s v="Insulin Glargine"/>
    <n v="8"/>
    <n v="187"/>
    <n v="33.5"/>
    <s v="Abnormal"/>
    <x v="0"/>
  </r>
  <r>
    <x v="481"/>
    <s v="Ngozi Abubakar"/>
    <n v="74"/>
    <x v="4"/>
    <x v="1"/>
    <s v="B-"/>
    <x v="5"/>
    <x v="1"/>
    <x v="425"/>
    <d v="2020-12-13T00:00:00"/>
    <n v="11"/>
    <s v="University College Hospital Ibadan"/>
    <x v="1"/>
    <s v="Dr. Emeka Okorie"/>
    <x v="1"/>
    <n v="64608.87"/>
    <s v="Aspirin"/>
    <n v="10"/>
    <n v="115"/>
    <n v="33.6"/>
    <s v="Abnormal"/>
    <x v="1"/>
  </r>
  <r>
    <x v="482"/>
    <s v="Babatunde Johnson"/>
    <n v="47"/>
    <x v="5"/>
    <x v="0"/>
    <s v="A-"/>
    <x v="4"/>
    <x v="1"/>
    <x v="426"/>
    <d v="2020-04-23T00:00:00"/>
    <n v="1"/>
    <s v="Federal Medical Centre Owerri"/>
    <x v="3"/>
    <s v="Dr. Segun Banke"/>
    <x v="1"/>
    <n v="9606"/>
    <s v="Omeprazole"/>
    <n v="2"/>
    <n v="141"/>
    <n v="18.7"/>
    <s v="Normal"/>
    <x v="0"/>
  </r>
  <r>
    <x v="483"/>
    <s v="Amaka Obi"/>
    <n v="35"/>
    <x v="5"/>
    <x v="1"/>
    <s v="O+"/>
    <x v="1"/>
    <x v="0"/>
    <x v="38"/>
    <d v="2021-02-13T00:00:00"/>
    <n v="3"/>
    <s v="Federal Medical Centre Asaba"/>
    <x v="0"/>
    <s v="Dr. Ibrahim Musa"/>
    <x v="1"/>
    <n v="26677.72"/>
    <s v="Linagliptin"/>
    <n v="7"/>
    <n v="203"/>
    <n v="35.200000000000003"/>
    <s v="Normal"/>
    <x v="0"/>
  </r>
  <r>
    <x v="484"/>
    <s v="Yusuf Igwe"/>
    <n v="28"/>
    <x v="2"/>
    <x v="0"/>
    <s v="O+"/>
    <x v="6"/>
    <x v="1"/>
    <x v="427"/>
    <d v="2020-01-23T00:00:00"/>
    <n v="4"/>
    <s v="University College Hospital Ibadan"/>
    <x v="1"/>
    <s v="Dr. Yusuf Danjuma"/>
    <x v="3"/>
    <n v="9882.64"/>
    <s v="Theophylline"/>
    <n v="5"/>
    <n v="126"/>
    <n v="38.299999999999997"/>
    <s v="Inconclusive"/>
    <x v="0"/>
  </r>
  <r>
    <x v="485"/>
    <s v="Blessing Aliyu"/>
    <n v="57"/>
    <x v="3"/>
    <x v="1"/>
    <s v="O-"/>
    <x v="5"/>
    <x v="0"/>
    <x v="428"/>
    <d v="2024-12-11T00:00:00"/>
    <n v="8"/>
    <s v="Aminu Kano Teaching Hospital"/>
    <x v="2"/>
    <s v="Dr. Adewale Ogundimu"/>
    <x v="4"/>
    <n v="66104"/>
    <s v="Amlodipine"/>
    <n v="8"/>
    <n v="343"/>
    <n v="39.299999999999997"/>
    <s v="Normal"/>
    <x v="0"/>
  </r>
  <r>
    <x v="486"/>
    <s v="Amaka Danjuma"/>
    <n v="69"/>
    <x v="4"/>
    <x v="1"/>
    <s v="A-"/>
    <x v="0"/>
    <x v="0"/>
    <x v="429"/>
    <d v="2023-06-26T00:00:00"/>
    <n v="20"/>
    <s v="Federal Medical Centre Owerri"/>
    <x v="3"/>
    <s v="Dr. Grace Oduya"/>
    <x v="0"/>
    <n v="82649.440000000002"/>
    <s v="Letrozole"/>
    <n v="12"/>
    <n v="435"/>
    <n v="27"/>
    <s v="Abnormal"/>
    <x v="0"/>
  </r>
  <r>
    <x v="487"/>
    <s v="Ngozi Fashola"/>
    <n v="64"/>
    <x v="3"/>
    <x v="1"/>
    <s v="A+"/>
    <x v="0"/>
    <x v="1"/>
    <x v="430"/>
    <d v="2023-01-23T00:00:00"/>
    <n v="13"/>
    <s v="Aminu Kano Teaching Hospital"/>
    <x v="2"/>
    <s v="Dr. Babatunde Fashola"/>
    <x v="0"/>
    <n v="59911.199999999997"/>
    <s v="Trastuzumab"/>
    <n v="12"/>
    <n v="161"/>
    <n v="25"/>
    <s v="Normal"/>
    <x v="1"/>
  </r>
  <r>
    <x v="488"/>
    <s v="Ngozi Osagie"/>
    <n v="20"/>
    <x v="2"/>
    <x v="1"/>
    <s v="O-"/>
    <x v="0"/>
    <x v="3"/>
    <x v="151"/>
    <d v="2020-03-24T00:00:00"/>
    <n v="10"/>
    <s v="University College Hospital Ibadan"/>
    <x v="1"/>
    <s v="Dr. Grace Oduya"/>
    <x v="2"/>
    <n v="48741.55"/>
    <s v="Filgrastim"/>
    <n v="9"/>
    <n v="331"/>
    <n v="27.7"/>
    <s v="Abnormal"/>
    <x v="0"/>
  </r>
  <r>
    <x v="489"/>
    <s v="David Usman"/>
    <n v="60"/>
    <x v="3"/>
    <x v="0"/>
    <s v="A+"/>
    <x v="5"/>
    <x v="2"/>
    <x v="431"/>
    <d v="2019-11-11T00:00:00"/>
    <n v="7"/>
    <s v="Federal Medical Centre Owerri"/>
    <x v="3"/>
    <s v="Dr. Fatima Al-Hassan"/>
    <x v="4"/>
    <n v="50829.01"/>
    <s v="Lisinopril"/>
    <n v="9"/>
    <n v="329"/>
    <m/>
    <s v="Abnormal"/>
    <x v="0"/>
  </r>
  <r>
    <x v="490"/>
    <s v="Rotimi Lawan"/>
    <n v="55"/>
    <x v="3"/>
    <x v="0"/>
    <s v="O+"/>
    <x v="5"/>
    <x v="0"/>
    <x v="393"/>
    <d v="2022-04-04T00:00:00"/>
    <n v="11"/>
    <s v="Aminu Kano Teaching Hospital"/>
    <x v="2"/>
    <s v="Dr. Emeka Okorie"/>
    <x v="0"/>
    <n v="31788"/>
    <s v="Spironolactone"/>
    <n v="10"/>
    <n v="315"/>
    <n v="36.700000000000003"/>
    <s v="Abnormal"/>
    <x v="0"/>
  </r>
  <r>
    <x v="491"/>
    <s v="Emmanuel Sule"/>
    <n v="74"/>
    <x v="4"/>
    <x v="0"/>
    <s v="A-"/>
    <x v="2"/>
    <x v="0"/>
    <x v="432"/>
    <d v="2019-01-10T00:00:00"/>
    <n v="11"/>
    <s v="Federal Medical Centre Asaba"/>
    <x v="0"/>
    <s v="Dr. Olumide Abiodun"/>
    <x v="4"/>
    <n v="54614.15"/>
    <s v="Memantine"/>
    <n v="7"/>
    <n v="357"/>
    <m/>
    <s v="Inconclusive"/>
    <x v="0"/>
  </r>
  <r>
    <x v="492"/>
    <s v="Rachel Williams"/>
    <n v="10"/>
    <x v="0"/>
    <x v="1"/>
    <s v="O-"/>
    <x v="6"/>
    <x v="1"/>
    <x v="270"/>
    <d v="2021-10-13T00:00:00"/>
    <n v="5"/>
    <s v="Federal Medical Centre Birnin Kebbi"/>
    <x v="2"/>
    <s v="Dr. Ngozi Eze-Williams"/>
    <x v="1"/>
    <n v="13053.24"/>
    <s v="Theophylline"/>
    <n v="7"/>
    <n v="108"/>
    <n v="33.4"/>
    <s v="Inconclusive"/>
    <x v="0"/>
  </r>
  <r>
    <x v="493"/>
    <s v="Amaka Osagie"/>
    <n v="63"/>
    <x v="3"/>
    <x v="1"/>
    <s v="O-"/>
    <x v="2"/>
    <x v="3"/>
    <x v="433"/>
    <d v="2024-06-18T00:00:00"/>
    <n v="9"/>
    <s v="National Hospital Abuja"/>
    <x v="4"/>
    <s v="Dr. Olumide Abiodun"/>
    <x v="0"/>
    <n v="23788.41"/>
    <s v="Memantine"/>
    <n v="9"/>
    <n v="464"/>
    <n v="14"/>
    <s v="Normal"/>
    <x v="0"/>
  </r>
  <r>
    <x v="494"/>
    <s v="Samuel Eze"/>
    <n v="79"/>
    <x v="1"/>
    <x v="0"/>
    <s v="O-"/>
    <x v="2"/>
    <x v="0"/>
    <x v="416"/>
    <d v="2020-10-21T00:00:00"/>
    <n v="11"/>
    <s v="University of Calabar Teaching Hospital"/>
    <x v="0"/>
    <s v="Dr. Olumide Abiodun"/>
    <x v="2"/>
    <n v="280000"/>
    <s v="Donepezil"/>
    <n v="7"/>
    <n v="310"/>
    <n v="19.100000000000001"/>
    <s v="Normal"/>
    <x v="0"/>
  </r>
  <r>
    <x v="495"/>
    <s v="Rebecca Adeyemi"/>
    <n v="69"/>
    <x v="4"/>
    <x v="1"/>
    <s v="A+"/>
    <x v="1"/>
    <x v="2"/>
    <x v="434"/>
    <d v="2022-06-02T00:00:00"/>
    <n v="3"/>
    <s v="National Hospital Abuja"/>
    <x v="4"/>
    <s v="Dr. Ibrahim Musa"/>
    <x v="3"/>
    <n v="29916.04"/>
    <s v="Linagliptin"/>
    <n v="8"/>
    <n v="314"/>
    <n v="28.5"/>
    <s v="Abnormal"/>
    <x v="1"/>
  </r>
  <r>
    <x v="496"/>
    <s v="Rukayat Smith"/>
    <n v="87"/>
    <x v="1"/>
    <x v="1"/>
    <s v="AB+"/>
    <x v="2"/>
    <x v="0"/>
    <x v="435"/>
    <d v="2022-01-20T00:00:00"/>
    <n v="8"/>
    <s v="National Hospital Abuja"/>
    <x v="4"/>
    <s v="Dr. Olumide Abiodun"/>
    <x v="3"/>
    <n v="147365.32"/>
    <s v="Topiramate"/>
    <n v="9"/>
    <n v="374"/>
    <n v="30.5"/>
    <s v="Normal"/>
    <x v="1"/>
  </r>
  <r>
    <x v="497"/>
    <s v="Kunle Salami"/>
    <n v="67"/>
    <x v="4"/>
    <x v="0"/>
    <s v="B+"/>
    <x v="4"/>
    <x v="1"/>
    <x v="436"/>
    <d v="2023-06-21T00:00:00"/>
    <n v="2"/>
    <s v="Bowen University Teaching Hospital"/>
    <x v="1"/>
    <s v="Dr. Nnamdi Okafor"/>
    <x v="0"/>
    <n v="9139.35"/>
    <s v="Loperamide"/>
    <n v="5"/>
    <n v="119"/>
    <n v="29"/>
    <s v="Normal"/>
    <x v="0"/>
  </r>
  <r>
    <x v="498"/>
    <s v="Sarah Adeleke"/>
    <n v="58"/>
    <x v="3"/>
    <x v="1"/>
    <s v="AB+"/>
    <x v="3"/>
    <x v="3"/>
    <x v="437"/>
    <d v="2021-03-07T00:00:00"/>
    <n v="5"/>
    <s v="University College Hospital Ibadan"/>
    <x v="1"/>
    <s v="Dr. Kemi Adeyemi"/>
    <x v="0"/>
    <n v="25859.84"/>
    <s v="Ondansetron"/>
    <n v="5"/>
    <n v="400"/>
    <m/>
    <s v="Normal"/>
    <x v="0"/>
  </r>
  <r>
    <x v="499"/>
    <s v="Hauwa Thompson"/>
    <n v="80"/>
    <x v="1"/>
    <x v="1"/>
    <s v="O-"/>
    <x v="7"/>
    <x v="2"/>
    <x v="438"/>
    <d v="2022-11-04T00:00:00"/>
    <n v="4"/>
    <s v="Ahmadu Bello University Teaching Hospital"/>
    <x v="2"/>
    <s v="Dr. Musa Aliyu"/>
    <x v="0"/>
    <n v="26691.35"/>
    <s v="Tramadol"/>
    <n v="6"/>
    <n v="415"/>
    <n v="18.399999999999999"/>
    <s v="Normal"/>
    <x v="0"/>
  </r>
  <r>
    <x v="500"/>
    <s v="Sarah Yakubu"/>
    <n v="55"/>
    <x v="3"/>
    <x v="1"/>
    <s v="A-"/>
    <x v="5"/>
    <x v="2"/>
    <x v="439"/>
    <d v="2024-10-18T00:00:00"/>
    <n v="5"/>
    <s v="Aminu Kano Teaching Hospital"/>
    <x v="2"/>
    <s v="Dr. Emeka Okorie"/>
    <x v="1"/>
    <n v="118708.34"/>
    <s v="Amiodarone"/>
    <n v="9"/>
    <n v="301"/>
    <n v="32.9"/>
    <s v="Abnormal"/>
    <x v="0"/>
  </r>
  <r>
    <x v="501"/>
    <s v="Adenike Martin"/>
    <n v="58"/>
    <x v="3"/>
    <x v="1"/>
    <s v="A+"/>
    <x v="0"/>
    <x v="1"/>
    <x v="440"/>
    <d v="2020-01-14T00:00:00"/>
    <n v="9"/>
    <s v="Aminu Kano Teaching Hospital"/>
    <x v="2"/>
    <s v="Dr. Amara Osei"/>
    <x v="0"/>
    <n v="32987.74"/>
    <s v="Bevacizumab"/>
    <n v="12"/>
    <n v="154"/>
    <n v="31.7"/>
    <s v="Inconclusive"/>
    <x v="0"/>
  </r>
  <r>
    <x v="502"/>
    <s v="Suleiman Chukwu"/>
    <n v="71"/>
    <x v="4"/>
    <x v="0"/>
    <s v="AB+"/>
    <x v="1"/>
    <x v="1"/>
    <x v="441"/>
    <d v="2019-08-22T00:00:00"/>
    <n v="5"/>
    <s v="University College Hospital Ibadan"/>
    <x v="1"/>
    <s v="Dr. Taiwo Adeleke"/>
    <x v="0"/>
    <n v="25703.85"/>
    <s v="Dapagliflozin"/>
    <n v="8"/>
    <n v="162"/>
    <n v="30.4"/>
    <s v="Abnormal"/>
    <x v="0"/>
  </r>
  <r>
    <x v="503"/>
    <s v="Bukola Okeke"/>
    <n v="69"/>
    <x v="4"/>
    <x v="1"/>
    <s v="B-"/>
    <x v="0"/>
    <x v="2"/>
    <x v="442"/>
    <d v="2023-03-05T00:00:00"/>
    <n v="11"/>
    <s v="Federal Medical Centre Birnin Kebbi"/>
    <x v="2"/>
    <s v="Dr. Amara Osei"/>
    <x v="0"/>
    <n v="28195.7"/>
    <s v="Paclitaxel"/>
    <n v="11"/>
    <n v="445"/>
    <n v="25.9"/>
    <s v="Abnormal"/>
    <x v="0"/>
  </r>
  <r>
    <x v="504"/>
    <s v="Joseph Martin"/>
    <n v="49"/>
    <x v="5"/>
    <x v="0"/>
    <s v="O+"/>
    <x v="5"/>
    <x v="1"/>
    <x v="443"/>
    <d v="2020-03-06T00:00:00"/>
    <n v="6"/>
    <s v="Federal Medical Centre Owerri"/>
    <x v="3"/>
    <s v="Dr. Emeka Okorie"/>
    <x v="4"/>
    <n v="12019.81"/>
    <s v="Metoprolol"/>
    <n v="10"/>
    <n v="116"/>
    <n v="27.9"/>
    <s v="Abnormal"/>
    <x v="0"/>
  </r>
  <r>
    <x v="505"/>
    <s v="Aisha Hassan"/>
    <n v="55"/>
    <x v="3"/>
    <x v="1"/>
    <s v="B+"/>
    <x v="4"/>
    <x v="1"/>
    <x v="444"/>
    <d v="2023-10-09T00:00:00"/>
    <n v="2"/>
    <s v="Federal Medical Centre Asaba"/>
    <x v="0"/>
    <s v="Dr. Aisha Bello"/>
    <x v="2"/>
    <n v="13212.09"/>
    <s v="Loperamide"/>
    <n v="3"/>
    <n v="165"/>
    <n v="23.1"/>
    <s v="Abnormal"/>
    <x v="0"/>
  </r>
  <r>
    <x v="506"/>
    <s v="Josephine Adeleke"/>
    <n v="45"/>
    <x v="5"/>
    <x v="1"/>
    <s v="A-"/>
    <x v="7"/>
    <x v="1"/>
    <x v="445"/>
    <d v="2024-01-04T00:00:00"/>
    <n v="4"/>
    <s v="Federal Medical Centre Asaba"/>
    <x v="0"/>
    <s v="Dr. Chukwuemeka Nwosu"/>
    <x v="0"/>
    <n v="22043.41"/>
    <s v="Calcium"/>
    <n v="6"/>
    <n v="197"/>
    <n v="14.6"/>
    <s v="Normal"/>
    <x v="0"/>
  </r>
  <r>
    <x v="507"/>
    <s v="Bashir Anderson"/>
    <n v="40"/>
    <x v="5"/>
    <x v="0"/>
    <s v="B-"/>
    <x v="7"/>
    <x v="0"/>
    <x v="446"/>
    <d v="2019-09-12T00:00:00"/>
    <n v="6"/>
    <s v="National Hospital Abuja"/>
    <x v="4"/>
    <s v="Dr. Musa Aliyu"/>
    <x v="2"/>
    <n v="32781.71"/>
    <s v="Calcium"/>
    <n v="6"/>
    <n v="256"/>
    <n v="27"/>
    <s v="Normal"/>
    <x v="0"/>
  </r>
  <r>
    <x v="508"/>
    <s v="James Hassan"/>
    <n v="73"/>
    <x v="4"/>
    <x v="0"/>
    <s v=""/>
    <x v="2"/>
    <x v="0"/>
    <x v="447"/>
    <d v="2020-12-13T00:00:00"/>
    <n v="7"/>
    <s v="Federal Medical Centre Owerri"/>
    <x v="3"/>
    <s v="Dr. Rotimi Fashola"/>
    <x v="1"/>
    <n v="41117.03"/>
    <s v="Donepezil"/>
    <n v="8"/>
    <n v="396"/>
    <n v="21.3"/>
    <s v="Normal"/>
    <x v="0"/>
  </r>
  <r>
    <x v="509"/>
    <s v="Rebecca Lawan"/>
    <n v="52"/>
    <x v="5"/>
    <x v="1"/>
    <s v="A-"/>
    <x v="0"/>
    <x v="1"/>
    <x v="423"/>
    <d v="2023-10-23T00:00:00"/>
    <n v="13"/>
    <s v="University of Calabar Teaching Hospital"/>
    <x v="0"/>
    <s v="Dr. Grace Oduya"/>
    <x v="1"/>
    <n v="111631.32"/>
    <s v="Bevacizumab"/>
    <n v="12"/>
    <n v="169"/>
    <n v="21.1"/>
    <s v="Normal"/>
    <x v="0"/>
  </r>
  <r>
    <x v="510"/>
    <s v="Elizabeth Bankole"/>
    <n v="92"/>
    <x v="1"/>
    <x v="1"/>
    <s v="O+"/>
    <x v="6"/>
    <x v="3"/>
    <x v="238"/>
    <d v="2024-08-13T00:00:00"/>
    <n v="4"/>
    <s v="Ahmadu Bello University Teaching Hospital"/>
    <x v="2"/>
    <s v="Dr. Halima Usman"/>
    <x v="1"/>
    <n v="31230.93"/>
    <s v="Salbutamol"/>
    <n v="4"/>
    <n v="158"/>
    <m/>
    <s v="Normal"/>
    <x v="1"/>
  </r>
  <r>
    <x v="511"/>
    <s v="Blessing Okafor"/>
    <n v="90"/>
    <x v="1"/>
    <x v="1"/>
    <s v="B+"/>
    <x v="0"/>
    <x v="0"/>
    <x v="116"/>
    <d v="2019-08-10T00:00:00"/>
    <n v="28"/>
    <s v="Federal Medical Centre Owerri"/>
    <x v="3"/>
    <s v="Dr. Babatunde Fashola"/>
    <x v="0"/>
    <n v="125795.27"/>
    <s v="Cyclophosphamide"/>
    <n v="12"/>
    <n v="401"/>
    <n v="24.1"/>
    <s v="Normal"/>
    <x v="0"/>
  </r>
  <r>
    <x v="512"/>
    <s v="James Usman"/>
    <n v="65"/>
    <x v="4"/>
    <x v="0"/>
    <s v="B-"/>
    <x v="5"/>
    <x v="1"/>
    <x v="448"/>
    <d v="2019-11-05T00:00:00"/>
    <n v="3"/>
    <s v="Federal Medical Centre Owerri"/>
    <x v="3"/>
    <s v="Dr. Adewale Ogundimu"/>
    <x v="3"/>
    <n v="64094"/>
    <s v="Amiodarone"/>
    <n v="10"/>
    <n v="169"/>
    <n v="33.1"/>
    <s v="Inconclusive"/>
    <x v="0"/>
  </r>
  <r>
    <x v="513"/>
    <s v="John Davis"/>
    <n v="54"/>
    <x v="5"/>
    <x v="0"/>
    <s v="A-"/>
    <x v="4"/>
    <x v="1"/>
    <x v="449"/>
    <d v="2022-04-22T00:00:00"/>
    <n v="2"/>
    <s v="University of Calabar Teaching Hospital"/>
    <x v="0"/>
    <s v="Dr. Segun Banke"/>
    <x v="1"/>
    <n v="12573.01"/>
    <s v="Metronidazole"/>
    <n v="5"/>
    <n v="184"/>
    <n v="26"/>
    <s v="Normal"/>
    <x v="0"/>
  </r>
  <r>
    <x v="514"/>
    <s v="Samuel Ibrahim"/>
    <n v="71"/>
    <x v="4"/>
    <x v="0"/>
    <s v="AB-"/>
    <x v="5"/>
    <x v="0"/>
    <x v="450"/>
    <d v="2020-07-09T00:00:00"/>
    <n v="12"/>
    <s v="Federal Medical Centre Asaba"/>
    <x v="0"/>
    <s v="Dr. Adewale Ogundimu"/>
    <x v="0"/>
    <n v="82232.39"/>
    <s v="Amiodarone"/>
    <n v="10"/>
    <n v="346"/>
    <n v="29.2"/>
    <s v="Abnormal"/>
    <x v="0"/>
  </r>
  <r>
    <x v="515"/>
    <s v="Grace Dauda"/>
    <n v="56"/>
    <x v="3"/>
    <x v="1"/>
    <s v="A-"/>
    <x v="1"/>
    <x v="0"/>
    <x v="451"/>
    <d v="2023-07-19T00:00:00"/>
    <n v="11"/>
    <s v="Federal Medical Centre Birnin Kebbi"/>
    <x v="2"/>
    <s v="Dr. Taiwo Adeleke"/>
    <x v="0"/>
    <n v="18514.28"/>
    <s v="Sitagliptin"/>
    <n v="8"/>
    <n v="448"/>
    <n v="18.399999999999999"/>
    <s v="Normal"/>
    <x v="0"/>
  </r>
  <r>
    <x v="516"/>
    <s v="Chidi Obi"/>
    <n v="67"/>
    <x v="4"/>
    <x v="0"/>
    <s v="A+"/>
    <x v="6"/>
    <x v="2"/>
    <x v="12"/>
    <d v="2022-09-12T00:00:00"/>
    <n v="1"/>
    <s v="Bowen University Teaching Hospital"/>
    <x v="1"/>
    <s v="Dr. Ngozi Eze-Williams"/>
    <x v="4"/>
    <n v="27847.47"/>
    <s v="Prednisolone"/>
    <n v="7"/>
    <n v="433"/>
    <n v="36.5"/>
    <s v="Inconclusive"/>
    <x v="0"/>
  </r>
  <r>
    <x v="517"/>
    <s v="Michael Ibrahim"/>
    <n v="68"/>
    <x v="4"/>
    <x v="0"/>
    <s v="AB-"/>
    <x v="7"/>
    <x v="1"/>
    <x v="452"/>
    <d v="2024-05-27T00:00:00"/>
    <n v="1"/>
    <s v="University of Calabar Teaching Hospital"/>
    <x v="0"/>
    <s v="Dr. Chukwuemeka Nwosu"/>
    <x v="3"/>
    <n v="30452.54"/>
    <s v="Enoxaparin"/>
    <n v="6"/>
    <n v="106"/>
    <n v="25.8"/>
    <s v="Abnormal"/>
    <x v="1"/>
  </r>
  <r>
    <x v="518"/>
    <s v="Chukwuemeka Okafor"/>
    <n v="74"/>
    <x v="4"/>
    <x v="0"/>
    <s v="AB+"/>
    <x v="1"/>
    <x v="1"/>
    <x v="453"/>
    <d v="2024-08-31T00:00:00"/>
    <n v="4"/>
    <s v="Federal Medical Centre Owerri"/>
    <x v="3"/>
    <s v="Dr. Taiwo Adeleke"/>
    <x v="2"/>
    <n v="28640.21"/>
    <s v="Dapagliflozin"/>
    <n v="5"/>
    <n v="198"/>
    <n v="35.1"/>
    <s v="Abnormal"/>
    <x v="0"/>
  </r>
  <r>
    <x v="519"/>
    <s v="Ifeoma Bello"/>
    <n v="67"/>
    <x v="4"/>
    <x v="1"/>
    <s v="B-"/>
    <x v="0"/>
    <x v="2"/>
    <x v="454"/>
    <d v="2019-06-06T00:00:00"/>
    <n v="11"/>
    <s v="National Hospital Abuja"/>
    <x v="4"/>
    <s v="Dr. Amara Osei"/>
    <x v="0"/>
    <n v="48402.71"/>
    <s v="Trastuzumab"/>
    <n v="11"/>
    <n v="130"/>
    <n v="34.9"/>
    <s v="Abnormal"/>
    <x v="0"/>
  </r>
  <r>
    <x v="520"/>
    <s v="Kunle Thompson"/>
    <n v="58"/>
    <x v="3"/>
    <x v="0"/>
    <s v="A-"/>
    <x v="5"/>
    <x v="0"/>
    <x v="455"/>
    <d v="2022-08-06T00:00:00"/>
    <n v="11"/>
    <s v="Federal Medical Centre Owerri"/>
    <x v="3"/>
    <s v="Dr. Emeka Okorie"/>
    <x v="3"/>
    <n v="116469"/>
    <s v="Digoxin"/>
    <n v="10"/>
    <n v="372"/>
    <n v="25.5"/>
    <s v="Inconclusive"/>
    <x v="0"/>
  </r>
  <r>
    <x v="521"/>
    <s v="Daniel Wilson"/>
    <n v="60"/>
    <x v="3"/>
    <x v="0"/>
    <s v="B+"/>
    <x v="0"/>
    <x v="2"/>
    <x v="266"/>
    <d v="2020-02-22T00:00:00"/>
    <n v="9"/>
    <s v="Lagos University Teaching Hospital"/>
    <x v="1"/>
    <s v="Dr. Babatunde Fashola"/>
    <x v="1"/>
    <n v="93200.09"/>
    <s v="Bevacizumab"/>
    <n v="12"/>
    <n v="289"/>
    <n v="15.9"/>
    <s v="Normal"/>
    <x v="1"/>
  </r>
  <r>
    <x v="522"/>
    <s v="Halima Taylor"/>
    <n v="80"/>
    <x v="1"/>
    <x v="1"/>
    <s v=""/>
    <x v="6"/>
    <x v="2"/>
    <x v="456"/>
    <d v="2019-09-09T00:00:00"/>
    <n v="8"/>
    <s v="Aminu Kano Teaching Hospital"/>
    <x v="2"/>
    <s v="Dr. Halima Usman"/>
    <x v="2"/>
    <n v="42402.26"/>
    <s v="Theophylline"/>
    <n v="7"/>
    <n v="151"/>
    <m/>
    <s v="Normal"/>
    <x v="0"/>
  </r>
  <r>
    <x v="523"/>
    <s v="Josephine Moore"/>
    <n v="70"/>
    <x v="4"/>
    <x v="1"/>
    <s v="O-"/>
    <x v="1"/>
    <x v="0"/>
    <x v="457"/>
    <d v="2023-05-31T00:00:00"/>
    <n v="3"/>
    <s v="Ahmadu Bello University Teaching Hospital"/>
    <x v="2"/>
    <s v="Dr. Chioma Nwankwo"/>
    <x v="1"/>
    <n v="23898.959999999999"/>
    <s v="Sitagliptin"/>
    <n v="8"/>
    <n v="489"/>
    <n v="28.4"/>
    <s v="Abnormal"/>
    <x v="0"/>
  </r>
  <r>
    <x v="524"/>
    <s v="Miriam Davis"/>
    <n v="25"/>
    <x v="2"/>
    <x v="1"/>
    <s v="O+"/>
    <x v="0"/>
    <x v="2"/>
    <x v="458"/>
    <d v="2021-10-01T00:00:00"/>
    <n v="7"/>
    <s v="University College Hospital Ibadan"/>
    <x v="1"/>
    <s v="Dr. Babatunde Fashola"/>
    <x v="3"/>
    <n v="45780"/>
    <s v="Carboplatin"/>
    <n v="12"/>
    <n v="498"/>
    <m/>
    <s v="Abnormal"/>
    <x v="0"/>
  </r>
  <r>
    <x v="525"/>
    <s v="Tolulope Bello"/>
    <n v="68"/>
    <x v="4"/>
    <x v="1"/>
    <s v="A+"/>
    <x v="6"/>
    <x v="1"/>
    <x v="16"/>
    <m/>
    <m/>
    <s v="Bowen University Teaching Hospital"/>
    <x v="1"/>
    <s v="Dr. Ngozi Eze-Williams"/>
    <x v="2"/>
    <n v="16710.14"/>
    <s v="Azithromycin"/>
    <n v="7"/>
    <n v="173"/>
    <n v="31.6"/>
    <s v="Abnormal"/>
    <x v="0"/>
  </r>
  <r>
    <x v="526"/>
    <s v="Oluwaseun Johnson"/>
    <n v="56"/>
    <x v="3"/>
    <x v="0"/>
    <s v="O-"/>
    <x v="2"/>
    <x v="0"/>
    <x v="90"/>
    <d v="2023-01-09T00:00:00"/>
    <n v="9"/>
    <s v="Federal Medical Centre Asaba"/>
    <x v="0"/>
    <s v="Dr. Rotimi Fashola"/>
    <x v="2"/>
    <n v="60814"/>
    <s v="Levetiracetam"/>
    <n v="9"/>
    <n v="323"/>
    <n v="38.200000000000003"/>
    <s v="Abnormal"/>
    <x v="0"/>
  </r>
  <r>
    <x v="527"/>
    <s v="Ifeanyi Osagie"/>
    <n v="36"/>
    <x v="5"/>
    <x v="0"/>
    <s v="B-"/>
    <x v="1"/>
    <x v="0"/>
    <x v="459"/>
    <d v="2023-01-03T00:00:00"/>
    <n v="5"/>
    <s v="University College Hospital Ibadan"/>
    <x v="1"/>
    <s v="Dr. Ibrahim Musa"/>
    <x v="2"/>
    <n v="28533.69"/>
    <s v="Glibenclamide"/>
    <n v="8"/>
    <n v="150"/>
    <m/>
    <s v="Abnormal"/>
    <x v="0"/>
  </r>
  <r>
    <x v="528"/>
    <s v="Lydia Johnson"/>
    <n v="91"/>
    <x v="1"/>
    <x v="1"/>
    <s v="AB-"/>
    <x v="5"/>
    <x v="0"/>
    <x v="460"/>
    <d v="2024-08-30T00:00:00"/>
    <n v="8"/>
    <s v="Lagos University Teaching Hospital"/>
    <x v="1"/>
    <s v="Dr. Emeka Okorie"/>
    <x v="1"/>
    <n v="212070.74"/>
    <s v="Digoxin"/>
    <n v="10"/>
    <n v="389"/>
    <n v="24.4"/>
    <s v="Abnormal"/>
    <x v="0"/>
  </r>
  <r>
    <x v="529"/>
    <s v="Ruth Usman"/>
    <n v="91"/>
    <x v="1"/>
    <x v="1"/>
    <s v="AB+"/>
    <x v="6"/>
    <x v="2"/>
    <x v="461"/>
    <d v="2024-10-08T00:00:00"/>
    <n v="3"/>
    <s v="Federal Medical Centre Owerri"/>
    <x v="3"/>
    <s v="Dr. Halima Usman"/>
    <x v="0"/>
    <n v="17561"/>
    <s v="Prednisolone"/>
    <n v="7"/>
    <n v="435"/>
    <n v="20.2"/>
    <s v="Normal"/>
    <x v="1"/>
  </r>
  <r>
    <x v="530"/>
    <s v="Josephine Johnson"/>
    <n v="48"/>
    <x v="5"/>
    <x v="1"/>
    <s v="B+"/>
    <x v="1"/>
    <x v="2"/>
    <x v="462"/>
    <d v="2019-02-26T00:00:00"/>
    <n v="3"/>
    <s v="Ahmadu Bello University Teaching Hospital"/>
    <x v="2"/>
    <s v="Dr. Taiwo Adeleke"/>
    <x v="1"/>
    <n v="11251.13"/>
    <s v="Glibenclamide"/>
    <n v="8"/>
    <n v="271"/>
    <n v="28.3"/>
    <s v="Normal"/>
    <x v="0"/>
  </r>
  <r>
    <x v="531"/>
    <s v="Kunle Hassan"/>
    <n v="76"/>
    <x v="1"/>
    <x v="0"/>
    <s v="A-"/>
    <x v="5"/>
    <x v="1"/>
    <x v="463"/>
    <d v="2024-10-07T00:00:00"/>
    <n v="6"/>
    <s v="Bowen University Teaching Hospital"/>
    <x v="1"/>
    <s v="Dr. Emeka Okorie"/>
    <x v="4"/>
    <n v="153743.95000000001"/>
    <s v="Warfarin"/>
    <n v="10"/>
    <n v="172"/>
    <n v="29.4"/>
    <s v="Inconclusive"/>
    <x v="0"/>
  </r>
  <r>
    <x v="532"/>
    <s v="Chukwudi Osagie"/>
    <n v="3"/>
    <x v="0"/>
    <x v="0"/>
    <s v="AB+"/>
    <x v="1"/>
    <x v="2"/>
    <x v="464"/>
    <d v="2023-04-23T00:00:00"/>
    <n v="4"/>
    <s v="Federal Medical Centre Asaba"/>
    <x v="0"/>
    <s v="Dr. Ibrahim Musa"/>
    <x v="4"/>
    <n v="7423.36"/>
    <s v="Sitagliptin"/>
    <n v="8"/>
    <n v="467"/>
    <n v="38"/>
    <s v="Abnormal"/>
    <x v="1"/>
  </r>
  <r>
    <x v="533"/>
    <s v="Kayode Ogbonna"/>
    <n v="62"/>
    <x v="3"/>
    <x v="0"/>
    <s v="A-"/>
    <x v="0"/>
    <x v="1"/>
    <x v="115"/>
    <d v="2023-08-24T00:00:00"/>
    <n v="13"/>
    <s v="National Hospital Abuja"/>
    <x v="4"/>
    <s v="Dr. Babatunde Fashola"/>
    <x v="0"/>
    <n v="24109.9"/>
    <s v="Trastuzumab"/>
    <n v="12"/>
    <n v="130"/>
    <n v="22.2"/>
    <s v="Abnormal"/>
    <x v="0"/>
  </r>
  <r>
    <x v="534"/>
    <s v="Rotimi Williams"/>
    <n v="71"/>
    <x v="4"/>
    <x v="0"/>
    <s v=""/>
    <x v="0"/>
    <x v="2"/>
    <x v="465"/>
    <d v="2022-03-07T00:00:00"/>
    <n v="8"/>
    <s v="Ahmadu Bello University Teaching Hospital"/>
    <x v="2"/>
    <s v="Dr. Babatunde Fashola"/>
    <x v="2"/>
    <n v="63189.21"/>
    <s v="Trastuzumab"/>
    <n v="12"/>
    <n v="339"/>
    <n v="27.2"/>
    <s v="Abnormal"/>
    <x v="1"/>
  </r>
  <r>
    <x v="535"/>
    <s v="Abdullahi Wilson"/>
    <n v="62"/>
    <x v="3"/>
    <x v="0"/>
    <s v="A+"/>
    <x v="7"/>
    <x v="1"/>
    <x v="24"/>
    <d v="2024-04-20T00:00:00"/>
    <n v="2"/>
    <s v="Ahmadu Bello University Teaching Hospital"/>
    <x v="2"/>
    <s v="Dr. Sarah Adeyemi"/>
    <x v="4"/>
    <n v="14101.79"/>
    <s v="Tramadol"/>
    <n v="6"/>
    <n v="139"/>
    <n v="26"/>
    <s v="Normal"/>
    <x v="0"/>
  </r>
  <r>
    <x v="536"/>
    <s v="Adenike Bello"/>
    <n v="46"/>
    <x v="5"/>
    <x v="1"/>
    <s v="O+"/>
    <x v="6"/>
    <x v="0"/>
    <x v="466"/>
    <d v="2022-02-10T00:00:00"/>
    <n v="5"/>
    <s v="University College Hospital Ibadan"/>
    <x v="1"/>
    <s v="Dr. Halima Usman"/>
    <x v="0"/>
    <n v="7962.92"/>
    <s v="Theophylline"/>
    <n v="2"/>
    <n v="399"/>
    <n v="24.4"/>
    <s v="Inconclusive"/>
    <x v="0"/>
  </r>
  <r>
    <x v="537"/>
    <s v="Esther Akintola"/>
    <n v="68"/>
    <x v="4"/>
    <x v="1"/>
    <s v="B+"/>
    <x v="5"/>
    <x v="1"/>
    <x v="329"/>
    <d v="2024-12-20T00:00:00"/>
    <n v="6"/>
    <s v="Lagos University Teaching Hospital"/>
    <x v="1"/>
    <s v="Dr. Fatima Al-Hassan"/>
    <x v="0"/>
    <n v="44887.31"/>
    <s v="Aspirin"/>
    <n v="10"/>
    <n v="133"/>
    <n v="33.4"/>
    <s v="Normal"/>
    <x v="0"/>
  </r>
  <r>
    <x v="538"/>
    <s v="Taiwo Moore"/>
    <n v="41"/>
    <x v="5"/>
    <x v="1"/>
    <s v="AB-"/>
    <x v="1"/>
    <x v="1"/>
    <x v="467"/>
    <d v="2020-08-29T00:00:00"/>
    <n v="2"/>
    <s v="Lagos University Teaching Hospital"/>
    <x v="1"/>
    <s v="Dr. Taiwo Adeleke"/>
    <x v="1"/>
    <n v="12517"/>
    <s v="Insulin Glargine"/>
    <n v="8"/>
    <n v="168"/>
    <n v="38.6"/>
    <s v="Abnormal"/>
    <x v="1"/>
  </r>
  <r>
    <x v="539"/>
    <s v="Chidi Onuoha"/>
    <n v="65"/>
    <x v="4"/>
    <x v="0"/>
    <s v="AB-"/>
    <x v="0"/>
    <x v="1"/>
    <x v="468"/>
    <d v="2021-03-18T00:00:00"/>
    <n v="9"/>
    <s v="University College Hospital Ibadan"/>
    <x v="1"/>
    <s v="Dr. Grace Oduya"/>
    <x v="1"/>
    <n v="113510.58"/>
    <s v="Carboplatin"/>
    <n v="12"/>
    <n v="199"/>
    <n v="31.2"/>
    <s v="Abnormal"/>
    <x v="0"/>
  </r>
  <r>
    <x v="540"/>
    <s v="Perpetua Obi"/>
    <n v="72"/>
    <x v="4"/>
    <x v="1"/>
    <s v="AB-"/>
    <x v="0"/>
    <x v="1"/>
    <x v="469"/>
    <d v="2021-05-28T00:00:00"/>
    <n v="5"/>
    <s v="Federal Medical Centre Birnin Kebbi"/>
    <x v="2"/>
    <s v="Dr. Amara Osei"/>
    <x v="4"/>
    <n v="109706.59"/>
    <s v="Filgrastim"/>
    <n v="11"/>
    <n v="111"/>
    <n v="18.8"/>
    <s v="Abnormal"/>
    <x v="0"/>
  </r>
  <r>
    <x v="541"/>
    <s v="Segun Ogbonna"/>
    <n v="32"/>
    <x v="2"/>
    <x v="0"/>
    <s v="AB+"/>
    <x v="5"/>
    <x v="1"/>
    <x v="470"/>
    <d v="2019-10-07T00:00:00"/>
    <n v="6"/>
    <s v="National Hospital Abuja"/>
    <x v="4"/>
    <s v="Dr. Emeka Okorie"/>
    <x v="1"/>
    <n v="33198"/>
    <s v="Amiodarone"/>
    <n v="10"/>
    <n v="156"/>
    <n v="23.7"/>
    <s v="Inconclusive"/>
    <x v="0"/>
  </r>
  <r>
    <x v="542"/>
    <s v="Kayode Thompson"/>
    <n v="39"/>
    <x v="5"/>
    <x v="0"/>
    <s v="A+"/>
    <x v="3"/>
    <x v="2"/>
    <x v="210"/>
    <d v="2022-11-23T00:00:00"/>
    <n v="5"/>
    <s v="National Hospital Abuja"/>
    <x v="4"/>
    <s v="Dr. Kemi Adeyemi"/>
    <x v="1"/>
    <n v="15237.43"/>
    <s v="Amoxicillin"/>
    <n v="5"/>
    <n v="425"/>
    <n v="14"/>
    <s v="Normal"/>
    <x v="0"/>
  </r>
  <r>
    <x v="543"/>
    <s v="James Anderson"/>
    <n v="73"/>
    <x v="4"/>
    <x v="0"/>
    <s v="AB-"/>
    <x v="5"/>
    <x v="0"/>
    <x v="471"/>
    <d v="2022-06-24T00:00:00"/>
    <n v="22"/>
    <s v="Federal Medical Centre Owerri"/>
    <x v="3"/>
    <s v="Dr. Emeka Okorie"/>
    <x v="0"/>
    <n v="57963.040000000001"/>
    <s v="Amiodarone"/>
    <n v="10"/>
    <n v="360"/>
    <n v="33.700000000000003"/>
    <s v="Abnormal"/>
    <x v="0"/>
  </r>
  <r>
    <x v="544"/>
    <s v="David Adeleke"/>
    <n v="77"/>
    <x v="1"/>
    <x v="0"/>
    <s v="O-"/>
    <x v="2"/>
    <x v="0"/>
    <x v="472"/>
    <d v="2022-01-26T00:00:00"/>
    <n v="9"/>
    <s v="Federal Medical Centre Birnin Kebbi"/>
    <x v="2"/>
    <s v="Dr. Rotimi Fashola"/>
    <x v="1"/>
    <n v="58336"/>
    <s v="Aspirin"/>
    <n v="9"/>
    <n v="384"/>
    <m/>
    <s v="Abnormal"/>
    <x v="1"/>
  </r>
  <r>
    <x v="545"/>
    <s v="Adenike Abiodun"/>
    <n v="71"/>
    <x v="4"/>
    <x v="1"/>
    <s v="O-"/>
    <x v="0"/>
    <x v="1"/>
    <x v="473"/>
    <d v="2021-08-06T00:00:00"/>
    <n v="6"/>
    <s v="Aminu Kano Teaching Hospital"/>
    <x v="2"/>
    <s v="Dr. Babatunde Fashola"/>
    <x v="4"/>
    <n v="16714.05"/>
    <s v="Cyclophosphamide"/>
    <n v="12"/>
    <n v="181"/>
    <n v="27.2"/>
    <s v="Abnormal"/>
    <x v="1"/>
  </r>
  <r>
    <x v="546"/>
    <s v="Musa Wilson"/>
    <n v="69"/>
    <x v="4"/>
    <x v="0"/>
    <s v="A+"/>
    <x v="4"/>
    <x v="0"/>
    <x v="474"/>
    <m/>
    <m/>
    <s v="Bowen University Teaching Hospital"/>
    <x v="1"/>
    <s v="Dr. Segun Banke"/>
    <x v="0"/>
    <n v="14806.48"/>
    <s v="Ciprofloxacin"/>
    <n v="4"/>
    <n v="337"/>
    <n v="30.2"/>
    <s v="Normal"/>
    <x v="0"/>
  </r>
  <r>
    <x v="547"/>
    <s v="Emmanuel Brown"/>
    <n v="61"/>
    <x v="3"/>
    <x v="0"/>
    <s v="AB+"/>
    <x v="7"/>
    <x v="2"/>
    <x v="475"/>
    <d v="2023-05-04T00:00:00"/>
    <n v="5"/>
    <s v="Federal Medical Centre Owerri"/>
    <x v="3"/>
    <s v="Dr. Sarah Adeyemi"/>
    <x v="2"/>
    <n v="26207"/>
    <s v="Tramadol"/>
    <n v="5"/>
    <n v="195"/>
    <n v="32.4"/>
    <s v="Normal"/>
    <x v="1"/>
  </r>
  <r>
    <x v="548"/>
    <s v="Mariam Akintola"/>
    <n v="67"/>
    <x v="4"/>
    <x v="1"/>
    <s v="AB-"/>
    <x v="0"/>
    <x v="2"/>
    <x v="476"/>
    <d v="2021-01-13T00:00:00"/>
    <n v="9"/>
    <s v="Lagos University Teaching Hospital"/>
    <x v="1"/>
    <s v="Dr. Babatunde Fashola"/>
    <x v="1"/>
    <n v="77653"/>
    <s v="Methotrexate"/>
    <n v="12"/>
    <n v="311"/>
    <n v="17.899999999999999"/>
    <s v="Abnormal"/>
    <x v="0"/>
  </r>
  <r>
    <x v="549"/>
    <s v="Rukayat Thompson"/>
    <n v="84"/>
    <x v="1"/>
    <x v="1"/>
    <s v="B+"/>
    <x v="7"/>
    <x v="0"/>
    <x v="477"/>
    <d v="2021-10-03T00:00:00"/>
    <n v="5"/>
    <s v="National Hospital Abuja"/>
    <x v="4"/>
    <s v="Dr. Musa Aliyu"/>
    <x v="2"/>
    <n v="82128"/>
    <s v="Celecoxib"/>
    <n v="6"/>
    <n v="403"/>
    <n v="38"/>
    <s v="Abnormal"/>
    <x v="0"/>
  </r>
  <r>
    <x v="550"/>
    <s v="Lydia Brown"/>
    <n v="92"/>
    <x v="1"/>
    <x v="1"/>
    <s v="B+"/>
    <x v="1"/>
    <x v="3"/>
    <x v="478"/>
    <d v="2024-01-02T00:00:00"/>
    <n v="3"/>
    <s v="Federal Medical Centre Owerri"/>
    <x v="3"/>
    <s v="Dr. Ibrahim Musa"/>
    <x v="0"/>
    <n v="7003.53"/>
    <s v="Empagliflozin"/>
    <n v="8"/>
    <n v="119"/>
    <n v="25.2"/>
    <s v="Abnormal"/>
    <x v="0"/>
  </r>
  <r>
    <x v="551"/>
    <s v="Kunle Johnson"/>
    <n v="56"/>
    <x v="3"/>
    <x v="0"/>
    <s v="A+"/>
    <x v="1"/>
    <x v="1"/>
    <x v="268"/>
    <d v="2020-07-18T00:00:00"/>
    <n v="6"/>
    <s v="Lagos University Teaching Hospital"/>
    <x v="1"/>
    <s v="Dr. Taiwo Adeleke"/>
    <x v="0"/>
    <n v="10852.66"/>
    <s v="Linagliptin"/>
    <n v="8"/>
    <n v="110"/>
    <n v="24.9"/>
    <s v="Normal"/>
    <x v="0"/>
  </r>
  <r>
    <x v="552"/>
    <s v="Suleiman Yakubu"/>
    <n v="59"/>
    <x v="3"/>
    <x v="0"/>
    <s v="O+"/>
    <x v="6"/>
    <x v="1"/>
    <x v="479"/>
    <d v="2021-10-10T00:00:00"/>
    <n v="4"/>
    <s v="National Hospital Abuja"/>
    <x v="4"/>
    <s v="Dr. Ngozi Eze-Williams"/>
    <x v="0"/>
    <n v="12035.1"/>
    <s v="Azithromycin"/>
    <n v="6"/>
    <n v="186"/>
    <n v="32.4"/>
    <s v="Abnormal"/>
    <x v="0"/>
  </r>
  <r>
    <x v="553"/>
    <s v="Nneka Johnson"/>
    <n v="28"/>
    <x v="2"/>
    <x v="1"/>
    <s v="AB+"/>
    <x v="2"/>
    <x v="0"/>
    <x v="480"/>
    <d v="2020-01-11T00:00:00"/>
    <n v="8"/>
    <s v="Federal Medical Centre Asaba"/>
    <x v="0"/>
    <s v="Dr. Zainab Sule"/>
    <x v="1"/>
    <n v="31330.67"/>
    <s v="Donepezil"/>
    <n v="6"/>
    <n v="323"/>
    <n v="24.2"/>
    <s v="Inconclusive"/>
    <x v="0"/>
  </r>
  <r>
    <x v="554"/>
    <s v="Chidi Davis"/>
    <n v="41"/>
    <x v="5"/>
    <x v="0"/>
    <s v="AB-"/>
    <x v="4"/>
    <x v="1"/>
    <x v="481"/>
    <d v="2020-03-20T00:00:00"/>
    <n v="3"/>
    <s v="Lagos University Teaching Hospital"/>
    <x v="1"/>
    <s v="Dr. Aisha Bello"/>
    <x v="0"/>
    <n v="12414.46"/>
    <s v="Mesalazine"/>
    <n v="5"/>
    <n v="131"/>
    <n v="20.8"/>
    <s v="Normal"/>
    <x v="0"/>
  </r>
  <r>
    <x v="555"/>
    <s v="Chiamaka Dauda"/>
    <n v="23"/>
    <x v="2"/>
    <x v="1"/>
    <s v="AB+"/>
    <x v="6"/>
    <x v="3"/>
    <x v="423"/>
    <d v="2023-10-14T00:00:00"/>
    <n v="4"/>
    <s v="Lagos University Teaching Hospital"/>
    <x v="1"/>
    <s v="Dr. Ngozi Eze-Williams"/>
    <x v="0"/>
    <n v="10377.89"/>
    <s v="Azithromycin"/>
    <n v="7"/>
    <n v="336"/>
    <n v="23.6"/>
    <s v="Abnormal"/>
    <x v="0"/>
  </r>
  <r>
    <x v="556"/>
    <s v="Nnamdi Osagie"/>
    <n v="72"/>
    <x v="4"/>
    <x v="0"/>
    <s v="AB-"/>
    <x v="1"/>
    <x v="0"/>
    <x v="482"/>
    <d v="2023-04-05T00:00:00"/>
    <n v="2"/>
    <s v="Federal Medical Centre Birnin Kebbi"/>
    <x v="2"/>
    <s v="Dr. Chioma Nwankwo"/>
    <x v="3"/>
    <n v="59515.96"/>
    <s v="Insulin Glargine"/>
    <n v="7"/>
    <n v="244"/>
    <n v="46.9"/>
    <s v="Abnormal"/>
    <x v="1"/>
  </r>
  <r>
    <x v="557"/>
    <s v="Elizabeth Johnson"/>
    <n v="42"/>
    <x v="5"/>
    <x v="1"/>
    <s v="AB+"/>
    <x v="5"/>
    <x v="0"/>
    <x v="483"/>
    <d v="2020-05-21T00:00:00"/>
    <n v="18"/>
    <s v="National Hospital Abuja"/>
    <x v="4"/>
    <s v="Dr. Fatima Al-Hassan"/>
    <x v="2"/>
    <n v="87892.7"/>
    <s v="Lisinopril"/>
    <n v="10"/>
    <n v="376"/>
    <n v="35.1"/>
    <s v="Abnormal"/>
    <x v="1"/>
  </r>
  <r>
    <x v="558"/>
    <s v="Blessing Dauda"/>
    <n v="67"/>
    <x v="4"/>
    <x v="1"/>
    <s v="B-"/>
    <x v="0"/>
    <x v="1"/>
    <x v="87"/>
    <d v="2021-11-16T00:00:00"/>
    <n v="8"/>
    <s v="University College Hospital Ibadan"/>
    <x v="1"/>
    <s v="Dr. Grace Oduya"/>
    <x v="0"/>
    <n v="39832.39"/>
    <s v="Rituximab"/>
    <n v="12"/>
    <n v="194"/>
    <n v="16.5"/>
    <s v="Abnormal"/>
    <x v="0"/>
  </r>
  <r>
    <x v="559"/>
    <s v="Ngozi Bello"/>
    <n v="62"/>
    <x v="3"/>
    <x v="1"/>
    <s v="O+"/>
    <x v="3"/>
    <x v="3"/>
    <x v="254"/>
    <d v="2019-02-24T00:00:00"/>
    <n v="6"/>
    <s v="University of Calabar Teaching Hospital"/>
    <x v="0"/>
    <s v="Dr. Kemi Adeyemi"/>
    <x v="4"/>
    <n v="19744.439999999999"/>
    <s v="Morphine"/>
    <n v="6"/>
    <n v="181"/>
    <n v="34.799999999999997"/>
    <s v="Abnormal"/>
    <x v="0"/>
  </r>
  <r>
    <x v="560"/>
    <s v="Kayode Bankole"/>
    <n v="50"/>
    <x v="5"/>
    <x v="0"/>
    <s v="AB-"/>
    <x v="5"/>
    <x v="2"/>
    <x v="484"/>
    <d v="2019-12-15T00:00:00"/>
    <n v="6"/>
    <s v="Federal Medical Centre Birnin Kebbi"/>
    <x v="2"/>
    <s v="Dr. Fatima Al-Hassan"/>
    <x v="0"/>
    <n v="20382"/>
    <s v="Aspirin"/>
    <n v="10"/>
    <n v="305"/>
    <n v="31.3"/>
    <s v="Inconclusive"/>
    <x v="0"/>
  </r>
  <r>
    <x v="561"/>
    <s v="Tolulope Taylor"/>
    <n v="67"/>
    <x v="4"/>
    <x v="1"/>
    <s v="B-"/>
    <x v="2"/>
    <x v="0"/>
    <x v="485"/>
    <d v="2021-12-10T00:00:00"/>
    <n v="13"/>
    <s v="University College Hospital Ibadan"/>
    <x v="1"/>
    <s v="Dr. Olumide Abiodun"/>
    <x v="0"/>
    <n v="53864.82"/>
    <s v="Levetiracetam"/>
    <n v="9"/>
    <n v="308"/>
    <n v="32.200000000000003"/>
    <s v="Abnormal"/>
    <x v="0"/>
  </r>
  <r>
    <x v="562"/>
    <s v="Uche Lawan"/>
    <n v="77"/>
    <x v="1"/>
    <x v="0"/>
    <s v="O-"/>
    <x v="5"/>
    <x v="2"/>
    <x v="70"/>
    <d v="2024-12-08T00:00:00"/>
    <n v="5"/>
    <s v="National Hospital Abuja"/>
    <x v="4"/>
    <s v="Dr. Emeka Okorie"/>
    <x v="1"/>
    <n v="62400.800000000003"/>
    <s v="Metoprolol"/>
    <n v="10"/>
    <n v="260"/>
    <n v="23.2"/>
    <s v="Abnormal"/>
    <x v="0"/>
  </r>
  <r>
    <x v="563"/>
    <s v="Blessing Smith"/>
    <n v="61"/>
    <x v="3"/>
    <x v="1"/>
    <s v="AB+"/>
    <x v="0"/>
    <x v="0"/>
    <x v="486"/>
    <d v="2020-08-24T00:00:00"/>
    <n v="24"/>
    <s v="University College Hospital Ibadan"/>
    <x v="1"/>
    <s v="Dr. Grace Oduya"/>
    <x v="0"/>
    <n v="56541.37"/>
    <s v="Letrozole"/>
    <n v="12"/>
    <n v="390"/>
    <n v="24.7"/>
    <s v="Abnormal"/>
    <x v="0"/>
  </r>
  <r>
    <x v="564"/>
    <s v="Sarah Brown"/>
    <n v="67"/>
    <x v="4"/>
    <x v="1"/>
    <s v="AB-"/>
    <x v="1"/>
    <x v="0"/>
    <x v="487"/>
    <d v="2020-10-27T00:00:00"/>
    <n v="7"/>
    <s v="Federal Medical Centre Birnin Kebbi"/>
    <x v="2"/>
    <s v="Dr. Taiwo Adeleke"/>
    <x v="0"/>
    <n v="25592.3"/>
    <s v="Glibenclamide"/>
    <n v="8"/>
    <n v="196"/>
    <n v="27.9"/>
    <s v="Normal"/>
    <x v="1"/>
  </r>
  <r>
    <x v="565"/>
    <s v="Funke Williams"/>
    <n v="42"/>
    <x v="5"/>
    <x v="1"/>
    <s v="B-"/>
    <x v="6"/>
    <x v="0"/>
    <x v="488"/>
    <d v="2020-09-12T00:00:00"/>
    <n v="8"/>
    <s v="Bowen University Teaching Hospital"/>
    <x v="1"/>
    <s v="Dr. Ngozi Eze-Williams"/>
    <x v="1"/>
    <n v="19561.25"/>
    <s v="Tiotropium"/>
    <n v="7"/>
    <n v="378"/>
    <n v="33.700000000000003"/>
    <s v="Inconclusive"/>
    <x v="0"/>
  </r>
  <r>
    <x v="566"/>
    <s v="Halima Lawan"/>
    <n v="88"/>
    <x v="1"/>
    <x v="1"/>
    <s v="B-"/>
    <x v="5"/>
    <x v="2"/>
    <x v="489"/>
    <d v="2023-07-13T00:00:00"/>
    <n v="6"/>
    <s v="National Hospital Abuja"/>
    <x v="4"/>
    <s v="Dr. Adewale Ogundimu"/>
    <x v="2"/>
    <n v="36966.620000000003"/>
    <s v="Warfarin"/>
    <n v="10"/>
    <n v="407"/>
    <n v="35.200000000000003"/>
    <s v="Inconclusive"/>
    <x v="0"/>
  </r>
  <r>
    <x v="567"/>
    <s v="Joseph Dauda"/>
    <n v="65"/>
    <x v="4"/>
    <x v="0"/>
    <s v="AB-"/>
    <x v="7"/>
    <x v="1"/>
    <x v="8"/>
    <d v="2020-11-19T00:00:00"/>
    <n v="4"/>
    <s v="Lagos University Teaching Hospital"/>
    <x v="1"/>
    <s v="Dr. Chukwuemeka Nwosu"/>
    <x v="4"/>
    <n v="13431.34"/>
    <s v="Celecoxib"/>
    <n v="3"/>
    <n v="174"/>
    <n v="28.8"/>
    <s v="Abnormal"/>
    <x v="0"/>
  </r>
  <r>
    <x v="568"/>
    <s v="Ngozi Thompson"/>
    <n v="67"/>
    <x v="4"/>
    <x v="1"/>
    <s v="O+"/>
    <x v="6"/>
    <x v="1"/>
    <x v="204"/>
    <d v="2024-12-30T00:00:00"/>
    <n v="4"/>
    <s v="University College Hospital Ibadan"/>
    <x v="1"/>
    <s v="Dr. Yusuf Danjuma"/>
    <x v="1"/>
    <n v="20262.11"/>
    <s v="Montelukast"/>
    <n v="5"/>
    <n v="197"/>
    <n v="25.1"/>
    <s v="Normal"/>
    <x v="0"/>
  </r>
  <r>
    <x v="569"/>
    <s v="Nneka Davis"/>
    <n v="10"/>
    <x v="0"/>
    <x v="1"/>
    <s v="B-"/>
    <x v="4"/>
    <x v="2"/>
    <x v="490"/>
    <d v="2023-06-14T00:00:00"/>
    <n v="2"/>
    <s v="Federal Medical Centre Birnin Kebbi"/>
    <x v="2"/>
    <s v="Dr. Segun Banke"/>
    <x v="3"/>
    <n v="13369.07"/>
    <s v="Loperamide"/>
    <n v="5"/>
    <n v="254"/>
    <n v="30.5"/>
    <s v="Inconclusive"/>
    <x v="0"/>
  </r>
  <r>
    <x v="570"/>
    <s v="Emeka Ogbonna"/>
    <n v="85"/>
    <x v="1"/>
    <x v="0"/>
    <s v="B+"/>
    <x v="1"/>
    <x v="1"/>
    <x v="491"/>
    <d v="2020-11-17T00:00:00"/>
    <n v="4"/>
    <s v="Federal Medical Centre Birnin Kebbi"/>
    <x v="2"/>
    <s v="Dr. Taiwo Adeleke"/>
    <x v="1"/>
    <n v="13708.37"/>
    <s v="Metformin"/>
    <n v="8"/>
    <n v="145"/>
    <n v="28.5"/>
    <s v="Abnormal"/>
    <x v="1"/>
  </r>
  <r>
    <x v="571"/>
    <s v="Fatima Salami"/>
    <n v="68"/>
    <x v="4"/>
    <x v="1"/>
    <s v="O+"/>
    <x v="4"/>
    <x v="2"/>
    <x v="492"/>
    <d v="2021-12-13T00:00:00"/>
    <n v="5"/>
    <s v="University of Calabar Teaching Hospital"/>
    <x v="0"/>
    <s v="Dr. Aisha Bello"/>
    <x v="1"/>
    <n v="16018.27"/>
    <s v="Omeprazole"/>
    <n v="5"/>
    <n v="152"/>
    <n v="14"/>
    <s v="Abnormal"/>
    <x v="1"/>
  </r>
  <r>
    <x v="572"/>
    <s v="Emeka Williams"/>
    <n v="13"/>
    <x v="0"/>
    <x v="0"/>
    <s v="A+"/>
    <x v="0"/>
    <x v="1"/>
    <x v="449"/>
    <d v="2022-01-05T00:00:00"/>
    <n v="11"/>
    <s v="Federal Medical Centre Birnin Kebbi"/>
    <x v="2"/>
    <s v="Dr. Babatunde Fashola"/>
    <x v="0"/>
    <n v="27537.96"/>
    <s v="Carboplatin"/>
    <n v="12"/>
    <n v="132"/>
    <n v="24.4"/>
    <s v="Abnormal"/>
    <x v="0"/>
  </r>
  <r>
    <x v="573"/>
    <s v="Adenike Adebayo"/>
    <n v="71"/>
    <x v="4"/>
    <x v="1"/>
    <s v="AB+"/>
    <x v="1"/>
    <x v="0"/>
    <x v="493"/>
    <d v="2022-08-29T00:00:00"/>
    <n v="11"/>
    <s v="Lagos University Teaching Hospital"/>
    <x v="1"/>
    <s v="Dr. Ibrahim Musa"/>
    <x v="4"/>
    <n v="24028.95"/>
    <s v="Glibenclamide"/>
    <n v="8"/>
    <n v="232"/>
    <n v="44.9"/>
    <s v="Abnormal"/>
    <x v="1"/>
  </r>
  <r>
    <x v="574"/>
    <s v="Kunle Smith"/>
    <n v="70"/>
    <x v="4"/>
    <x v="0"/>
    <s v="A-"/>
    <x v="0"/>
    <x v="1"/>
    <x v="494"/>
    <d v="2021-07-20T00:00:00"/>
    <n v="9"/>
    <s v="University College Hospital Ibadan"/>
    <x v="1"/>
    <s v="Dr. Babatunde Fashola"/>
    <x v="0"/>
    <n v="47816.7"/>
    <s v="Letrozole"/>
    <n v="12"/>
    <n v="199"/>
    <n v="16.7"/>
    <s v="Abnormal"/>
    <x v="0"/>
  </r>
  <r>
    <x v="575"/>
    <s v="Funke Davis"/>
    <n v="73"/>
    <x v="4"/>
    <x v="1"/>
    <s v="A+"/>
    <x v="5"/>
    <x v="0"/>
    <x v="495"/>
    <d v="2021-12-18T00:00:00"/>
    <n v="12"/>
    <s v="Bowen University Teaching Hospital"/>
    <x v="1"/>
    <s v="Dr. Fatima Al-Hassan"/>
    <x v="1"/>
    <n v="84047.05"/>
    <s v="Lisinopril"/>
    <n v="9"/>
    <n v="357"/>
    <n v="35.1"/>
    <s v="Abnormal"/>
    <x v="1"/>
  </r>
  <r>
    <x v="576"/>
    <s v="John Okonkwo"/>
    <n v="39"/>
    <x v="5"/>
    <x v="0"/>
    <s v="B+"/>
    <x v="6"/>
    <x v="1"/>
    <x v="496"/>
    <d v="2024-01-03T00:00:00"/>
    <n v="5"/>
    <s v="Aminu Kano Teaching Hospital"/>
    <x v="2"/>
    <s v="Dr. Yusuf Danjuma"/>
    <x v="0"/>
    <n v="12629.48"/>
    <s v="Salbutamol"/>
    <n v="6"/>
    <n v="165"/>
    <n v="29.7"/>
    <s v="Normal"/>
    <x v="0"/>
  </r>
  <r>
    <x v="577"/>
    <s v="Joseph Okeke"/>
    <n v="23"/>
    <x v="2"/>
    <x v="0"/>
    <s v="AB-"/>
    <x v="4"/>
    <x v="0"/>
    <x v="497"/>
    <d v="2021-01-15T00:00:00"/>
    <n v="2"/>
    <s v="University of Calabar Teaching Hospital"/>
    <x v="0"/>
    <s v="Dr. Aisha Bello"/>
    <x v="4"/>
    <n v="13438.54"/>
    <s v="Loperamide"/>
    <n v="5"/>
    <n v="196"/>
    <n v="35"/>
    <s v="Abnormal"/>
    <x v="0"/>
  </r>
  <r>
    <x v="578"/>
    <s v="Adenike Brown"/>
    <n v="61"/>
    <x v="3"/>
    <x v="1"/>
    <s v="A+"/>
    <x v="7"/>
    <x v="0"/>
    <x v="335"/>
    <d v="2021-11-28T00:00:00"/>
    <n v="10"/>
    <s v="Federal Medical Centre Owerri"/>
    <x v="3"/>
    <s v="Dr. Musa Aliyu"/>
    <x v="0"/>
    <n v="44817.87"/>
    <s v="Vitamin D"/>
    <n v="6"/>
    <n v="450"/>
    <n v="23.5"/>
    <s v="Abnormal"/>
    <x v="1"/>
  </r>
  <r>
    <x v="579"/>
    <s v="Uche Bankole"/>
    <n v="63"/>
    <x v="3"/>
    <x v="0"/>
    <s v="B+"/>
    <x v="0"/>
    <x v="2"/>
    <x v="498"/>
    <d v="2022-05-28T00:00:00"/>
    <n v="25"/>
    <s v="Federal Medical Centre Asaba"/>
    <x v="0"/>
    <s v="Dr. Grace Oduya"/>
    <x v="0"/>
    <n v="48070.83"/>
    <s v="Bevacizumab"/>
    <n v="10"/>
    <n v="156"/>
    <n v="29.2"/>
    <s v="Abnormal"/>
    <x v="0"/>
  </r>
  <r>
    <x v="580"/>
    <s v="Chioma Obi"/>
    <n v="73"/>
    <x v="4"/>
    <x v="1"/>
    <s v="O+"/>
    <x v="1"/>
    <x v="2"/>
    <x v="58"/>
    <d v="2019-12-06T00:00:00"/>
    <n v="4"/>
    <s v="University of Calabar Teaching Hospital"/>
    <x v="0"/>
    <s v="Dr. Ibrahim Musa"/>
    <x v="0"/>
    <n v="14096"/>
    <s v="Sitagliptin"/>
    <n v="6"/>
    <n v="142"/>
    <n v="16.600000000000001"/>
    <s v="Normal"/>
    <x v="1"/>
  </r>
  <r>
    <x v="581"/>
    <s v="Blessing Nwosu"/>
    <n v="61"/>
    <x v="3"/>
    <x v="1"/>
    <s v="AB-"/>
    <x v="1"/>
    <x v="1"/>
    <x v="499"/>
    <m/>
    <m/>
    <s v="Federal Medical Centre Birnin Kebbi"/>
    <x v="2"/>
    <s v="Dr. Chioma Nwankwo"/>
    <x v="3"/>
    <n v="42802.65"/>
    <s v="Glibenclamide"/>
    <n v="8"/>
    <n v="154"/>
    <n v="22.6"/>
    <s v="Inconclusive"/>
    <x v="0"/>
  </r>
  <r>
    <x v="582"/>
    <s v="Stella Lawan"/>
    <n v="66"/>
    <x v="4"/>
    <x v="1"/>
    <s v="AB-"/>
    <x v="5"/>
    <x v="1"/>
    <x v="500"/>
    <d v="2022-01-08T00:00:00"/>
    <n v="4"/>
    <s v="Lagos University Teaching Hospital"/>
    <x v="1"/>
    <s v="Dr. Fatima Al-Hassan"/>
    <x v="1"/>
    <n v="36984"/>
    <s v="Amlodipine"/>
    <n v="10"/>
    <n v="173"/>
    <n v="26.6"/>
    <s v="Abnormal"/>
    <x v="0"/>
  </r>
  <r>
    <x v="583"/>
    <s v="Suleiman Eze"/>
    <n v="78"/>
    <x v="1"/>
    <x v="0"/>
    <s v="A+"/>
    <x v="2"/>
    <x v="0"/>
    <x v="501"/>
    <d v="2022-11-18T00:00:00"/>
    <n v="12"/>
    <s v="Federal Medical Centre Owerri"/>
    <x v="3"/>
    <s v="Dr. Rotimi Fashola"/>
    <x v="0"/>
    <n v="43067.38"/>
    <s v="Gabapentin"/>
    <n v="7"/>
    <n v="342"/>
    <n v="32.6"/>
    <s v="Abnormal"/>
    <x v="1"/>
  </r>
  <r>
    <x v="584"/>
    <s v="Tolulope Hassan"/>
    <n v="60"/>
    <x v="3"/>
    <x v="1"/>
    <s v="A+"/>
    <x v="2"/>
    <x v="2"/>
    <x v="502"/>
    <d v="2021-09-14T00:00:00"/>
    <n v="7"/>
    <s v="National Hospital Abuja"/>
    <x v="4"/>
    <s v="Dr. Rotimi Fashola"/>
    <x v="1"/>
    <n v="39470.92"/>
    <s v="Levetiracetam"/>
    <n v="9"/>
    <n v="404"/>
    <n v="31.6"/>
    <s v="Normal"/>
    <x v="0"/>
  </r>
  <r>
    <x v="585"/>
    <s v="Musa Ogbonna"/>
    <n v="84"/>
    <x v="1"/>
    <x v="0"/>
    <s v="B-"/>
    <x v="5"/>
    <x v="0"/>
    <x v="503"/>
    <d v="2023-10-31T00:00:00"/>
    <n v="8"/>
    <s v="Federal Medical Centre Owerri"/>
    <x v="3"/>
    <s v="Fatima Al-Hassan"/>
    <x v="0"/>
    <n v="56388.28"/>
    <s v="Furosemide"/>
    <n v="10"/>
    <n v="362"/>
    <n v="26.8"/>
    <s v="Abnormal"/>
    <x v="1"/>
  </r>
  <r>
    <x v="586"/>
    <s v="Chiamaka Wilson"/>
    <n v="63"/>
    <x v="3"/>
    <x v="1"/>
    <s v="O-"/>
    <x v="1"/>
    <x v="1"/>
    <x v="504"/>
    <d v="2022-07-26T00:00:00"/>
    <n v="4"/>
    <s v="Federal Medical Centre Owerri"/>
    <x v="3"/>
    <s v="Dr. Taiwo Adeleke"/>
    <x v="4"/>
    <n v="20010.54"/>
    <s v="Metformin"/>
    <n v="8"/>
    <n v="196"/>
    <n v="18.3"/>
    <s v="Normal"/>
    <x v="0"/>
  </r>
  <r>
    <x v="587"/>
    <s v="Esther Obi"/>
    <n v="73"/>
    <x v="4"/>
    <x v="1"/>
    <s v="O+"/>
    <x v="2"/>
    <x v="0"/>
    <x v="444"/>
    <d v="2023-10-15T00:00:00"/>
    <n v="8"/>
    <s v="National Hospital Abuja"/>
    <x v="4"/>
    <s v="Dr. Zainab Sule"/>
    <x v="4"/>
    <n v="56625.86"/>
    <s v="Donepezil"/>
    <n v="7"/>
    <n v="357"/>
    <n v="23.9"/>
    <s v="Inconclusive"/>
    <x v="1"/>
  </r>
  <r>
    <x v="588"/>
    <s v="Perpetua Okeke"/>
    <n v="5"/>
    <x v="0"/>
    <x v="1"/>
    <s v="B-"/>
    <x v="5"/>
    <x v="0"/>
    <x v="505"/>
    <d v="2020-08-11T00:00:00"/>
    <n v="6"/>
    <s v="Federal Medical Centre Asaba"/>
    <x v="0"/>
    <s v="Dr. Emeka Okorie"/>
    <x v="3"/>
    <n v="48233.26"/>
    <s v="Metoprolol"/>
    <n v="10"/>
    <n v="330"/>
    <n v="26.4"/>
    <s v="Abnormal"/>
    <x v="0"/>
  </r>
  <r>
    <x v="589"/>
    <s v="Nneka Danjuma"/>
    <n v="66"/>
    <x v="4"/>
    <x v="1"/>
    <s v="B-"/>
    <x v="1"/>
    <x v="2"/>
    <x v="506"/>
    <d v="2024-04-29T00:00:00"/>
    <n v="1"/>
    <s v="University of Calabar Teaching Hospital"/>
    <x v="0"/>
    <s v="Dr. Ibrahim Musa"/>
    <x v="3"/>
    <n v="43627.18"/>
    <s v="Sitagliptin"/>
    <n v="4"/>
    <n v="155"/>
    <m/>
    <s v="Normal"/>
    <x v="1"/>
  </r>
  <r>
    <x v="590"/>
    <s v="Hauwa Eze"/>
    <n v="56"/>
    <x v="3"/>
    <x v="1"/>
    <s v="A-"/>
    <x v="6"/>
    <x v="1"/>
    <x v="355"/>
    <d v="2019-07-10T00:00:00"/>
    <n v="5"/>
    <s v="University College Hospital Ibadan"/>
    <x v="1"/>
    <s v="Dr. Yusuf Danjuma"/>
    <x v="1"/>
    <n v="11660.6"/>
    <s v="Montelukast"/>
    <n v="7"/>
    <n v="142"/>
    <m/>
    <s v="Normal"/>
    <x v="1"/>
  </r>
  <r>
    <x v="591"/>
    <s v="Oluwaseun Moore"/>
    <n v="49"/>
    <x v="5"/>
    <x v="0"/>
    <s v="A-"/>
    <x v="2"/>
    <x v="2"/>
    <x v="49"/>
    <d v="2019-06-30T00:00:00"/>
    <n v="12"/>
    <s v="University College Hospital Ibadan"/>
    <x v="1"/>
    <s v="Dr. Rotimi Fashola"/>
    <x v="0"/>
    <n v="25996"/>
    <s v="Memantine"/>
    <n v="9"/>
    <n v="135"/>
    <n v="22.5"/>
    <s v="Normal"/>
    <x v="0"/>
  </r>
  <r>
    <x v="592"/>
    <s v="Rukayat Okonkwo"/>
    <n v="22"/>
    <x v="2"/>
    <x v="1"/>
    <s v="AB-"/>
    <x v="6"/>
    <x v="1"/>
    <x v="507"/>
    <d v="2020-11-16T00:00:00"/>
    <n v="9"/>
    <s v="University College Hospital Ibadan"/>
    <x v="1"/>
    <s v="Dr. Yusuf Danjuma"/>
    <x v="0"/>
    <n v="5289.63"/>
    <s v="Ipratropium"/>
    <n v="7"/>
    <n v="116"/>
    <n v="25.3"/>
    <s v="Normal"/>
    <x v="0"/>
  </r>
  <r>
    <x v="593"/>
    <s v="Grace Adeleke"/>
    <n v="65"/>
    <x v="4"/>
    <x v="1"/>
    <s v="O+"/>
    <x v="2"/>
    <x v="0"/>
    <x v="508"/>
    <d v="2020-06-27T00:00:00"/>
    <n v="5"/>
    <s v="Bowen University Teaching Hospital"/>
    <x v="1"/>
    <s v="Dr. Rotimi Fashola"/>
    <x v="1"/>
    <n v="166331.39000000001"/>
    <s v="Valproate"/>
    <n v="9"/>
    <n v="354"/>
    <n v="31.7"/>
    <s v="Inconclusive"/>
    <x v="0"/>
  </r>
  <r>
    <x v="594"/>
    <s v="Adaeze Lawan"/>
    <n v="47"/>
    <x v="5"/>
    <x v="1"/>
    <s v="B-"/>
    <x v="1"/>
    <x v="1"/>
    <x v="509"/>
    <d v="2020-01-01T00:00:00"/>
    <n v="3"/>
    <s v="Federal Medical Centre Owerri"/>
    <x v="3"/>
    <s v="Dr. Taiwo Adeleke"/>
    <x v="4"/>
    <n v="6181.87"/>
    <s v="Empagliflozin"/>
    <n v="7"/>
    <n v="165"/>
    <n v="22.3"/>
    <s v="Abnormal"/>
    <x v="0"/>
  </r>
  <r>
    <x v="595"/>
    <s v="Sarah Abubakar"/>
    <n v="53"/>
    <x v="5"/>
    <x v="1"/>
    <s v="AB+"/>
    <x v="1"/>
    <x v="0"/>
    <x v="510"/>
    <d v="2020-11-15T00:00:00"/>
    <n v="3"/>
    <s v="University College Hospital Ibadan"/>
    <x v="1"/>
    <s v="Dr. Taiwo Adeleke"/>
    <x v="0"/>
    <n v="17551.419999999998"/>
    <s v="Metformin"/>
    <n v="8"/>
    <n v="332"/>
    <n v="31"/>
    <s v="Abnormal"/>
    <x v="0"/>
  </r>
  <r>
    <x v="596"/>
    <s v="Blessing Sule"/>
    <n v="74"/>
    <x v="4"/>
    <x v="1"/>
    <s v="AB+"/>
    <x v="1"/>
    <x v="2"/>
    <x v="374"/>
    <d v="2023-04-30T00:00:00"/>
    <n v="6"/>
    <s v="Lagos University Teaching Hospital"/>
    <x v="1"/>
    <s v="Dr. Ibrahim Musa"/>
    <x v="0"/>
    <n v="12574.59"/>
    <s v="Liraglutide"/>
    <n v="8"/>
    <n v="380"/>
    <n v="24"/>
    <s v="Normal"/>
    <x v="0"/>
  </r>
  <r>
    <x v="597"/>
    <s v="Funke Garba"/>
    <n v="10"/>
    <x v="0"/>
    <x v="1"/>
    <s v="A+"/>
    <x v="5"/>
    <x v="0"/>
    <x v="511"/>
    <d v="2024-11-27T00:00:00"/>
    <n v="14"/>
    <s v="National Hospital Abuja"/>
    <x v="4"/>
    <s v="Dr. Adewale Ogundimu"/>
    <x v="1"/>
    <n v="57949.16"/>
    <s v="Furosemide"/>
    <n v="7"/>
    <n v="330"/>
    <n v="30.7"/>
    <s v="Abnormal"/>
    <x v="1"/>
  </r>
  <r>
    <x v="598"/>
    <s v="Abdullahi Yakubu"/>
    <n v="74"/>
    <x v="4"/>
    <x v="0"/>
    <s v="A-"/>
    <x v="6"/>
    <x v="1"/>
    <x v="512"/>
    <d v="2024-12-07T00:00:00"/>
    <n v="6"/>
    <s v="University College Hospital Ibadan"/>
    <x v="1"/>
    <s v="Dr. Ngozi Eze-Williams"/>
    <x v="1"/>
    <n v="23787.71"/>
    <s v="Salbutamol"/>
    <n v="7"/>
    <n v="141"/>
    <n v="31.9"/>
    <s v="Abnormal"/>
    <x v="0"/>
  </r>
  <r>
    <x v="599"/>
    <s v="Kunle Igwe"/>
    <n v="88"/>
    <x v="1"/>
    <x v="0"/>
    <s v="A+"/>
    <x v="6"/>
    <x v="1"/>
    <x v="513"/>
    <d v="2020-07-31T00:00:00"/>
    <n v="6"/>
    <s v="Lagos University Teaching Hospital"/>
    <x v="1"/>
    <s v="Dr. Yusuf Danjuma"/>
    <x v="0"/>
    <n v="28472.04"/>
    <s v="Theophylline"/>
    <n v="7"/>
    <n v="128"/>
    <n v="28.3"/>
    <s v="Inconclusive"/>
    <x v="0"/>
  </r>
  <r>
    <x v="600"/>
    <s v="Musa Adeyemi"/>
    <n v="73"/>
    <x v="4"/>
    <x v="0"/>
    <s v="O+"/>
    <x v="5"/>
    <x v="0"/>
    <x v="61"/>
    <d v="2023-10-29T00:00:00"/>
    <n v="13"/>
    <s v="University College Hospital Ibadan"/>
    <x v="1"/>
    <s v="Dr. Adewale Ogundimu"/>
    <x v="0"/>
    <n v="72925.570000000007"/>
    <s v="Atorvastatin"/>
    <n v="9"/>
    <n v="311"/>
    <n v="26.1"/>
    <s v="Inconclusive"/>
    <x v="0"/>
  </r>
  <r>
    <x v="601"/>
    <s v="Rukayat Dauda"/>
    <n v="68"/>
    <x v="4"/>
    <x v="1"/>
    <s v="O+"/>
    <x v="7"/>
    <x v="1"/>
    <x v="514"/>
    <d v="2024-07-07T00:00:00"/>
    <n v="3"/>
    <s v="Federal Medical Centre Owerri"/>
    <x v="3"/>
    <s v="Dr. Sarah Adeyemi"/>
    <x v="0"/>
    <n v="42114.36"/>
    <s v="Ibuprofen"/>
    <n v="6"/>
    <n v="151"/>
    <n v="32.299999999999997"/>
    <s v="Normal"/>
    <x v="0"/>
  </r>
  <r>
    <x v="602"/>
    <s v="Sarah Oni"/>
    <n v="89"/>
    <x v="1"/>
    <x v="1"/>
    <s v="A+"/>
    <x v="5"/>
    <x v="0"/>
    <x v="515"/>
    <d v="2023-10-15T00:00:00"/>
    <n v="13"/>
    <s v="Federal Medical Centre Owerri"/>
    <x v="3"/>
    <s v="Dr. Emeka Okorie"/>
    <x v="2"/>
    <n v="112115.9"/>
    <s v="Furosemide"/>
    <n v="10"/>
    <n v="396"/>
    <n v="28"/>
    <s v="Inconclusive"/>
    <x v="1"/>
  </r>
  <r>
    <x v="603"/>
    <s v="Perpetua Bankole"/>
    <n v="71"/>
    <x v="4"/>
    <x v="1"/>
    <s v="AB+"/>
    <x v="5"/>
    <x v="1"/>
    <x v="139"/>
    <d v="2024-12-06T00:00:00"/>
    <n v="9"/>
    <s v="Federal Medical Centre Birnin Kebbi"/>
    <x v="2"/>
    <s v="Dr. Fatima Al-Hassan"/>
    <x v="2"/>
    <n v="56574.9"/>
    <s v="Amiodarone"/>
    <n v="10"/>
    <n v="192"/>
    <n v="42.1"/>
    <s v="Abnormal"/>
    <x v="1"/>
  </r>
  <r>
    <x v="604"/>
    <s v="Babatunde Igwe"/>
    <n v="14"/>
    <x v="0"/>
    <x v="0"/>
    <s v="B+"/>
    <x v="1"/>
    <x v="0"/>
    <x v="516"/>
    <d v="2023-03-03T00:00:00"/>
    <n v="3"/>
    <s v="National Hospital Abuja"/>
    <x v="4"/>
    <s v="Dr. Chioma Nwankwo"/>
    <x v="3"/>
    <n v="29866.93"/>
    <s v="Sitagliptin"/>
    <n v="8"/>
    <n v="428"/>
    <n v="20.2"/>
    <s v="Normal"/>
    <x v="0"/>
  </r>
  <r>
    <x v="605"/>
    <s v="Emmanuel Williams"/>
    <n v="24"/>
    <x v="2"/>
    <x v="0"/>
    <s v="A+"/>
    <x v="5"/>
    <x v="0"/>
    <x v="517"/>
    <d v="2019-05-27T00:00:00"/>
    <n v="14"/>
    <s v="Federal Medical Centre Birnin Kebbi"/>
    <x v="2"/>
    <s v="Dr. Adewale Ogundimu"/>
    <x v="1"/>
    <n v="53476"/>
    <s v="Spironolactone"/>
    <n v="9"/>
    <n v="396"/>
    <n v="21.2"/>
    <s v="Inconclusive"/>
    <x v="0"/>
  </r>
  <r>
    <x v="606"/>
    <s v="Kemi Lawan"/>
    <n v="74"/>
    <x v="4"/>
    <x v="1"/>
    <s v="O-"/>
    <x v="3"/>
    <x v="1"/>
    <x v="518"/>
    <d v="2024-11-19T00:00:00"/>
    <n v="4"/>
    <s v="Federal Medical Centre Birnin Kebbi"/>
    <x v="2"/>
    <s v="Dr. Kemi Adeyemi"/>
    <x v="1"/>
    <n v="35116.61"/>
    <s v="Enoxaparin"/>
    <n v="6"/>
    <n v="160"/>
    <n v="29.5"/>
    <s v="Abnormal"/>
    <x v="0"/>
  </r>
  <r>
    <x v="607"/>
    <s v="Babatunde Williams"/>
    <n v="61"/>
    <x v="3"/>
    <x v="0"/>
    <s v="A-"/>
    <x v="7"/>
    <x v="2"/>
    <x v="519"/>
    <d v="2020-06-22T00:00:00"/>
    <n v="7"/>
    <s v="National Hospital Abuja"/>
    <x v="4"/>
    <s v="Dr. Musa Aliyu"/>
    <x v="1"/>
    <n v="25635"/>
    <s v="Tramadol"/>
    <n v="6"/>
    <n v="193"/>
    <n v="32.299999999999997"/>
    <s v="Abnormal"/>
    <x v="0"/>
  </r>
  <r>
    <x v="608"/>
    <s v="Peter Musa"/>
    <n v="60"/>
    <x v="3"/>
    <x v="0"/>
    <s v="A+"/>
    <x v="7"/>
    <x v="2"/>
    <x v="520"/>
    <d v="2020-07-09T00:00:00"/>
    <n v="3"/>
    <s v="Federal Medical Centre Owerri"/>
    <x v="3"/>
    <s v="Dr. Chukwuemeka Nwosu"/>
    <x v="1"/>
    <n v="40169.94"/>
    <s v="Vitamin D"/>
    <n v="6"/>
    <n v="449"/>
    <n v="30"/>
    <s v="Normal"/>
    <x v="0"/>
  </r>
  <r>
    <x v="609"/>
    <s v="Nneka Nwosu"/>
    <n v="70"/>
    <x v="4"/>
    <x v="1"/>
    <s v="B-"/>
    <x v="5"/>
    <x v="1"/>
    <x v="521"/>
    <d v="2019-01-25T00:00:00"/>
    <n v="6"/>
    <s v="National Hospital Abuja"/>
    <x v="4"/>
    <s v="Dr. Emeka Okorie"/>
    <x v="2"/>
    <n v="86005.77"/>
    <s v="Warfarin"/>
    <n v="10"/>
    <n v="137"/>
    <n v="24.9"/>
    <s v="Abnormal"/>
    <x v="0"/>
  </r>
  <r>
    <x v="610"/>
    <s v="Chioma Okafor"/>
    <n v="74"/>
    <x v="4"/>
    <x v="1"/>
    <s v="A-"/>
    <x v="4"/>
    <x v="2"/>
    <x v="522"/>
    <d v="2023-03-29T00:00:00"/>
    <n v="4"/>
    <s v="Ahmadu Bello University Teaching Hospital"/>
    <x v="2"/>
    <s v="Dr. Aisha Bello"/>
    <x v="0"/>
    <n v="9661.9"/>
    <s v="Loperamide"/>
    <n v="3"/>
    <n v="355"/>
    <n v="22.9"/>
    <s v="Inconclusive"/>
    <x v="0"/>
  </r>
  <r>
    <x v="611"/>
    <s v="Blessing Abubakar"/>
    <n v="71"/>
    <x v="4"/>
    <x v="1"/>
    <s v="O-"/>
    <x v="1"/>
    <x v="2"/>
    <x v="523"/>
    <d v="2020-04-05T00:00:00"/>
    <n v="5"/>
    <s v="University of Calabar Teaching Hospital"/>
    <x v="0"/>
    <s v="Dr. Chioma Nwankwo"/>
    <x v="0"/>
    <n v="14606.85"/>
    <s v="Dapagliflozin"/>
    <n v="7"/>
    <n v="296"/>
    <n v="34.9"/>
    <s v="Inconclusive"/>
    <x v="0"/>
  </r>
  <r>
    <x v="612"/>
    <s v="Mary Abiodun"/>
    <n v="86"/>
    <x v="1"/>
    <x v="1"/>
    <s v="B-"/>
    <x v="7"/>
    <x v="0"/>
    <x v="524"/>
    <d v="2021-04-16T00:00:00"/>
    <n v="3"/>
    <s v="Lagos University Teaching Hospital"/>
    <x v="1"/>
    <s v="Dr. Musa Aliyu"/>
    <x v="4"/>
    <n v="53434.45"/>
    <s v="Tramadol"/>
    <n v="6"/>
    <n v="326"/>
    <n v="28.1"/>
    <s v="Normal"/>
    <x v="0"/>
  </r>
  <r>
    <x v="613"/>
    <s v="Kayode Johnson"/>
    <n v="67"/>
    <x v="4"/>
    <x v="0"/>
    <s v="B-"/>
    <x v="2"/>
    <x v="1"/>
    <x v="467"/>
    <d v="2020-04-09T00:00:00"/>
    <n v="8"/>
    <s v="Federal Medical Centre Owerri"/>
    <x v="3"/>
    <s v="Dr. Olumide Abiodun"/>
    <x v="1"/>
    <n v="38293.9"/>
    <s v="Gabapentin"/>
    <n v="9"/>
    <n v="193"/>
    <n v="26.4"/>
    <s v="Normal"/>
    <x v="1"/>
  </r>
  <r>
    <x v="614"/>
    <s v="John Garba"/>
    <n v="57"/>
    <x v="3"/>
    <x v="0"/>
    <s v="B+"/>
    <x v="7"/>
    <x v="1"/>
    <x v="525"/>
    <d v="2019-09-05T00:00:00"/>
    <n v="5"/>
    <s v="Aminu Kano Teaching Hospital"/>
    <x v="2"/>
    <s v="Dr. Sarah Adeyemi"/>
    <x v="1"/>
    <n v="24449.99"/>
    <s v="Enoxaparin"/>
    <n v="3"/>
    <n v="153"/>
    <n v="26.9"/>
    <s v="Normal"/>
    <x v="0"/>
  </r>
  <r>
    <x v="615"/>
    <s v="Stella Okeke"/>
    <n v="59"/>
    <x v="3"/>
    <x v="1"/>
    <s v="O+"/>
    <x v="4"/>
    <x v="1"/>
    <x v="428"/>
    <d v="2024-03-15T00:00:00"/>
    <n v="3"/>
    <s v="Bowen University Teaching Hospital"/>
    <x v="1"/>
    <s v="Dr. Nnamdi Okafor"/>
    <x v="4"/>
    <n v="9147.2199999999993"/>
    <s v="Loperamide"/>
    <n v="5"/>
    <n v="158"/>
    <n v="27.5"/>
    <s v="Abnormal"/>
    <x v="0"/>
  </r>
  <r>
    <x v="616"/>
    <s v="Yusuf Abiodun"/>
    <n v="72"/>
    <x v="4"/>
    <x v="0"/>
    <s v="B+"/>
    <x v="5"/>
    <x v="0"/>
    <x v="526"/>
    <d v="2019-09-06T00:00:00"/>
    <n v="14"/>
    <s v="Aminu Kano Teaching Hospital"/>
    <x v="2"/>
    <s v="Dr. Adewale Ogundimu"/>
    <x v="4"/>
    <n v="105120.78"/>
    <s v="Metoprolol"/>
    <n v="9"/>
    <n v="372"/>
    <m/>
    <s v="Abnormal"/>
    <x v="0"/>
  </r>
  <r>
    <x v="617"/>
    <s v="Yusuf Eze"/>
    <n v="47"/>
    <x v="5"/>
    <x v="0"/>
    <s v="O-"/>
    <x v="4"/>
    <x v="2"/>
    <x v="527"/>
    <d v="2019-03-22T00:00:00"/>
    <n v="1"/>
    <s v="Lagos University Teaching Hospital"/>
    <x v="1"/>
    <s v="Dr. Aisha Bello"/>
    <x v="2"/>
    <n v="11450.09"/>
    <s v="Ciprofloxacin"/>
    <n v="5"/>
    <n v="327"/>
    <n v="23"/>
    <s v="Normal"/>
    <x v="0"/>
  </r>
  <r>
    <x v="618"/>
    <s v="Stella Sule"/>
    <n v="76"/>
    <x v="1"/>
    <x v="1"/>
    <s v="B+"/>
    <x v="1"/>
    <x v="3"/>
    <x v="528"/>
    <d v="2022-08-27T00:00:00"/>
    <n v="3"/>
    <s v="Bowen University Teaching Hospital"/>
    <x v="1"/>
    <s v="Dr. Chioma Nwankwo"/>
    <x v="1"/>
    <n v="15788.95"/>
    <s v="Empagliflozin"/>
    <n v="7"/>
    <n v="314"/>
    <n v="39.1"/>
    <s v="Abnormal"/>
    <x v="1"/>
  </r>
  <r>
    <x v="619"/>
    <s v="Biodun Brown"/>
    <n v="44"/>
    <x v="5"/>
    <x v="0"/>
    <s v="AB+"/>
    <x v="1"/>
    <x v="0"/>
    <x v="529"/>
    <d v="2019-01-08T00:00:00"/>
    <n v="5"/>
    <s v="Federal Medical Centre Birnin Kebbi"/>
    <x v="2"/>
    <s v="Dr. Ibrahim Musa"/>
    <x v="1"/>
    <n v="30011.63"/>
    <s v="Glibenclamide"/>
    <n v="8"/>
    <n v="417"/>
    <n v="23.8"/>
    <s v="Abnormal"/>
    <x v="1"/>
  </r>
  <r>
    <x v="620"/>
    <s v="Rotimi Chukwu"/>
    <n v="40"/>
    <x v="5"/>
    <x v="0"/>
    <s v="B-"/>
    <x v="5"/>
    <x v="0"/>
    <x v="530"/>
    <d v="2024-11-30T00:00:00"/>
    <n v="4"/>
    <s v="Lagos University Teaching Hospital"/>
    <x v="1"/>
    <s v="Dr. Adewale Ogundimu"/>
    <x v="3"/>
    <n v="180658"/>
    <s v="Amiodarone"/>
    <n v="10"/>
    <n v="320"/>
    <n v="32.6"/>
    <s v="Abnormal"/>
    <x v="0"/>
  </r>
  <r>
    <x v="621"/>
    <s v="Kunle Lawal"/>
    <n v="52"/>
    <x v="5"/>
    <x v="0"/>
    <s v="O-"/>
    <x v="0"/>
    <x v="2"/>
    <x v="247"/>
    <d v="2019-09-02T00:00:00"/>
    <n v="9"/>
    <s v="Federal Medical Centre Owerri"/>
    <x v="3"/>
    <s v="Dr. Grace Oduya"/>
    <x v="1"/>
    <n v="18177.21"/>
    <s v="Dexamethasone"/>
    <n v="12"/>
    <n v="290"/>
    <n v="24.3"/>
    <s v="Abnormal"/>
    <x v="0"/>
  </r>
  <r>
    <x v="622"/>
    <s v="Hauwa Hassan"/>
    <n v="69"/>
    <x v="4"/>
    <x v="1"/>
    <s v="A+"/>
    <x v="5"/>
    <x v="0"/>
    <x v="531"/>
    <d v="2020-02-23T00:00:00"/>
    <n v="9"/>
    <s v="National Hospital Abuja"/>
    <x v="4"/>
    <s v="Dr. Emeka Okorie"/>
    <x v="1"/>
    <n v="83120.240000000005"/>
    <s v="Amlodipine"/>
    <n v="10"/>
    <n v="398"/>
    <n v="20.100000000000001"/>
    <s v="Abnormal"/>
    <x v="0"/>
  </r>
  <r>
    <x v="623"/>
    <s v="Adewale Adeleke"/>
    <n v="83"/>
    <x v="1"/>
    <x v="0"/>
    <s v="O-"/>
    <x v="0"/>
    <x v="1"/>
    <x v="532"/>
    <d v="2022-09-29T00:00:00"/>
    <n v="8"/>
    <s v="University College Hospital Ibadan"/>
    <x v="1"/>
    <s v="Dr. Babatunde Fashola"/>
    <x v="1"/>
    <n v="97791.25"/>
    <s v="Carboplatin"/>
    <n v="12"/>
    <n v="116"/>
    <n v="24.6"/>
    <s v="Abnormal"/>
    <x v="0"/>
  </r>
  <r>
    <x v="624"/>
    <s v="Chiamaka Wilson"/>
    <n v="25"/>
    <x v="2"/>
    <x v="1"/>
    <s v="A+"/>
    <x v="5"/>
    <x v="0"/>
    <x v="533"/>
    <d v="2021-11-03T00:00:00"/>
    <n v="9"/>
    <s v="Bowen University Teaching Hospital"/>
    <x v="1"/>
    <s v="Dr. Emeka Okorie"/>
    <x v="1"/>
    <n v="41895.870000000003"/>
    <s v="Atorvastatin"/>
    <n v="10"/>
    <n v="385"/>
    <n v="28.3"/>
    <s v="Abnormal"/>
    <x v="0"/>
  </r>
  <r>
    <x v="625"/>
    <s v="Lydia Okeke"/>
    <n v="70"/>
    <x v="4"/>
    <x v="1"/>
    <s v="B+"/>
    <x v="1"/>
    <x v="1"/>
    <x v="534"/>
    <d v="2024-05-14T00:00:00"/>
    <n v="3"/>
    <s v="University of Calabar Teaching Hospital"/>
    <x v="0"/>
    <s v="Dr. Ibrahim Musa"/>
    <x v="0"/>
    <n v="8805.49"/>
    <s v="Linagliptin"/>
    <n v="8"/>
    <n v="123"/>
    <n v="34.9"/>
    <s v="Normal"/>
    <x v="1"/>
  </r>
  <r>
    <x v="626"/>
    <s v="Gbenga Hassan"/>
    <n v="71"/>
    <x v="4"/>
    <x v="0"/>
    <s v="B+"/>
    <x v="5"/>
    <x v="2"/>
    <x v="535"/>
    <d v="2020-01-21T00:00:00"/>
    <n v="14"/>
    <s v="Federal Medical Centre Asaba"/>
    <x v="0"/>
    <s v="Dr. Adewale Ogundimu"/>
    <x v="0"/>
    <n v="53309"/>
    <s v="Metoprolol"/>
    <n v="10"/>
    <n v="275"/>
    <n v="20.7"/>
    <s v="Abnormal"/>
    <x v="0"/>
  </r>
  <r>
    <x v="627"/>
    <s v="Fatima Adeyemi"/>
    <n v="50"/>
    <x v="5"/>
    <x v="1"/>
    <s v="A+"/>
    <x v="1"/>
    <x v="0"/>
    <x v="536"/>
    <d v="2021-06-22T00:00:00"/>
    <n v="4"/>
    <s v="Federal Medical Centre Birnin Kebbi"/>
    <x v="2"/>
    <s v="Dr. Ibrahim Musa"/>
    <x v="0"/>
    <n v="15855.58"/>
    <s v="Empagliflozin"/>
    <n v="8"/>
    <n v="336"/>
    <m/>
    <s v="Abnormal"/>
    <x v="1"/>
  </r>
  <r>
    <x v="628"/>
    <s v="Kemi Onuoha"/>
    <n v="88"/>
    <x v="1"/>
    <x v="1"/>
    <s v="AB+"/>
    <x v="1"/>
    <x v="1"/>
    <x v="537"/>
    <d v="2022-12-23T00:00:00"/>
    <n v="3"/>
    <s v="University College Hospital Ibadan"/>
    <x v="1"/>
    <s v="Dr. Ibrahim Musa"/>
    <x v="4"/>
    <n v="28134.18"/>
    <s v="Empagliflozin"/>
    <n v="8"/>
    <n v="155"/>
    <n v="31.2"/>
    <s v="Inconclusive"/>
    <x v="0"/>
  </r>
  <r>
    <x v="629"/>
    <s v="Rotimi Abiodun"/>
    <n v="44"/>
    <x v="5"/>
    <x v="0"/>
    <s v="A+"/>
    <x v="6"/>
    <x v="0"/>
    <x v="538"/>
    <d v="2019-05-14T00:00:00"/>
    <n v="4"/>
    <s v="Aminu Kano Teaching Hospital"/>
    <x v="2"/>
    <s v="Dr. Halima Usman"/>
    <x v="1"/>
    <n v="33606.94"/>
    <s v="Ipratropium"/>
    <n v="7"/>
    <n v="379"/>
    <n v="17.399999999999999"/>
    <s v="Abnormal"/>
    <x v="0"/>
  </r>
  <r>
    <x v="630"/>
    <s v="Emmanuel Bello"/>
    <n v="84"/>
    <x v="1"/>
    <x v="0"/>
    <s v="O+"/>
    <x v="5"/>
    <x v="0"/>
    <x v="539"/>
    <d v="2022-10-25T00:00:00"/>
    <n v="20"/>
    <s v="Federal Medical Centre Owerri"/>
    <x v="3"/>
    <s v="Dr. Emeka Okorie"/>
    <x v="0"/>
    <n v="77899.45"/>
    <s v="Atorvastatin"/>
    <n v="10"/>
    <n v="301"/>
    <n v="28.5"/>
    <s v="Abnormal"/>
    <x v="0"/>
  </r>
  <r>
    <x v="631"/>
    <s v="Abdullahi Usman"/>
    <n v="60"/>
    <x v="3"/>
    <x v="0"/>
    <s v="AB+"/>
    <x v="1"/>
    <x v="1"/>
    <x v="540"/>
    <d v="2019-05-19T00:00:00"/>
    <n v="5"/>
    <s v="Federal Medical Centre Owerri"/>
    <x v="3"/>
    <s v="Dr. Taiwo Adeleke"/>
    <x v="0"/>
    <n v="9995.69"/>
    <s v="Insulin Glargine"/>
    <n v="8"/>
    <n v="106"/>
    <n v="23.5"/>
    <s v="Abnormal"/>
    <x v="0"/>
  </r>
  <r>
    <x v="632"/>
    <s v="Chiamaka Osagie"/>
    <n v="70"/>
    <x v="4"/>
    <x v="1"/>
    <s v="AB+"/>
    <x v="1"/>
    <x v="0"/>
    <x v="541"/>
    <d v="2019-10-08T00:00:00"/>
    <n v="5"/>
    <s v="University College Hospital Ibadan"/>
    <x v="1"/>
    <s v="Dr. Chioma Nwankwo"/>
    <x v="1"/>
    <n v="50363.99"/>
    <s v="Glibenclamide"/>
    <n v="6"/>
    <n v="332"/>
    <m/>
    <s v="Abnormal"/>
    <x v="0"/>
  </r>
  <r>
    <x v="633"/>
    <s v="Mary Musa"/>
    <n v="48"/>
    <x v="5"/>
    <x v="1"/>
    <s v="O-"/>
    <x v="6"/>
    <x v="0"/>
    <x v="542"/>
    <d v="2024-09-25T00:00:00"/>
    <n v="9"/>
    <s v="Lagos University Teaching Hospital"/>
    <x v="1"/>
    <s v="Dr. Ngozi Eze-Williams"/>
    <x v="0"/>
    <n v="34402.46"/>
    <s v="Prednisolone"/>
    <n v="7"/>
    <n v="335"/>
    <n v="24.1"/>
    <s v="Abnormal"/>
    <x v="0"/>
  </r>
  <r>
    <x v="634"/>
    <s v="Peter Salami"/>
    <n v="71"/>
    <x v="4"/>
    <x v="0"/>
    <s v="B+"/>
    <x v="1"/>
    <x v="1"/>
    <x v="231"/>
    <d v="2021-04-20T00:00:00"/>
    <n v="3"/>
    <s v="Lagos University Teaching Hospital"/>
    <x v="1"/>
    <s v="Dr. Ibrahim Musa"/>
    <x v="4"/>
    <n v="13385.86"/>
    <s v="Linagliptin"/>
    <n v="5"/>
    <n v="188"/>
    <n v="38"/>
    <s v="Normal"/>
    <x v="0"/>
  </r>
  <r>
    <x v="635"/>
    <s v="Adenike Anderson"/>
    <n v="66"/>
    <x v="4"/>
    <x v="1"/>
    <s v="B+"/>
    <x v="1"/>
    <x v="2"/>
    <x v="543"/>
    <d v="2019-10-16T00:00:00"/>
    <n v="3"/>
    <s v="Lagos University Teaching Hospital"/>
    <x v="1"/>
    <s v="Dr. Chioma Nwankwo"/>
    <x v="4"/>
    <n v="36399.39"/>
    <s v="Glibenclamide"/>
    <n v="8"/>
    <n v="178"/>
    <n v="27.3"/>
    <s v="Normal"/>
    <x v="0"/>
  </r>
  <r>
    <x v="636"/>
    <s v="Chukwuemeka Oni"/>
    <n v="72"/>
    <x v="4"/>
    <x v="0"/>
    <s v="AB-"/>
    <x v="5"/>
    <x v="1"/>
    <x v="544"/>
    <d v="2024-10-30T00:00:00"/>
    <n v="7"/>
    <s v="Federal Medical Centre Owerri"/>
    <x v="3"/>
    <s v="Dr. Emeka Okorie"/>
    <x v="1"/>
    <n v="61120.11"/>
    <s v="Spironolactone"/>
    <n v="6"/>
    <n v="147"/>
    <n v="35.9"/>
    <s v="Abnormal"/>
    <x v="0"/>
  </r>
  <r>
    <x v="637"/>
    <s v="Aisha Taylor"/>
    <n v="51"/>
    <x v="5"/>
    <x v="1"/>
    <s v="A+"/>
    <x v="3"/>
    <x v="1"/>
    <x v="545"/>
    <d v="2019-08-11T00:00:00"/>
    <n v="3"/>
    <s v="Lagos University Teaching Hospital"/>
    <x v="1"/>
    <s v="Dr. Precious Obi"/>
    <x v="1"/>
    <n v="27146.25"/>
    <s v="Enoxaparin"/>
    <n v="4"/>
    <n v="132"/>
    <n v="32.5"/>
    <s v="Abnormal"/>
    <x v="0"/>
  </r>
  <r>
    <x v="638"/>
    <s v="Chukwuemeka Okeke"/>
    <n v="91"/>
    <x v="1"/>
    <x v="0"/>
    <s v="AB-"/>
    <x v="5"/>
    <x v="0"/>
    <x v="546"/>
    <d v="2019-11-19T00:00:00"/>
    <n v="12"/>
    <s v="Lagos University Teaching Hospital"/>
    <x v="1"/>
    <s v="Dr. Adewale Ogundimu"/>
    <x v="0"/>
    <n v="71552.259999999995"/>
    <s v="Metoprolol"/>
    <n v="10"/>
    <n v="359"/>
    <n v="34.299999999999997"/>
    <s v="Abnormal"/>
    <x v="1"/>
  </r>
  <r>
    <x v="639"/>
    <s v="Mariam Lawal"/>
    <n v="78"/>
    <x v="1"/>
    <x v="1"/>
    <s v="O+"/>
    <x v="5"/>
    <x v="0"/>
    <x v="547"/>
    <d v="2019-03-20T00:00:00"/>
    <n v="10"/>
    <s v="Aminu Kano Teaching Hospital"/>
    <x v="2"/>
    <s v="Dr. Adewale Ogundimu"/>
    <x v="4"/>
    <n v="97153.51"/>
    <s v="Furosemide"/>
    <n v="10"/>
    <n v="342"/>
    <n v="42.4"/>
    <s v="Abnormal"/>
    <x v="1"/>
  </r>
  <r>
    <x v="640"/>
    <s v="Tolulope Taylor"/>
    <n v="18"/>
    <x v="2"/>
    <x v="1"/>
    <s v="AB+"/>
    <x v="4"/>
    <x v="1"/>
    <x v="548"/>
    <d v="2023-08-02T00:00:00"/>
    <n v="4"/>
    <s v="University College Hospital Ibadan"/>
    <x v="1"/>
    <s v="Dr. Aisha Bello"/>
    <x v="0"/>
    <n v="6734.73"/>
    <s v="Omeprazole"/>
    <n v="5"/>
    <n v="117"/>
    <n v="25.8"/>
    <s v="Abnormal"/>
    <x v="0"/>
  </r>
  <r>
    <x v="641"/>
    <s v="Musa Martin"/>
    <n v="48"/>
    <x v="5"/>
    <x v="0"/>
    <s v="O+"/>
    <x v="6"/>
    <x v="0"/>
    <x v="390"/>
    <d v="2022-11-09T00:00:00"/>
    <n v="13"/>
    <s v="Aminu Kano Teaching Hospital"/>
    <x v="2"/>
    <s v="Dr. Yusuf Danjuma"/>
    <x v="2"/>
    <n v="30788.38"/>
    <s v="Prednisolone"/>
    <n v="1"/>
    <n v="316"/>
    <n v="19.5"/>
    <s v="Normal"/>
    <x v="0"/>
  </r>
  <r>
    <x v="642"/>
    <s v="Yusuf Obi"/>
    <n v="73"/>
    <x v="4"/>
    <x v="0"/>
    <s v="AB-"/>
    <x v="1"/>
    <x v="2"/>
    <x v="549"/>
    <d v="2020-12-17T00:00:00"/>
    <n v="3"/>
    <s v="Federal Medical Centre Owerri"/>
    <x v="3"/>
    <s v="Dr. Chioma Nwankwo"/>
    <x v="1"/>
    <n v="24463.96"/>
    <s v="Insulin Glargine"/>
    <n v="8"/>
    <n v="407"/>
    <n v="24.1"/>
    <s v="Inconclusive"/>
    <x v="0"/>
  </r>
  <r>
    <x v="643"/>
    <s v="Suleiman Williams"/>
    <n v="92"/>
    <x v="1"/>
    <x v="0"/>
    <s v="B-"/>
    <x v="0"/>
    <x v="1"/>
    <x v="550"/>
    <m/>
    <m/>
    <s v="Federal Medical Centre Asaba"/>
    <x v="0"/>
    <s v="Dr. Grace Oduya"/>
    <x v="1"/>
    <n v="52674.07"/>
    <s v="Filgrastim"/>
    <n v="8"/>
    <n v="124"/>
    <n v="21"/>
    <s v="Inconclusive"/>
    <x v="0"/>
  </r>
  <r>
    <x v="644"/>
    <s v="Yusuf Okonkwo"/>
    <n v="35"/>
    <x v="5"/>
    <x v="0"/>
    <s v="O-"/>
    <x v="5"/>
    <x v="1"/>
    <x v="547"/>
    <d v="2019-10-09T00:00:00"/>
    <n v="6"/>
    <s v="Aminu Kano Teaching Hospital"/>
    <x v="2"/>
    <s v="Dr. Fatima Al-Hassan"/>
    <x v="3"/>
    <n v="33716"/>
    <s v="Amlodipine"/>
    <n v="9"/>
    <n v="141"/>
    <n v="35.9"/>
    <s v="Normal"/>
    <x v="0"/>
  </r>
  <r>
    <x v="645"/>
    <s v="Chukwuemeka Salami"/>
    <n v="79"/>
    <x v="1"/>
    <x v="0"/>
    <s v="AB-"/>
    <x v="2"/>
    <x v="0"/>
    <x v="551"/>
    <d v="2021-08-30T00:00:00"/>
    <n v="22"/>
    <s v="University College Hospital Ibadan"/>
    <x v="1"/>
    <s v="Dr. Olumide Abiodun"/>
    <x v="0"/>
    <n v="76584"/>
    <s v="Valproate"/>
    <n v="9"/>
    <n v="300"/>
    <m/>
    <s v="Inconclusive"/>
    <x v="0"/>
  </r>
  <r>
    <x v="646"/>
    <s v="John Garba"/>
    <n v="61"/>
    <x v="3"/>
    <x v="0"/>
    <s v="O-"/>
    <x v="3"/>
    <x v="2"/>
    <x v="552"/>
    <d v="2022-04-10T00:00:00"/>
    <n v="6"/>
    <s v="Aminu Kano Teaching Hospital"/>
    <x v="2"/>
    <s v="Dr. Lanre Ogundele"/>
    <x v="0"/>
    <n v="16235.72"/>
    <s v="Morphine"/>
    <n v="6"/>
    <n v="131"/>
    <n v="23.2"/>
    <s v="Abnormal"/>
    <x v="1"/>
  </r>
  <r>
    <x v="647"/>
    <s v="Chioma Brown"/>
    <n v="79"/>
    <x v="1"/>
    <x v="1"/>
    <s v="A-"/>
    <x v="7"/>
    <x v="0"/>
    <x v="553"/>
    <d v="2021-01-26T00:00:00"/>
    <n v="3"/>
    <s v="Aminu Kano Teaching Hospital"/>
    <x v="2"/>
    <s v="Dr. Musa Aliyu"/>
    <x v="0"/>
    <n v="65037.57"/>
    <s v="Calcium"/>
    <n v="6"/>
    <n v="454"/>
    <n v="28.2"/>
    <s v="Normal"/>
    <x v="1"/>
  </r>
  <r>
    <x v="648"/>
    <s v="Perpetua Nwosu"/>
    <n v="33"/>
    <x v="2"/>
    <x v="1"/>
    <s v="O+"/>
    <x v="7"/>
    <x v="1"/>
    <x v="282"/>
    <d v="2022-11-23T00:00:00"/>
    <n v="1"/>
    <s v="Ahmadu Bello University Teaching Hospital"/>
    <x v="2"/>
    <s v="Dr. Musa Aliyu"/>
    <x v="3"/>
    <n v="21646.560000000001"/>
    <s v="Ibuprofen"/>
    <n v="6"/>
    <n v="177"/>
    <n v="23.1"/>
    <s v="Normal"/>
    <x v="0"/>
  </r>
  <r>
    <x v="649"/>
    <s v="Ifeanyi Okafor"/>
    <n v="55"/>
    <x v="3"/>
    <x v="0"/>
    <s v="AB+"/>
    <x v="1"/>
    <x v="0"/>
    <x v="554"/>
    <d v="2019-03-24T00:00:00"/>
    <n v="7"/>
    <s v="Bowen University Teaching Hospital"/>
    <x v="1"/>
    <s v="Dr. Chioma Nwankwo"/>
    <x v="2"/>
    <n v="27458.65"/>
    <s v="Linagliptin"/>
    <n v="8"/>
    <n v="480"/>
    <n v="26.4"/>
    <s v="Inconclusive"/>
    <x v="0"/>
  </r>
  <r>
    <x v="650"/>
    <s v="Halima Ogbonna"/>
    <n v="64"/>
    <x v="3"/>
    <x v="1"/>
    <s v="A-"/>
    <x v="5"/>
    <x v="0"/>
    <x v="555"/>
    <d v="2022-12-15T00:00:00"/>
    <n v="10"/>
    <s v="Federal Medical Centre Asaba"/>
    <x v="0"/>
    <s v="Dr. Fatima Al-Hassan"/>
    <x v="1"/>
    <n v="141479.87"/>
    <s v="Spironolactone"/>
    <n v="10"/>
    <n v="392"/>
    <n v="34.4"/>
    <s v="Abnormal"/>
    <x v="0"/>
  </r>
  <r>
    <x v="651"/>
    <s v="Nneka Ogbonna"/>
    <n v="24"/>
    <x v="2"/>
    <x v="1"/>
    <s v="O-"/>
    <x v="4"/>
    <x v="1"/>
    <x v="106"/>
    <d v="2019-07-14T00:00:00"/>
    <n v="2"/>
    <s v="National Hospital Abuja"/>
    <x v="4"/>
    <s v="Dr. Aisha Bello"/>
    <x v="0"/>
    <n v="7148.22"/>
    <s v="Metronidazole"/>
    <n v="5"/>
    <n v="161"/>
    <n v="29.1"/>
    <s v="Abnormal"/>
    <x v="0"/>
  </r>
  <r>
    <x v="652"/>
    <s v="Grace Wilson"/>
    <n v="65"/>
    <x v="4"/>
    <x v="1"/>
    <s v="B+"/>
    <x v="1"/>
    <x v="2"/>
    <x v="556"/>
    <d v="2022-10-25T00:00:00"/>
    <n v="5"/>
    <s v="National Hospital Abuja"/>
    <x v="4"/>
    <s v="Dr. Taiwo Adeleke"/>
    <x v="4"/>
    <n v="14426.23"/>
    <s v="Dapagliflozin"/>
    <n v="8"/>
    <n v="384"/>
    <n v="35.1"/>
    <s v="Inconclusive"/>
    <x v="0"/>
  </r>
  <r>
    <x v="653"/>
    <s v="Oluwaseun Yakubu"/>
    <n v="19"/>
    <x v="2"/>
    <x v="0"/>
    <s v="B+"/>
    <x v="1"/>
    <x v="0"/>
    <x v="329"/>
    <m/>
    <m/>
    <s v="Federal Medical Centre Asaba"/>
    <x v="0"/>
    <s v="Dr. Ibrahim Musa"/>
    <x v="2"/>
    <n v="18585.419999999998"/>
    <s v="Glibenclamide"/>
    <n v="6"/>
    <n v="411"/>
    <n v="26.7"/>
    <s v="Abnormal"/>
    <x v="0"/>
  </r>
  <r>
    <x v="654"/>
    <s v="Chukwudi Akintola"/>
    <n v="86"/>
    <x v="1"/>
    <x v="0"/>
    <s v="AB-"/>
    <x v="5"/>
    <x v="0"/>
    <x v="557"/>
    <d v="2023-12-23T00:00:00"/>
    <n v="9"/>
    <s v="Federal Medical Centre Birnin Kebbi"/>
    <x v="2"/>
    <s v="Dr. Adewale Ogundimu"/>
    <x v="1"/>
    <n v="91438.45"/>
    <s v="Atorvastatin"/>
    <n v="9"/>
    <n v="302"/>
    <n v="22"/>
    <s v="Abnormal"/>
    <x v="1"/>
  </r>
  <r>
    <x v="655"/>
    <s v="Uche Salami"/>
    <n v="73"/>
    <x v="4"/>
    <x v="0"/>
    <s v="A+"/>
    <x v="6"/>
    <x v="2"/>
    <x v="311"/>
    <d v="2020-05-26T00:00:00"/>
    <n v="6"/>
    <s v="Federal Medical Centre Asaba"/>
    <x v="0"/>
    <s v="Dr. Ngozi Eze-Williams"/>
    <x v="0"/>
    <n v="19407.79"/>
    <s v="Ipratropium"/>
    <n v="4"/>
    <n v="178"/>
    <m/>
    <s v="Abnormal"/>
    <x v="0"/>
  </r>
  <r>
    <x v="656"/>
    <s v="Chukwudi Adeyemi"/>
    <n v="56"/>
    <x v="3"/>
    <x v="0"/>
    <s v="O+"/>
    <x v="5"/>
    <x v="1"/>
    <x v="558"/>
    <d v="2020-10-01T00:00:00"/>
    <n v="5"/>
    <s v="Ahmadu Bello University Teaching Hospital"/>
    <x v="2"/>
    <s v="Dr. Fatima Al-Hassan"/>
    <x v="1"/>
    <n v="52680.83"/>
    <s v="Furosemide"/>
    <n v="10"/>
    <n v="127"/>
    <n v="27.7"/>
    <s v="Abnormal"/>
    <x v="0"/>
  </r>
  <r>
    <x v="657"/>
    <s v="Samuel Lawal"/>
    <n v="55"/>
    <x v="3"/>
    <x v="0"/>
    <s v="A+"/>
    <x v="3"/>
    <x v="1"/>
    <x v="559"/>
    <d v="2024-12-21T00:00:00"/>
    <n v="4"/>
    <s v="National Hospital Abuja"/>
    <x v="4"/>
    <s v="Dr. Lanre Ogundele"/>
    <x v="1"/>
    <n v="52833.85"/>
    <s v="Paracetamol"/>
    <n v="5"/>
    <n v="106"/>
    <n v="33.799999999999997"/>
    <s v="Normal"/>
    <x v="0"/>
  </r>
  <r>
    <x v="658"/>
    <s v="Ifeanyi Okafor"/>
    <n v="77"/>
    <x v="1"/>
    <x v="0"/>
    <s v="B+"/>
    <x v="7"/>
    <x v="1"/>
    <x v="560"/>
    <d v="2023-11-10T00:00:00"/>
    <n v="3"/>
    <s v="National Hospital Abuja"/>
    <x v="4"/>
    <s v="Dr. Musa Aliyu"/>
    <x v="1"/>
    <n v="41228.699999999997"/>
    <s v="Tramadol"/>
    <n v="4"/>
    <n v="150"/>
    <n v="26.4"/>
    <s v="Normal"/>
    <x v="0"/>
  </r>
  <r>
    <x v="659"/>
    <s v="Emmanuel Onuoha"/>
    <n v="67"/>
    <x v="4"/>
    <x v="0"/>
    <s v="AB+"/>
    <x v="0"/>
    <x v="2"/>
    <x v="561"/>
    <d v="2022-10-25T00:00:00"/>
    <n v="8"/>
    <s v="Federal Medical Centre Birnin Kebbi"/>
    <x v="2"/>
    <s v="Dr. Amara Osei"/>
    <x v="3"/>
    <n v="57234.92"/>
    <s v="Letrozole"/>
    <n v="12"/>
    <n v="353"/>
    <n v="22.3"/>
    <s v="Abnormal"/>
    <x v="0"/>
  </r>
  <r>
    <x v="660"/>
    <s v="Suleiman Nwosu"/>
    <n v="17"/>
    <x v="0"/>
    <x v="0"/>
    <s v="B+"/>
    <x v="4"/>
    <x v="1"/>
    <x v="562"/>
    <d v="2023-12-20T00:00:00"/>
    <n v="2"/>
    <s v="Federal Medical Centre Owerri"/>
    <x v="3"/>
    <s v="Dr. Aisha Bello"/>
    <x v="1"/>
    <n v="10382.129999999999"/>
    <s v="Metronidazole"/>
    <n v="5"/>
    <n v="157"/>
    <n v="26.6"/>
    <s v="Abnormal"/>
    <x v="0"/>
  </r>
  <r>
    <x v="661"/>
    <s v="Adenike Bello"/>
    <n v="65"/>
    <x v="4"/>
    <x v="1"/>
    <s v="AB+"/>
    <x v="1"/>
    <x v="0"/>
    <x v="263"/>
    <d v="2023-01-22T00:00:00"/>
    <n v="2"/>
    <s v="Lagos University Teaching Hospital"/>
    <x v="1"/>
    <s v="Dr. Ibrahim Musa"/>
    <x v="3"/>
    <n v="48782.68"/>
    <s v="Insulin Glargine"/>
    <n v="7"/>
    <n v="353"/>
    <n v="40.4"/>
    <s v="Normal"/>
    <x v="1"/>
  </r>
  <r>
    <x v="662"/>
    <s v="Samuel Osagie"/>
    <n v="73"/>
    <x v="4"/>
    <x v="0"/>
    <s v="O-"/>
    <x v="1"/>
    <x v="1"/>
    <x v="563"/>
    <d v="2020-10-17T00:00:00"/>
    <n v="1"/>
    <s v="Federal Medical Centre Birnin Kebbi"/>
    <x v="2"/>
    <s v="Dr. Chioma Nwankwo"/>
    <x v="3"/>
    <n v="19479.37"/>
    <s v="Liraglutide"/>
    <n v="8"/>
    <n v="190"/>
    <n v="25.7"/>
    <s v="Abnormal"/>
    <x v="1"/>
  </r>
  <r>
    <x v="663"/>
    <s v="Suleiman Abubakar"/>
    <n v="91"/>
    <x v="1"/>
    <x v="0"/>
    <s v="A-"/>
    <x v="6"/>
    <x v="0"/>
    <x v="69"/>
    <d v="2023-11-28T00:00:00"/>
    <n v="5"/>
    <s v="Federal Medical Centre Owerri"/>
    <x v="3"/>
    <s v="Dr. Halima Usman"/>
    <x v="1"/>
    <n v="43248.71"/>
    <s v="Montelukast"/>
    <n v="4"/>
    <n v="371"/>
    <n v="24.7"/>
    <s v="Normal"/>
    <x v="1"/>
  </r>
  <r>
    <x v="664"/>
    <s v="Kayode Obi"/>
    <n v="49"/>
    <x v="5"/>
    <x v="0"/>
    <s v="O-"/>
    <x v="7"/>
    <x v="1"/>
    <x v="564"/>
    <d v="2024-08-01T00:00:00"/>
    <n v="1"/>
    <s v="Federal Medical Centre Birnin Kebbi"/>
    <x v="2"/>
    <s v="Dr. Sarah Adeyemi"/>
    <x v="3"/>
    <n v="28703.66"/>
    <s v="Calcium"/>
    <n v="5"/>
    <n v="169"/>
    <n v="30"/>
    <s v="Normal"/>
    <x v="0"/>
  </r>
  <r>
    <x v="665"/>
    <s v="Chiamaka Johnson"/>
    <n v="68"/>
    <x v="4"/>
    <x v="1"/>
    <s v="O-"/>
    <x v="5"/>
    <x v="0"/>
    <x v="565"/>
    <d v="2022-01-25T00:00:00"/>
    <n v="10"/>
    <s v="Federal Medical Centre Asaba"/>
    <x v="0"/>
    <s v="Dr. Emeka Okorie"/>
    <x v="0"/>
    <n v="72678.55"/>
    <s v="Amlodipine"/>
    <n v="10"/>
    <n v="306"/>
    <n v="23.8"/>
    <s v="Abnormal"/>
    <x v="1"/>
  </r>
  <r>
    <x v="666"/>
    <s v="Michael Abubakar"/>
    <n v="57"/>
    <x v="3"/>
    <x v="0"/>
    <s v="B+"/>
    <x v="1"/>
    <x v="1"/>
    <x v="252"/>
    <d v="2022-02-13T00:00:00"/>
    <n v="2"/>
    <s v="Bowen University Teaching Hospital"/>
    <x v="1"/>
    <s v="Dr. Ibrahim Musa"/>
    <x v="1"/>
    <n v="11683.65"/>
    <s v="Metformin"/>
    <n v="8"/>
    <n v="145"/>
    <n v="25.1"/>
    <s v="Abnormal"/>
    <x v="0"/>
  </r>
  <r>
    <x v="667"/>
    <s v="Chiamaka Ibrahim"/>
    <n v="43"/>
    <x v="5"/>
    <x v="1"/>
    <s v="O+"/>
    <x v="5"/>
    <x v="0"/>
    <x v="566"/>
    <d v="2021-04-13T00:00:00"/>
    <n v="7"/>
    <s v="Federal Medical Centre Birnin Kebbi"/>
    <x v="2"/>
    <s v="Dr. Fatima Al-Hassan"/>
    <x v="1"/>
    <n v="68182.16"/>
    <s v="Metoprolol"/>
    <n v="9"/>
    <n v="334"/>
    <n v="37.200000000000003"/>
    <s v="Normal"/>
    <x v="0"/>
  </r>
  <r>
    <x v="668"/>
    <s v="Rachel Davis"/>
    <n v="28"/>
    <x v="2"/>
    <x v="1"/>
    <s v="A-"/>
    <x v="5"/>
    <x v="2"/>
    <x v="235"/>
    <d v="2021-05-27T00:00:00"/>
    <n v="7"/>
    <s v="Ahmadu Bello University Teaching Hospital"/>
    <x v="2"/>
    <s v="Dr. Emeka Okorie"/>
    <x v="0"/>
    <n v="31534.06"/>
    <s v="Spironolactone"/>
    <n v="9"/>
    <n v="369"/>
    <n v="28.1"/>
    <s v="Inconclusive"/>
    <x v="0"/>
  </r>
  <r>
    <x v="669"/>
    <s v="Deborah Bello"/>
    <n v="71"/>
    <x v="4"/>
    <x v="1"/>
    <s v="A+"/>
    <x v="5"/>
    <x v="1"/>
    <x v="177"/>
    <d v="2024-11-13T00:00:00"/>
    <n v="12"/>
    <s v="Lagos University Teaching Hospital"/>
    <x v="1"/>
    <s v="Dr. Adewale Ogundimu"/>
    <x v="1"/>
    <n v="59162.73"/>
    <s v="Furosemide"/>
    <n v="10"/>
    <n v="167"/>
    <n v="29.9"/>
    <s v="Abnormal"/>
    <x v="0"/>
  </r>
  <r>
    <x v="670"/>
    <s v="Gbenga Danjuma"/>
    <n v="75"/>
    <x v="1"/>
    <x v="0"/>
    <s v="O+"/>
    <x v="6"/>
    <x v="1"/>
    <x v="567"/>
    <d v="2022-11-14T00:00:00"/>
    <n v="2"/>
    <s v="National Hospital Abuja"/>
    <x v="4"/>
    <s v="Dr. Halima Usman"/>
    <x v="1"/>
    <n v="44031.58"/>
    <s v="Salbutamol"/>
    <n v="7"/>
    <n v="113"/>
    <n v="32.799999999999997"/>
    <s v="Abnormal"/>
    <x v="0"/>
  </r>
  <r>
    <x v="671"/>
    <s v="Chukwudi Williams"/>
    <n v="88"/>
    <x v="1"/>
    <x v="0"/>
    <s v="A-"/>
    <x v="5"/>
    <x v="0"/>
    <x v="568"/>
    <d v="2024-10-24T00:00:00"/>
    <n v="9"/>
    <s v="Federal Medical Centre Birnin Kebbi"/>
    <x v="2"/>
    <s v="Dr. Fatima Al-Hassan"/>
    <x v="1"/>
    <n v="67291.16"/>
    <s v="Aspirin"/>
    <n v="8"/>
    <n v="399"/>
    <n v="22.6"/>
    <s v="Abnormal"/>
    <x v="0"/>
  </r>
  <r>
    <x v="672"/>
    <s v="Ngozi Osagie"/>
    <n v="64"/>
    <x v="3"/>
    <x v="1"/>
    <s v="O-"/>
    <x v="6"/>
    <x v="0"/>
    <x v="569"/>
    <d v="2024-01-25T00:00:00"/>
    <n v="6"/>
    <s v="Ahmadu Bello University Teaching Hospital"/>
    <x v="2"/>
    <s v="Dr. Ngozi Eze-Williams"/>
    <x v="0"/>
    <n v="23724.12"/>
    <s v="Montelukast"/>
    <n v="6"/>
    <n v="333"/>
    <n v="24.7"/>
    <s v="Normal"/>
    <x v="0"/>
  </r>
  <r>
    <x v="673"/>
    <s v="Oluwaseun Hassan"/>
    <n v="51"/>
    <x v="5"/>
    <x v="0"/>
    <s v="A+"/>
    <x v="6"/>
    <x v="0"/>
    <x v="570"/>
    <d v="2019-08-31T00:00:00"/>
    <n v="5"/>
    <s v="Aminu Kano Teaching Hospital"/>
    <x v="2"/>
    <s v="Dr. Yusuf Danjuma"/>
    <x v="1"/>
    <n v="39334.14"/>
    <s v="Montelukast"/>
    <n v="5"/>
    <n v="387"/>
    <n v="32.299999999999997"/>
    <s v="Abnormal"/>
    <x v="0"/>
  </r>
  <r>
    <x v="674"/>
    <s v="Ngozi Wilson"/>
    <n v="38"/>
    <x v="5"/>
    <x v="1"/>
    <s v="B+"/>
    <x v="6"/>
    <x v="0"/>
    <x v="571"/>
    <d v="2024-11-23T00:00:00"/>
    <n v="11"/>
    <s v="National Hospital Abuja"/>
    <x v="4"/>
    <s v="Dr. Yusuf Danjuma"/>
    <x v="1"/>
    <n v="24957.9"/>
    <s v="Montelukast"/>
    <n v="6"/>
    <n v="349"/>
    <n v="25.2"/>
    <s v="Abnormal"/>
    <x v="0"/>
  </r>
  <r>
    <x v="675"/>
    <s v="Esther Musa"/>
    <n v="61"/>
    <x v="3"/>
    <x v="1"/>
    <s v="AB-"/>
    <x v="4"/>
    <x v="1"/>
    <x v="572"/>
    <d v="2023-08-24T00:00:00"/>
    <n v="2"/>
    <s v="Bowen University Teaching Hospital"/>
    <x v="1"/>
    <s v="Dr. Nnamdi Okafor"/>
    <x v="0"/>
    <n v="14292.8"/>
    <s v="Metronidazole"/>
    <n v="5"/>
    <n v="145"/>
    <n v="16.100000000000001"/>
    <s v="Abnormal"/>
    <x v="0"/>
  </r>
  <r>
    <x v="676"/>
    <s v="Aisha Sule"/>
    <n v="82"/>
    <x v="1"/>
    <x v="1"/>
    <s v="AB-"/>
    <x v="0"/>
    <x v="0"/>
    <x v="573"/>
    <d v="2019-11-17T00:00:00"/>
    <n v="8"/>
    <s v="Bowen University Teaching Hospital"/>
    <x v="1"/>
    <s v="Dr. Babatunde Fashola"/>
    <x v="3"/>
    <n v="124846.22"/>
    <s v="Rituximab"/>
    <n v="12"/>
    <n v="497"/>
    <n v="24.3"/>
    <s v="Normal"/>
    <x v="0"/>
  </r>
  <r>
    <x v="677"/>
    <s v="Rachel Eze"/>
    <n v="89"/>
    <x v="1"/>
    <x v="1"/>
    <s v="O-"/>
    <x v="0"/>
    <x v="2"/>
    <x v="574"/>
    <d v="2022-01-10T00:00:00"/>
    <n v="12"/>
    <s v="University College Hospital Ibadan"/>
    <x v="1"/>
    <s v="Dr. Amara Osei"/>
    <x v="0"/>
    <n v="45588.67"/>
    <s v="Ondansetron"/>
    <n v="12"/>
    <n v="281"/>
    <n v="20.7"/>
    <s v="Inconclusive"/>
    <x v="0"/>
  </r>
  <r>
    <x v="678"/>
    <s v="Bukola Fashola"/>
    <n v="67"/>
    <x v="4"/>
    <x v="1"/>
    <s v="B-"/>
    <x v="4"/>
    <x v="0"/>
    <x v="575"/>
    <d v="2020-02-01T00:00:00"/>
    <n v="3"/>
    <s v="University of Calabar Teaching Hospital"/>
    <x v="0"/>
    <s v="Dr. Aisha Bello"/>
    <x v="1"/>
    <n v="37764.5"/>
    <s v="Mesalazine"/>
    <n v="4"/>
    <n v="112"/>
    <n v="29.3"/>
    <s v="Inconclusive"/>
    <x v="0"/>
  </r>
  <r>
    <x v="679"/>
    <s v="Tunde Igwe"/>
    <n v="83"/>
    <x v="1"/>
    <x v="0"/>
    <s v="O-"/>
    <x v="2"/>
    <x v="0"/>
    <x v="576"/>
    <d v="2024-06-23T00:00:00"/>
    <n v="6"/>
    <s v="Federal Medical Centre Birnin Kebbi"/>
    <x v="2"/>
    <s v="Dr. Olumide Abiodun"/>
    <x v="4"/>
    <n v="64440.5"/>
    <s v="Clopidogrel"/>
    <n v="8"/>
    <n v="390"/>
    <n v="44.5"/>
    <s v="Normal"/>
    <x v="1"/>
  </r>
  <r>
    <x v="680"/>
    <s v="Grace Brown"/>
    <n v="55"/>
    <x v="3"/>
    <x v="1"/>
    <s v="B+"/>
    <x v="1"/>
    <x v="1"/>
    <x v="577"/>
    <d v="2021-09-18T00:00:00"/>
    <n v="3"/>
    <s v="University College Hospital Ibadan"/>
    <x v="1"/>
    <s v="Dr. Chioma Nwankwo"/>
    <x v="1"/>
    <n v="24754.23"/>
    <s v="Insulin Glargine"/>
    <n v="8"/>
    <n v="150"/>
    <m/>
    <s v="Normal"/>
    <x v="0"/>
  </r>
  <r>
    <x v="681"/>
    <s v="Kunle Adeleke"/>
    <n v="39"/>
    <x v="5"/>
    <x v="0"/>
    <s v="A+"/>
    <x v="4"/>
    <x v="0"/>
    <x v="578"/>
    <d v="2023-12-06T00:00:00"/>
    <n v="8"/>
    <s v="University of Calabar Teaching Hospital"/>
    <x v="0"/>
    <s v="Dr. Nnamdi Okafor"/>
    <x v="0"/>
    <n v="9951.73"/>
    <s v="Ciprofloxacin"/>
    <n v="5"/>
    <n v="225"/>
    <n v="27.1"/>
    <s v="Abnormal"/>
    <x v="0"/>
  </r>
  <r>
    <x v="682"/>
    <s v="Grace Ogbonna"/>
    <n v="88"/>
    <x v="1"/>
    <x v="1"/>
    <s v="AB+"/>
    <x v="4"/>
    <x v="2"/>
    <x v="579"/>
    <d v="2023-04-06T00:00:00"/>
    <n v="2"/>
    <s v="National Hospital Abuja"/>
    <x v="4"/>
    <s v="Dr. Aisha Bello"/>
    <x v="1"/>
    <n v="17679.759999999998"/>
    <s v="Loperamide"/>
    <n v="3"/>
    <n v="411"/>
    <n v="19.600000000000001"/>
    <s v="Normal"/>
    <x v="0"/>
  </r>
  <r>
    <x v="683"/>
    <s v="Segun Salami"/>
    <n v="85"/>
    <x v="1"/>
    <x v="0"/>
    <s v="AB-"/>
    <x v="2"/>
    <x v="0"/>
    <x v="580"/>
    <d v="2022-04-08T00:00:00"/>
    <n v="12"/>
    <s v="Ahmadu Bello University Teaching Hospital"/>
    <x v="2"/>
    <s v="Dr. Rotimi Fashola"/>
    <x v="2"/>
    <n v="85094.5"/>
    <s v="Topiramate"/>
    <n v="9"/>
    <n v="394"/>
    <m/>
    <s v="Normal"/>
    <x v="0"/>
  </r>
  <r>
    <x v="684"/>
    <s v="Nnamdi Martin"/>
    <n v="46"/>
    <x v="5"/>
    <x v="0"/>
    <s v="AB+"/>
    <x v="0"/>
    <x v="2"/>
    <x v="581"/>
    <d v="2021-06-02T00:00:00"/>
    <n v="8"/>
    <s v="Aminu Kano Teaching Hospital"/>
    <x v="2"/>
    <s v="Dr. Amara Osei"/>
    <x v="1"/>
    <n v="26754"/>
    <s v="Tamoxifen"/>
    <n v="12"/>
    <n v="133"/>
    <n v="21.3"/>
    <s v="Abnormal"/>
    <x v="0"/>
  </r>
  <r>
    <x v="685"/>
    <s v="Yusuf Williams"/>
    <n v="35"/>
    <x v="5"/>
    <x v="0"/>
    <s v="AB+"/>
    <x v="5"/>
    <x v="0"/>
    <x v="582"/>
    <d v="2020-06-18T00:00:00"/>
    <n v="7"/>
    <s v="Lagos University Teaching Hospital"/>
    <x v="1"/>
    <s v="Dr. Fatima Al-Hassan"/>
    <x v="1"/>
    <n v="100481"/>
    <s v="Warfarin"/>
    <n v="10"/>
    <n v="351"/>
    <m/>
    <s v="Abnormal"/>
    <x v="0"/>
  </r>
  <r>
    <x v="686"/>
    <s v="Miriam Martin"/>
    <n v="60"/>
    <x v="3"/>
    <x v="1"/>
    <s v="B+"/>
    <x v="3"/>
    <x v="1"/>
    <x v="583"/>
    <d v="2020-01-29T00:00:00"/>
    <n v="2"/>
    <s v="Bowen University Teaching Hospital"/>
    <x v="1"/>
    <s v="Dr. Kemi Adeyemi"/>
    <x v="3"/>
    <n v="54755"/>
    <s v="Morphine"/>
    <n v="6"/>
    <n v="140"/>
    <n v="30.8"/>
    <s v="Normal"/>
    <x v="0"/>
  </r>
  <r>
    <x v="687"/>
    <s v="Babatunde Fashola"/>
    <n v="30"/>
    <x v="2"/>
    <x v="0"/>
    <s v="AB+"/>
    <x v="7"/>
    <x v="0"/>
    <x v="584"/>
    <d v="2021-05-03T00:00:00"/>
    <n v="3"/>
    <s v="Federal Medical Centre Birnin Kebbi"/>
    <x v="2"/>
    <s v="Dr. Chukwuemeka Nwosu"/>
    <x v="1"/>
    <n v="24359.439999999999"/>
    <s v="Ibuprofen"/>
    <n v="6"/>
    <n v="447"/>
    <n v="32.5"/>
    <s v="Normal"/>
    <x v="0"/>
  </r>
  <r>
    <x v="688"/>
    <s v="Mary Okafor"/>
    <n v="59"/>
    <x v="3"/>
    <x v="1"/>
    <s v="B-"/>
    <x v="1"/>
    <x v="0"/>
    <x v="585"/>
    <d v="2019-08-19T00:00:00"/>
    <n v="7"/>
    <s v="Federal Medical Centre Birnin Kebbi"/>
    <x v="2"/>
    <s v="Dr. Ibrahim Musa"/>
    <x v="1"/>
    <n v="40118.519999999997"/>
    <s v="Empagliflozin"/>
    <n v="8"/>
    <n v="271"/>
    <n v="27.2"/>
    <s v="Abnormal"/>
    <x v="0"/>
  </r>
  <r>
    <x v="689"/>
    <s v="Bashir Bankole"/>
    <n v="77"/>
    <x v="1"/>
    <x v="0"/>
    <s v="B-"/>
    <x v="1"/>
    <x v="1"/>
    <x v="586"/>
    <d v="2023-06-09T00:00:00"/>
    <n v="3"/>
    <s v="Ahmadu Bello University Teaching Hospital"/>
    <x v="2"/>
    <s v="Dr. Chioma Nwankwo"/>
    <x v="2"/>
    <n v="18140.09"/>
    <s v="Sitagliptin"/>
    <n v="8"/>
    <n v="174"/>
    <n v="37.6"/>
    <s v="Inconclusive"/>
    <x v="0"/>
  </r>
  <r>
    <x v="690"/>
    <s v="Funke Danjuma"/>
    <n v="92"/>
    <x v="1"/>
    <x v="1"/>
    <s v="O+"/>
    <x v="2"/>
    <x v="0"/>
    <x v="587"/>
    <d v="2022-10-29T00:00:00"/>
    <n v="10"/>
    <s v="Federal Medical Centre Asaba"/>
    <x v="0"/>
    <s v="Dr. Zainab Sule"/>
    <x v="4"/>
    <n v="64029.98"/>
    <s v="Memantine"/>
    <n v="9"/>
    <n v="393"/>
    <n v="25.6"/>
    <s v="Abnormal"/>
    <x v="1"/>
  </r>
  <r>
    <x v="691"/>
    <s v="Chioma Osagie"/>
    <n v="73"/>
    <x v="4"/>
    <x v="1"/>
    <s v="A-"/>
    <x v="0"/>
    <x v="0"/>
    <x v="588"/>
    <d v="2024-10-29T00:00:00"/>
    <n v="18"/>
    <s v="Ahmadu Bello University Teaching Hospital"/>
    <x v="2"/>
    <s v="Dr. Grace Oduya"/>
    <x v="1"/>
    <n v="87906.83"/>
    <s v="Trastuzumab"/>
    <n v="12"/>
    <n v="316"/>
    <m/>
    <s v="Abnormal"/>
    <x v="0"/>
  </r>
  <r>
    <x v="692"/>
    <s v="Hauwa Lawal"/>
    <n v="87"/>
    <x v="1"/>
    <x v="1"/>
    <s v="B+"/>
    <x v="5"/>
    <x v="0"/>
    <x v="227"/>
    <d v="2023-12-22T00:00:00"/>
    <n v="6"/>
    <s v="National Hospital Abuja"/>
    <x v="4"/>
    <s v="Dr. Fatima Al-Hassan"/>
    <x v="3"/>
    <n v="189331.76"/>
    <s v="Furosemide"/>
    <n v="10"/>
    <n v="375"/>
    <n v="33.4"/>
    <s v="Abnormal"/>
    <x v="1"/>
  </r>
  <r>
    <x v="693"/>
    <s v="Blessing Usman"/>
    <n v="37"/>
    <x v="5"/>
    <x v="1"/>
    <s v="A+"/>
    <x v="2"/>
    <x v="0"/>
    <x v="451"/>
    <d v="2023-08-14T00:00:00"/>
    <n v="7"/>
    <s v="Federal Medical Centre Asaba"/>
    <x v="0"/>
    <s v="Dr. Rotimi Fashola"/>
    <x v="1"/>
    <n v="85147.44"/>
    <s v="Gabapentin"/>
    <n v="9"/>
    <n v="331"/>
    <n v="25.6"/>
    <s v="Abnormal"/>
    <x v="0"/>
  </r>
  <r>
    <x v="694"/>
    <s v="Abdullahi Aliyu"/>
    <n v="25"/>
    <x v="2"/>
    <x v="0"/>
    <s v="A-"/>
    <x v="2"/>
    <x v="0"/>
    <x v="589"/>
    <d v="2022-04-02T00:00:00"/>
    <n v="10"/>
    <s v="Federal Medical Centre Asaba"/>
    <x v="0"/>
    <s v="Dr. Zainab Sule"/>
    <x v="2"/>
    <n v="21968.62"/>
    <s v="Gabapentin"/>
    <n v="9"/>
    <n v="374"/>
    <n v="30.1"/>
    <s v="Normal"/>
    <x v="0"/>
  </r>
  <r>
    <x v="695"/>
    <s v="Taiwo Musa"/>
    <n v="27"/>
    <x v="2"/>
    <x v="1"/>
    <s v="AB+"/>
    <x v="2"/>
    <x v="0"/>
    <x v="590"/>
    <d v="2020-05-09T00:00:00"/>
    <n v="7"/>
    <s v="University of Calabar Teaching Hospital"/>
    <x v="0"/>
    <s v="Dr. Olumide Abiodun"/>
    <x v="2"/>
    <n v="45199.4"/>
    <s v="Memantine"/>
    <n v="9"/>
    <n v="326"/>
    <n v="23.8"/>
    <s v="Normal"/>
    <x v="0"/>
  </r>
  <r>
    <x v="696"/>
    <s v="Emeka Aliyu"/>
    <n v="78"/>
    <x v="1"/>
    <x v="0"/>
    <s v="B+"/>
    <x v="1"/>
    <x v="1"/>
    <x v="591"/>
    <d v="2019-12-27T00:00:00"/>
    <n v="7"/>
    <s v="Federal Medical Centre Asaba"/>
    <x v="0"/>
    <s v="Dr. Taiwo Adeleke"/>
    <x v="0"/>
    <n v="13250.79"/>
    <s v="Glibenclamide"/>
    <n v="6"/>
    <n v="180"/>
    <n v="31.4"/>
    <s v="Inconclusive"/>
    <x v="0"/>
  </r>
  <r>
    <x v="697"/>
    <s v="David Onuoha"/>
    <n v="74"/>
    <x v="4"/>
    <x v="0"/>
    <s v="B+"/>
    <x v="7"/>
    <x v="1"/>
    <x v="592"/>
    <d v="2019-10-23T00:00:00"/>
    <n v="2"/>
    <s v="Bowen University Teaching Hospital"/>
    <x v="1"/>
    <s v="Dr. Chukwuemeka Nwosu"/>
    <x v="4"/>
    <n v="34131.480000000003"/>
    <s v="Ibuprofen"/>
    <n v="6"/>
    <n v="106"/>
    <n v="37.1"/>
    <s v="Normal"/>
    <x v="0"/>
  </r>
  <r>
    <x v="698"/>
    <s v="Zainab Ogbonna"/>
    <n v="31"/>
    <x v="2"/>
    <x v="1"/>
    <s v="A+"/>
    <x v="5"/>
    <x v="0"/>
    <x v="593"/>
    <d v="2024-08-06T00:00:00"/>
    <n v="9"/>
    <s v="University of Calabar Teaching Hospital"/>
    <x v="0"/>
    <s v="Dr. Fatima Al-Hassan"/>
    <x v="0"/>
    <n v="49325.87"/>
    <s v="Aspirin"/>
    <n v="10"/>
    <n v="389"/>
    <n v="14"/>
    <s v="Abnormal"/>
    <x v="0"/>
  </r>
  <r>
    <x v="699"/>
    <s v="Peter Okonkwo"/>
    <n v="60"/>
    <x v="3"/>
    <x v="0"/>
    <s v="A-"/>
    <x v="7"/>
    <x v="1"/>
    <x v="402"/>
    <d v="2023-05-19T00:00:00"/>
    <n v="3"/>
    <s v="University College Hospital Ibadan"/>
    <x v="1"/>
    <s v="Dr. Musa Aliyu"/>
    <x v="4"/>
    <n v="17510.79"/>
    <s v="Ibuprofen"/>
    <n v="2"/>
    <n v="148"/>
    <n v="28.8"/>
    <s v="Normal"/>
    <x v="0"/>
  </r>
  <r>
    <x v="700"/>
    <s v="Emeka Okafor"/>
    <n v="34"/>
    <x v="2"/>
    <x v="0"/>
    <s v="A+"/>
    <x v="5"/>
    <x v="1"/>
    <x v="594"/>
    <d v="2020-02-23T00:00:00"/>
    <n v="8"/>
    <s v="Federal Medical Centre Asaba"/>
    <x v="0"/>
    <s v="Dr. Emeka Okorie"/>
    <x v="4"/>
    <n v="24006.36"/>
    <s v="Atorvastatin"/>
    <n v="10"/>
    <n v="119"/>
    <n v="33.1"/>
    <s v="Abnormal"/>
    <x v="0"/>
  </r>
  <r>
    <x v="701"/>
    <s v="Abdullahi Hassan"/>
    <n v="26"/>
    <x v="2"/>
    <x v="0"/>
    <s v="AB-"/>
    <x v="0"/>
    <x v="0"/>
    <x v="595"/>
    <m/>
    <m/>
    <s v="National Hospital Abuja"/>
    <x v="4"/>
    <s v="Dr. Grace Oduya"/>
    <x v="0"/>
    <n v="24559.4"/>
    <s v="Cyclophosphamide"/>
    <n v="12"/>
    <n v="120"/>
    <n v="22.8"/>
    <s v="Abnormal"/>
    <x v="0"/>
  </r>
  <r>
    <x v="702"/>
    <s v="Yusuf Adeyemi"/>
    <n v="52"/>
    <x v="5"/>
    <x v="0"/>
    <s v="A+"/>
    <x v="6"/>
    <x v="1"/>
    <x v="596"/>
    <d v="2022-05-22T00:00:00"/>
    <n v="3"/>
    <s v="National Hospital Abuja"/>
    <x v="4"/>
    <s v="Dr. Halima Usman"/>
    <x v="1"/>
    <n v="12734.82"/>
    <s v="Tiotropium"/>
    <n v="4"/>
    <n v="163"/>
    <n v="29.3"/>
    <s v="Abnormal"/>
    <x v="0"/>
  </r>
  <r>
    <x v="703"/>
    <s v="Tunde Taylor"/>
    <n v="89"/>
    <x v="1"/>
    <x v="0"/>
    <s v="AB+"/>
    <x v="5"/>
    <x v="2"/>
    <x v="597"/>
    <d v="2021-09-19T00:00:00"/>
    <n v="11"/>
    <s v="Ahmadu Bello University Teaching Hospital"/>
    <x v="2"/>
    <s v="Fatima Al-Hassan"/>
    <x v="2"/>
    <n v="58003.17"/>
    <s v="Aspirin"/>
    <n v="9"/>
    <n v="314"/>
    <n v="35.9"/>
    <s v="Abnormal"/>
    <x v="1"/>
  </r>
  <r>
    <x v="704"/>
    <s v="David Okafor"/>
    <n v="57"/>
    <x v="3"/>
    <x v="0"/>
    <s v="A+"/>
    <x v="7"/>
    <x v="0"/>
    <x v="598"/>
    <d v="2024-03-02T00:00:00"/>
    <n v="7"/>
    <s v="Lagos University Teaching Hospital"/>
    <x v="1"/>
    <s v="Dr. Musa Aliyu"/>
    <x v="4"/>
    <n v="34140.019999999997"/>
    <s v="Vitamin D"/>
    <n v="5"/>
    <n v="345"/>
    <n v="29.1"/>
    <s v="Normal"/>
    <x v="0"/>
  </r>
  <r>
    <x v="705"/>
    <s v="Daniel Usman"/>
    <n v="59"/>
    <x v="3"/>
    <x v="0"/>
    <s v="A+"/>
    <x v="0"/>
    <x v="1"/>
    <x v="599"/>
    <d v="2020-08-10T00:00:00"/>
    <n v="11"/>
    <s v="Lagos University Teaching Hospital"/>
    <x v="1"/>
    <s v="Dr. Babatunde Fashola"/>
    <x v="1"/>
    <n v="35378.639999999999"/>
    <s v="Paclitaxel"/>
    <n v="12"/>
    <n v="148"/>
    <n v="21.3"/>
    <s v="Abnormal"/>
    <x v="0"/>
  </r>
  <r>
    <x v="706"/>
    <s v="Chidi Davis"/>
    <n v="81"/>
    <x v="1"/>
    <x v="0"/>
    <s v="B+"/>
    <x v="5"/>
    <x v="0"/>
    <x v="310"/>
    <d v="2024-05-01T00:00:00"/>
    <n v="10"/>
    <s v="Federal Medical Centre Birnin Kebbi"/>
    <x v="2"/>
    <s v="Dr. Adewale Ogundimu"/>
    <x v="0"/>
    <n v="98622.78"/>
    <s v="Spironolactone"/>
    <n v="10"/>
    <n v="352"/>
    <n v="34.1"/>
    <s v="Abnormal"/>
    <x v="1"/>
  </r>
  <r>
    <x v="707"/>
    <s v="James Ogbonna"/>
    <n v="74"/>
    <x v="4"/>
    <x v="0"/>
    <s v="B-"/>
    <x v="5"/>
    <x v="0"/>
    <x v="600"/>
    <d v="2023-01-01T00:00:00"/>
    <n v="8"/>
    <s v="Aminu Kano Teaching Hospital"/>
    <x v="2"/>
    <s v="Dr. Adewale Ogundimu"/>
    <x v="2"/>
    <n v="51274.58"/>
    <s v="Metoprolol"/>
    <n v="9"/>
    <n v="328"/>
    <m/>
    <s v="Abnormal"/>
    <x v="0"/>
  </r>
  <r>
    <x v="708"/>
    <s v="Miriam Garba"/>
    <n v="67"/>
    <x v="4"/>
    <x v="1"/>
    <s v="O-"/>
    <x v="5"/>
    <x v="1"/>
    <x v="601"/>
    <d v="2024-07-17T00:00:00"/>
    <n v="8"/>
    <s v="University College Hospital Ibadan"/>
    <x v="1"/>
    <s v="Dr. Fatima Al-Hassan"/>
    <x v="0"/>
    <n v="55611"/>
    <s v="Aspirin"/>
    <n v="10"/>
    <n v="136"/>
    <n v="32.799999999999997"/>
    <s v="Abnormal"/>
    <x v="0"/>
  </r>
  <r>
    <x v="709"/>
    <s v="Perpetua Okeke"/>
    <n v="56"/>
    <x v="3"/>
    <x v="1"/>
    <s v="A+"/>
    <x v="2"/>
    <x v="3"/>
    <x v="602"/>
    <d v="2023-10-23T00:00:00"/>
    <n v="4"/>
    <s v="National Hospital Abuja"/>
    <x v="4"/>
    <s v="Dr. Olumide Abiodun"/>
    <x v="3"/>
    <n v="86356"/>
    <s v="Valproate"/>
    <n v="9"/>
    <n v="469"/>
    <n v="27.6"/>
    <s v="Abnormal"/>
    <x v="0"/>
  </r>
  <r>
    <x v="710"/>
    <s v="Elizabeth Adeyemi"/>
    <n v="63"/>
    <x v="3"/>
    <x v="1"/>
    <s v="A+"/>
    <x v="7"/>
    <x v="0"/>
    <x v="193"/>
    <d v="2020-09-13T00:00:00"/>
    <n v="2"/>
    <s v="Aminu Kano Teaching Hospital"/>
    <x v="2"/>
    <s v="Dr. Sarah Adeyemi"/>
    <x v="1"/>
    <n v="52403.98"/>
    <s v="Celecoxib"/>
    <n v="4"/>
    <n v="225"/>
    <n v="36.799999999999997"/>
    <s v="Abnormal"/>
    <x v="0"/>
  </r>
  <r>
    <x v="711"/>
    <s v="Chioma Aliyu"/>
    <n v="57"/>
    <x v="3"/>
    <x v="1"/>
    <s v="AB-"/>
    <x v="0"/>
    <x v="1"/>
    <x v="603"/>
    <d v="2023-04-16T00:00:00"/>
    <n v="10"/>
    <s v="Federal Medical Centre Asaba"/>
    <x v="0"/>
    <s v="Dr. Grace Oduya"/>
    <x v="4"/>
    <n v="65474.77"/>
    <s v="Rituximab"/>
    <n v="10"/>
    <n v="117"/>
    <m/>
    <s v="Abnormal"/>
    <x v="0"/>
  </r>
  <r>
    <x v="712"/>
    <s v="David Yakubu"/>
    <n v="86"/>
    <x v="1"/>
    <x v="0"/>
    <s v="O+"/>
    <x v="4"/>
    <x v="0"/>
    <x v="604"/>
    <d v="2023-02-22T00:00:00"/>
    <n v="3"/>
    <s v="Federal Medical Centre Asaba"/>
    <x v="0"/>
    <s v="Dr. Aisha Bello"/>
    <x v="4"/>
    <n v="19901.8"/>
    <s v="Mesalazine"/>
    <n v="5"/>
    <n v="395"/>
    <n v="24.7"/>
    <s v="Normal"/>
    <x v="0"/>
  </r>
  <r>
    <x v="713"/>
    <s v="Michael Brown"/>
    <n v="70"/>
    <x v="4"/>
    <x v="0"/>
    <s v="AB+"/>
    <x v="6"/>
    <x v="2"/>
    <x v="605"/>
    <d v="2020-08-13T00:00:00"/>
    <n v="5"/>
    <s v="Federal Medical Centre Birnin Kebbi"/>
    <x v="2"/>
    <s v="Dr. Yusuf Danjuma"/>
    <x v="4"/>
    <n v="16637"/>
    <s v="Salbutamol"/>
    <n v="7"/>
    <n v="167"/>
    <n v="32.4"/>
    <s v="Normal"/>
    <x v="0"/>
  </r>
  <r>
    <x v="714"/>
    <s v="Rotimi Okonkwo"/>
    <n v="80"/>
    <x v="1"/>
    <x v="0"/>
    <s v="B+"/>
    <x v="0"/>
    <x v="2"/>
    <x v="606"/>
    <d v="2019-02-02T00:00:00"/>
    <n v="7"/>
    <s v="Aminu Kano Teaching Hospital"/>
    <x v="2"/>
    <s v="Dr. Amara Osei"/>
    <x v="1"/>
    <n v="97482"/>
    <s v="Carboplatin"/>
    <n v="12"/>
    <n v="474"/>
    <n v="20.3"/>
    <s v="Abnormal"/>
    <x v="0"/>
  </r>
  <r>
    <x v="715"/>
    <s v="Adenike Dauda"/>
    <n v="37"/>
    <x v="5"/>
    <x v="1"/>
    <s v="B+"/>
    <x v="7"/>
    <x v="1"/>
    <x v="607"/>
    <m/>
    <m/>
    <s v="Aminu Kano Teaching Hospital"/>
    <x v="2"/>
    <s v="Dr. Chukwuemeka Nwosu"/>
    <x v="0"/>
    <n v="21613.58"/>
    <s v="Vitamin D"/>
    <n v="6"/>
    <n v="198"/>
    <n v="17.899999999999999"/>
    <s v="Normal"/>
    <x v="0"/>
  </r>
  <r>
    <x v="716"/>
    <s v="Mariam Adeyemi"/>
    <n v="71"/>
    <x v="4"/>
    <x v="1"/>
    <s v="B+"/>
    <x v="5"/>
    <x v="0"/>
    <x v="222"/>
    <d v="2020-04-01T00:00:00"/>
    <n v="17"/>
    <s v="University of Calabar Teaching Hospital"/>
    <x v="0"/>
    <s v="Dr. Emeka Okorie"/>
    <x v="0"/>
    <n v="152216"/>
    <s v="Aspirin"/>
    <n v="8"/>
    <n v="311"/>
    <n v="29.4"/>
    <s v="Inconclusive"/>
    <x v="1"/>
  </r>
  <r>
    <x v="717"/>
    <s v="Femi Okonkwo"/>
    <n v="75"/>
    <x v="1"/>
    <x v="0"/>
    <s v="AB-"/>
    <x v="2"/>
    <x v="1"/>
    <x v="608"/>
    <d v="2019-09-09T00:00:00"/>
    <n v="6"/>
    <s v="Aminu Kano Teaching Hospital"/>
    <x v="2"/>
    <s v="Dr. Rotimi Fashola"/>
    <x v="4"/>
    <n v="49709.09"/>
    <s v="Phenytoin"/>
    <n v="9"/>
    <n v="143"/>
    <n v="21.2"/>
    <s v="Abnormal"/>
    <x v="1"/>
  </r>
  <r>
    <x v="718"/>
    <s v="Biodun Onuoha"/>
    <n v="69"/>
    <x v="4"/>
    <x v="0"/>
    <s v="A-"/>
    <x v="1"/>
    <x v="1"/>
    <x v="609"/>
    <d v="2019-02-22T00:00:00"/>
    <n v="3"/>
    <s v="Bowen University Teaching Hospital"/>
    <x v="1"/>
    <s v="Dr. Chioma Nwankwo"/>
    <x v="4"/>
    <n v="12795.35"/>
    <s v="Metformin"/>
    <n v="7"/>
    <n v="167"/>
    <n v="44.3"/>
    <s v="Abnormal"/>
    <x v="0"/>
  </r>
  <r>
    <x v="719"/>
    <s v="Bashir Garba"/>
    <n v="56"/>
    <x v="3"/>
    <x v="0"/>
    <s v="B-"/>
    <x v="7"/>
    <x v="1"/>
    <x v="610"/>
    <d v="2024-04-11T00:00:00"/>
    <n v="2"/>
    <s v="University of Calabar Teaching Hospital"/>
    <x v="0"/>
    <s v="Dr. Chukwuemeka Nwosu"/>
    <x v="3"/>
    <n v="45157.96"/>
    <s v="Ibuprofen"/>
    <n v="5"/>
    <n v="145"/>
    <n v="29.3"/>
    <s v="Normal"/>
    <x v="0"/>
  </r>
  <r>
    <x v="720"/>
    <s v="Chukwudi Chukwu"/>
    <n v="73"/>
    <x v="4"/>
    <x v="0"/>
    <s v=""/>
    <x v="6"/>
    <x v="1"/>
    <x v="282"/>
    <d v="2022-11-25T00:00:00"/>
    <n v="3"/>
    <s v="Federal Medical Centre Birnin Kebbi"/>
    <x v="2"/>
    <s v="Dr. Ngozi Eze-Williams"/>
    <x v="1"/>
    <n v="15495.89"/>
    <s v="Tiotropium"/>
    <n v="5"/>
    <n v="143"/>
    <n v="27.7"/>
    <s v="Abnormal"/>
    <x v="0"/>
  </r>
  <r>
    <x v="721"/>
    <s v="Bukola Sule"/>
    <n v="64"/>
    <x v="3"/>
    <x v="1"/>
    <s v="A+"/>
    <x v="1"/>
    <x v="0"/>
    <x v="611"/>
    <d v="2020-06-06T00:00:00"/>
    <n v="7"/>
    <s v="Bowen University Teaching Hospital"/>
    <x v="1"/>
    <s v="Dr. Ibrahim Musa"/>
    <x v="2"/>
    <n v="21871.03"/>
    <s v="Metformin"/>
    <n v="7"/>
    <n v="384"/>
    <n v="32.299999999999997"/>
    <s v="Abnormal"/>
    <x v="0"/>
  </r>
  <r>
    <x v="722"/>
    <s v="Peter Okonkwo"/>
    <n v="56"/>
    <x v="3"/>
    <x v="0"/>
    <s v="O-"/>
    <x v="2"/>
    <x v="0"/>
    <x v="612"/>
    <d v="2023-05-22T00:00:00"/>
    <n v="5"/>
    <s v="University College Hospital Ibadan"/>
    <x v="1"/>
    <s v="Dr. Olumide Abiodun"/>
    <x v="1"/>
    <n v="86873.9"/>
    <s v="Memantine"/>
    <n v="9"/>
    <n v="396"/>
    <n v="31.3"/>
    <s v="Abnormal"/>
    <x v="0"/>
  </r>
  <r>
    <x v="723"/>
    <s v="Ruth Fashola"/>
    <n v="53"/>
    <x v="5"/>
    <x v="1"/>
    <s v="AB+"/>
    <x v="1"/>
    <x v="1"/>
    <x v="613"/>
    <d v="2024-02-12T00:00:00"/>
    <n v="4"/>
    <s v="Federal Medical Centre Birnin Kebbi"/>
    <x v="2"/>
    <s v="Dr. Chioma Nwankwo"/>
    <x v="4"/>
    <n v="12061.48"/>
    <s v="Metformin"/>
    <n v="8"/>
    <n v="148"/>
    <n v="36.6"/>
    <s v="Normal"/>
    <x v="0"/>
  </r>
  <r>
    <x v="724"/>
    <s v="Musa Brown"/>
    <n v="80"/>
    <x v="1"/>
    <x v="0"/>
    <s v="B+"/>
    <x v="0"/>
    <x v="0"/>
    <x v="171"/>
    <d v="2019-04-14T00:00:00"/>
    <n v="16"/>
    <s v="Federal Medical Centre Owerri"/>
    <x v="3"/>
    <s v="Dr. Amara Osei"/>
    <x v="0"/>
    <n v="58881.1"/>
    <s v="Paclitaxel"/>
    <n v="10"/>
    <n v="168"/>
    <m/>
    <s v="Inconclusive"/>
    <x v="0"/>
  </r>
  <r>
    <x v="725"/>
    <s v="Hauwa Akintola"/>
    <n v="85"/>
    <x v="1"/>
    <x v="1"/>
    <s v="AB+"/>
    <x v="7"/>
    <x v="1"/>
    <x v="95"/>
    <d v="2020-01-04T00:00:00"/>
    <n v="3"/>
    <s v="University of Calabar Teaching Hospital"/>
    <x v="0"/>
    <s v="Dr. Musa Aliyu"/>
    <x v="4"/>
    <n v="24310.560000000001"/>
    <s v="Calcium"/>
    <n v="5"/>
    <n v="119"/>
    <n v="38.5"/>
    <s v="Inconclusive"/>
    <x v="0"/>
  </r>
  <r>
    <x v="726"/>
    <s v="Chidi Ajala"/>
    <n v="71"/>
    <x v="4"/>
    <x v="0"/>
    <s v="AB+"/>
    <x v="3"/>
    <x v="2"/>
    <x v="510"/>
    <m/>
    <m/>
    <s v="Federal Medical Centre Asaba"/>
    <x v="0"/>
    <s v="Dr. Kemi Adeyemi"/>
    <x v="1"/>
    <n v="40006.85"/>
    <s v="Enoxaparin"/>
    <n v="3"/>
    <n v="353"/>
    <n v="27.2"/>
    <s v="Abnormal"/>
    <x v="1"/>
  </r>
  <r>
    <x v="727"/>
    <s v="Stella Osagie"/>
    <n v="68"/>
    <x v="4"/>
    <x v="1"/>
    <s v="AB+"/>
    <x v="0"/>
    <x v="2"/>
    <x v="614"/>
    <d v="2021-04-16T00:00:00"/>
    <n v="14"/>
    <s v="Ahmadu Bello University Teaching Hospital"/>
    <x v="2"/>
    <s v="Dr. Grace Oduya"/>
    <x v="4"/>
    <n v="88516.6"/>
    <s v="Tamoxifen"/>
    <n v="11"/>
    <n v="122"/>
    <m/>
    <s v="Abnormal"/>
    <x v="1"/>
  </r>
  <r>
    <x v="728"/>
    <s v="Segun Davis"/>
    <n v="77"/>
    <x v="1"/>
    <x v="0"/>
    <s v="AB+"/>
    <x v="6"/>
    <x v="1"/>
    <x v="319"/>
    <d v="2023-09-08T00:00:00"/>
    <n v="3"/>
    <s v="Federal Medical Centre Birnin Kebbi"/>
    <x v="2"/>
    <s v="Dr. Yusuf Danjuma"/>
    <x v="1"/>
    <n v="31106"/>
    <s v="Ipratropium"/>
    <n v="7"/>
    <n v="144"/>
    <n v="25.2"/>
    <s v="Inconclusive"/>
    <x v="0"/>
  </r>
  <r>
    <x v="729"/>
    <s v="Hauwa Anderson"/>
    <n v="29"/>
    <x v="2"/>
    <x v="1"/>
    <s v="AB-"/>
    <x v="4"/>
    <x v="1"/>
    <x v="615"/>
    <d v="2021-04-15T00:00:00"/>
    <n v="5"/>
    <s v="Ahmadu Bello University Teaching Hospital"/>
    <x v="2"/>
    <s v="Dr. Segun Banke"/>
    <x v="0"/>
    <n v="4133.6400000000003"/>
    <s v="Mesalazine"/>
    <n v="5"/>
    <n v="113"/>
    <n v="23"/>
    <s v="Normal"/>
    <x v="0"/>
  </r>
  <r>
    <x v="730"/>
    <s v="Adewale Taylor"/>
    <n v="62"/>
    <x v="3"/>
    <x v="0"/>
    <s v="O+"/>
    <x v="4"/>
    <x v="1"/>
    <x v="616"/>
    <d v="2023-06-01T00:00:00"/>
    <n v="2"/>
    <s v="Ahmadu Bello University Teaching Hospital"/>
    <x v="2"/>
    <s v="Dr. Aisha Bello"/>
    <x v="4"/>
    <n v="10112.469999999999"/>
    <s v="Mesalazine"/>
    <n v="3"/>
    <n v="141"/>
    <n v="33.700000000000003"/>
    <s v="Normal"/>
    <x v="0"/>
  </r>
  <r>
    <x v="731"/>
    <s v="Uche Brown"/>
    <n v="74"/>
    <x v="4"/>
    <x v="0"/>
    <s v="A+"/>
    <x v="7"/>
    <x v="1"/>
    <x v="617"/>
    <d v="2024-05-09T00:00:00"/>
    <n v="3"/>
    <s v="Bowen University Teaching Hospital"/>
    <x v="1"/>
    <s v="Dr. Sarah Adeyemi"/>
    <x v="1"/>
    <n v="36548.879999999997"/>
    <s v="Calcium"/>
    <n v="4"/>
    <n v="137"/>
    <m/>
    <s v="Normal"/>
    <x v="0"/>
  </r>
  <r>
    <x v="732"/>
    <s v="Chioma Obi"/>
    <n v="63"/>
    <x v="3"/>
    <x v="1"/>
    <s v="A+"/>
    <x v="2"/>
    <x v="0"/>
    <x v="214"/>
    <d v="2024-12-30T00:00:00"/>
    <n v="8"/>
    <s v="Bowen University Teaching Hospital"/>
    <x v="1"/>
    <s v="Dr. Rotimi Fashola"/>
    <x v="2"/>
    <n v="74319.259999999995"/>
    <s v="Aspirin"/>
    <n v="8"/>
    <n v="302"/>
    <n v="29.6"/>
    <s v="Normal"/>
    <x v="0"/>
  </r>
  <r>
    <x v="733"/>
    <s v="Chioma Moore"/>
    <n v="85"/>
    <x v="1"/>
    <x v="1"/>
    <s v="B+"/>
    <x v="5"/>
    <x v="1"/>
    <x v="322"/>
    <d v="2024-12-26T00:00:00"/>
    <n v="6"/>
    <s v="Lagos University Teaching Hospital"/>
    <x v="1"/>
    <s v="Dr. Fatima Al-Hassan"/>
    <x v="4"/>
    <n v="45628.35"/>
    <s v="Warfarin"/>
    <n v="10"/>
    <n v="117"/>
    <n v="31.2"/>
    <s v="Abnormal"/>
    <x v="1"/>
  </r>
  <r>
    <x v="734"/>
    <s v="Stella Dauda"/>
    <n v="84"/>
    <x v="1"/>
    <x v="1"/>
    <s v="O+"/>
    <x v="5"/>
    <x v="0"/>
    <x v="179"/>
    <d v="2023-02-27T00:00:00"/>
    <n v="13"/>
    <s v="National Hospital Abuja"/>
    <x v="4"/>
    <s v="Dr. Fatima Al-Hassan"/>
    <x v="2"/>
    <n v="62527.48"/>
    <s v="Aspirin"/>
    <n v="8"/>
    <n v="395"/>
    <n v="35.4"/>
    <s v="Abnormal"/>
    <x v="1"/>
  </r>
  <r>
    <x v="735"/>
    <s v="Mary Wilson"/>
    <n v="86"/>
    <x v="1"/>
    <x v="1"/>
    <s v="O+"/>
    <x v="0"/>
    <x v="3"/>
    <x v="218"/>
    <m/>
    <m/>
    <s v="Federal Medical Centre Asaba"/>
    <x v="0"/>
    <s v="Dr. Grace Oduya"/>
    <x v="2"/>
    <n v="113381.79"/>
    <s v="Letrozole"/>
    <n v="8"/>
    <n v="387"/>
    <n v="24.4"/>
    <s v="Abnormal"/>
    <x v="1"/>
  </r>
  <r>
    <x v="736"/>
    <s v="Miriam Oni"/>
    <n v="48"/>
    <x v="5"/>
    <x v="1"/>
    <s v="O-"/>
    <x v="6"/>
    <x v="0"/>
    <x v="591"/>
    <m/>
    <m/>
    <s v="Lagos University Teaching Hospital"/>
    <x v="1"/>
    <s v="Dr. Ngozi Eze-Williams"/>
    <x v="1"/>
    <n v="29893.34"/>
    <s v="Ipratropium"/>
    <n v="7"/>
    <n v="340"/>
    <n v="34.4"/>
    <s v="Normal"/>
    <x v="0"/>
  </r>
  <r>
    <x v="737"/>
    <s v="Babatunde Ibrahim"/>
    <n v="65"/>
    <x v="4"/>
    <x v="0"/>
    <s v="B-"/>
    <x v="6"/>
    <x v="0"/>
    <x v="271"/>
    <d v="2019-01-25T00:00:00"/>
    <n v="5"/>
    <s v="Bowen University Teaching Hospital"/>
    <x v="1"/>
    <s v="Dr. Ngozi Eze-Williams"/>
    <x v="1"/>
    <n v="33784"/>
    <s v="Ipratropium"/>
    <n v="7"/>
    <n v="397"/>
    <n v="24"/>
    <s v="Normal"/>
    <x v="0"/>
  </r>
  <r>
    <x v="738"/>
    <s v="Ngozi Adeleke"/>
    <n v="42"/>
    <x v="5"/>
    <x v="1"/>
    <s v="A-"/>
    <x v="4"/>
    <x v="1"/>
    <x v="618"/>
    <d v="2021-12-20T00:00:00"/>
    <n v="2"/>
    <s v="University College Hospital Ibadan"/>
    <x v="1"/>
    <s v="Dr. Aisha Bello"/>
    <x v="4"/>
    <n v="6089.78"/>
    <s v="Mesalazine"/>
    <n v="2"/>
    <n v="105"/>
    <n v="24.8"/>
    <s v="Abnormal"/>
    <x v="0"/>
  </r>
  <r>
    <x v="739"/>
    <s v="Rukayat Igwe"/>
    <n v="56"/>
    <x v="3"/>
    <x v="1"/>
    <s v="AB-"/>
    <x v="0"/>
    <x v="1"/>
    <x v="619"/>
    <d v="2019-05-22T00:00:00"/>
    <n v="13"/>
    <s v="Bowen University Teaching Hospital"/>
    <x v="1"/>
    <s v="Dr. Babatunde Fashola"/>
    <x v="1"/>
    <n v="64226.71"/>
    <s v="Paclitaxel"/>
    <n v="12"/>
    <n v="192"/>
    <n v="26.8"/>
    <s v="Inconclusive"/>
    <x v="0"/>
  </r>
  <r>
    <x v="740"/>
    <s v="Ngozi Lawan"/>
    <n v="80"/>
    <x v="1"/>
    <x v="1"/>
    <s v="AB-"/>
    <x v="1"/>
    <x v="1"/>
    <x v="563"/>
    <d v="2020-10-19T00:00:00"/>
    <n v="3"/>
    <s v="National Hospital Abuja"/>
    <x v="4"/>
    <s v="Dr. Chioma Nwankwo"/>
    <x v="1"/>
    <n v="26934.84"/>
    <s v="Linagliptin"/>
    <n v="8"/>
    <n v="169"/>
    <n v="28.1"/>
    <s v="Inconclusive"/>
    <x v="0"/>
  </r>
  <r>
    <x v="741"/>
    <s v="Amaka Usman"/>
    <n v="58"/>
    <x v="3"/>
    <x v="1"/>
    <s v="B-"/>
    <x v="7"/>
    <x v="2"/>
    <x v="620"/>
    <d v="2024-12-20T00:00:00"/>
    <n v="7"/>
    <s v="Ahmadu Bello University Teaching Hospital"/>
    <x v="2"/>
    <s v="Dr. Chukwuemeka Nwosu"/>
    <x v="0"/>
    <n v="26991.49"/>
    <s v="Enoxaparin"/>
    <n v="6"/>
    <n v="167"/>
    <n v="22.5"/>
    <s v="Abnormal"/>
    <x v="0"/>
  </r>
  <r>
    <x v="742"/>
    <s v="Femi Okonkwo"/>
    <n v="66"/>
    <x v="4"/>
    <x v="0"/>
    <s v="A-"/>
    <x v="1"/>
    <x v="0"/>
    <x v="621"/>
    <d v="2021-04-17T00:00:00"/>
    <n v="6"/>
    <s v="Federal Medical Centre Owerri"/>
    <x v="3"/>
    <s v="Dr. Taiwo Adeleke"/>
    <x v="1"/>
    <n v="40039.49"/>
    <s v="Liraglutide"/>
    <n v="7"/>
    <n v="409"/>
    <n v="31.4"/>
    <s v="Abnormal"/>
    <x v="0"/>
  </r>
  <r>
    <x v="743"/>
    <s v="Rebecca Lawal"/>
    <n v="81"/>
    <x v="1"/>
    <x v="1"/>
    <s v="A-"/>
    <x v="2"/>
    <x v="0"/>
    <x v="622"/>
    <d v="2024-01-09T00:00:00"/>
    <n v="8"/>
    <s v="University College Hospital Ibadan"/>
    <x v="1"/>
    <s v="Dr. Zainab Sule"/>
    <x v="1"/>
    <n v="47299.85"/>
    <s v="Topiramate"/>
    <n v="9"/>
    <n v="317"/>
    <n v="20"/>
    <s v="Abnormal"/>
    <x v="0"/>
  </r>
  <r>
    <x v="744"/>
    <s v="Halima Adebayo"/>
    <n v="64"/>
    <x v="3"/>
    <x v="1"/>
    <s v=""/>
    <x v="1"/>
    <x v="0"/>
    <x v="89"/>
    <d v="2021-02-01T00:00:00"/>
    <n v="5"/>
    <s v="Lagos University Teaching Hospital"/>
    <x v="1"/>
    <s v="Dr. Chioma Nwankwo"/>
    <x v="0"/>
    <n v="19750"/>
    <s v="Linagliptin"/>
    <n v="8"/>
    <n v="205"/>
    <n v="27.4"/>
    <s v="Abnormal"/>
    <x v="0"/>
  </r>
  <r>
    <x v="745"/>
    <s v="Nneka Chukwu"/>
    <n v="73"/>
    <x v="4"/>
    <x v="1"/>
    <s v="O-"/>
    <x v="6"/>
    <x v="2"/>
    <x v="623"/>
    <d v="2024-01-10T00:00:00"/>
    <n v="7"/>
    <s v="University of Calabar Teaching Hospital"/>
    <x v="0"/>
    <s v="Dr. Ngozi Eze-Williams"/>
    <x v="4"/>
    <n v="16880.37"/>
    <s v="Montelukast"/>
    <n v="7"/>
    <n v="200"/>
    <n v="29.5"/>
    <s v="Normal"/>
    <x v="1"/>
  </r>
  <r>
    <x v="746"/>
    <s v="Chukwuemeka Chukwu"/>
    <n v="48"/>
    <x v="5"/>
    <x v="0"/>
    <s v="AB+"/>
    <x v="6"/>
    <x v="2"/>
    <x v="624"/>
    <d v="2019-02-25T00:00:00"/>
    <n v="4"/>
    <s v="National Hospital Abuja"/>
    <x v="4"/>
    <s v="Dr. Yusuf Danjuma"/>
    <x v="1"/>
    <n v="17756.080000000002"/>
    <s v="Salbutamol"/>
    <n v="4"/>
    <n v="434"/>
    <n v="33.700000000000003"/>
    <s v="Normal"/>
    <x v="0"/>
  </r>
  <r>
    <x v="747"/>
    <s v="Tunde Brown"/>
    <n v="63"/>
    <x v="3"/>
    <x v="0"/>
    <s v="O+"/>
    <x v="5"/>
    <x v="0"/>
    <x v="625"/>
    <d v="2023-10-02T00:00:00"/>
    <n v="14"/>
    <s v="Federal Medical Centre Birnin Kebbi"/>
    <x v="2"/>
    <s v="Dr. Emeka Okorie"/>
    <x v="0"/>
    <n v="36176"/>
    <s v="Warfarin"/>
    <n v="8"/>
    <n v="345"/>
    <n v="32.9"/>
    <s v="Abnormal"/>
    <x v="0"/>
  </r>
  <r>
    <x v="748"/>
    <s v="Ngozi Adebayo"/>
    <n v="89"/>
    <x v="1"/>
    <x v="1"/>
    <s v=""/>
    <x v="2"/>
    <x v="2"/>
    <x v="626"/>
    <d v="2024-11-27T00:00:00"/>
    <n v="8"/>
    <s v="Ahmadu Bello University Teaching Hospital"/>
    <x v="2"/>
    <s v="Dr. Olumide Abiodun"/>
    <x v="4"/>
    <n v="50570.77"/>
    <s v="Phenytoin"/>
    <n v="9"/>
    <n v="136"/>
    <n v="28.1"/>
    <s v="Abnormal"/>
    <x v="0"/>
  </r>
  <r>
    <x v="749"/>
    <s v="Uche Lawan"/>
    <n v="66"/>
    <x v="4"/>
    <x v="0"/>
    <s v="AB+"/>
    <x v="6"/>
    <x v="0"/>
    <x v="627"/>
    <d v="2023-04-09T00:00:00"/>
    <n v="5"/>
    <s v="Federal Medical Centre Birnin Kebbi"/>
    <x v="2"/>
    <s v="Dr. Halima Usman"/>
    <x v="4"/>
    <n v="32206.6"/>
    <s v="Montelukast"/>
    <n v="7"/>
    <n v="387"/>
    <m/>
    <s v="Abnormal"/>
    <x v="0"/>
  </r>
  <r>
    <x v="750"/>
    <s v="Segun Danjuma"/>
    <n v="86"/>
    <x v="1"/>
    <x v="0"/>
    <s v="O+"/>
    <x v="5"/>
    <x v="0"/>
    <x v="628"/>
    <d v="2023-11-19T00:00:00"/>
    <n v="11"/>
    <s v="Federal Medical Centre Birnin Kebbi"/>
    <x v="2"/>
    <s v="Dr. Emeka Okorie"/>
    <x v="0"/>
    <n v="90715.67"/>
    <s v="Furosemide"/>
    <n v="10"/>
    <n v="357"/>
    <n v="37.5"/>
    <s v="Abnormal"/>
    <x v="0"/>
  </r>
  <r>
    <x v="751"/>
    <s v="Uche Brown"/>
    <n v="53"/>
    <x v="5"/>
    <x v="0"/>
    <s v="A-"/>
    <x v="1"/>
    <x v="2"/>
    <x v="44"/>
    <d v="2020-07-08T00:00:00"/>
    <n v="2"/>
    <s v="Federal Medical Centre Birnin Kebbi"/>
    <x v="2"/>
    <s v="Dr. Chioma Nwankwo"/>
    <x v="1"/>
    <n v="25691.31"/>
    <s v="Insulin Glargine"/>
    <n v="6"/>
    <n v="450"/>
    <m/>
    <s v="Inconclusive"/>
    <x v="0"/>
  </r>
  <r>
    <x v="752"/>
    <s v="Emeka Bankole"/>
    <n v="31"/>
    <x v="2"/>
    <x v="0"/>
    <s v="O+"/>
    <x v="4"/>
    <x v="0"/>
    <x v="629"/>
    <d v="2023-08-27T00:00:00"/>
    <n v="2"/>
    <s v="Bowen University Teaching Hospital"/>
    <x v="1"/>
    <s v="Dr. Nnamdi Okafor"/>
    <x v="2"/>
    <n v="15102.65"/>
    <s v="Metronidazole"/>
    <n v="4"/>
    <n v="457"/>
    <n v="20.100000000000001"/>
    <s v="Normal"/>
    <x v="0"/>
  </r>
  <r>
    <x v="753"/>
    <s v="Kayode Lawal"/>
    <n v="33"/>
    <x v="2"/>
    <x v="0"/>
    <s v="O+"/>
    <x v="5"/>
    <x v="2"/>
    <x v="28"/>
    <d v="2023-12-22T00:00:00"/>
    <n v="11"/>
    <s v="Ahmadu Bello University Teaching Hospital"/>
    <x v="2"/>
    <s v="Dr. Adewale Ogundimu"/>
    <x v="4"/>
    <n v="13066.81"/>
    <s v="Amlodipine"/>
    <n v="9"/>
    <n v="400"/>
    <n v="34.9"/>
    <s v="Normal"/>
    <x v="0"/>
  </r>
  <r>
    <x v="754"/>
    <s v="Nneka Danjuma"/>
    <n v="81"/>
    <x v="1"/>
    <x v="1"/>
    <s v="B-"/>
    <x v="4"/>
    <x v="0"/>
    <x v="630"/>
    <d v="2021-01-27T00:00:00"/>
    <n v="3"/>
    <s v="Bowen University Teaching Hospital"/>
    <x v="1"/>
    <s v="Dr. Nnamdi Okafor"/>
    <x v="0"/>
    <n v="35020.15"/>
    <s v="Mesalazine"/>
    <n v="5"/>
    <n v="162"/>
    <n v="31.3"/>
    <s v="Inconclusive"/>
    <x v="0"/>
  </r>
  <r>
    <x v="755"/>
    <s v="Chiamaka Abubakar"/>
    <n v="41"/>
    <x v="5"/>
    <x v="1"/>
    <s v="A+"/>
    <x v="6"/>
    <x v="1"/>
    <x v="631"/>
    <d v="2023-11-18T00:00:00"/>
    <n v="5"/>
    <s v="Bowen University Teaching Hospital"/>
    <x v="1"/>
    <s v="Dr. Ngozi Eze-Williams"/>
    <x v="4"/>
    <n v="14298.71"/>
    <s v="Ipratropium"/>
    <n v="6"/>
    <n v="178"/>
    <n v="23.5"/>
    <s v="Normal"/>
    <x v="0"/>
  </r>
  <r>
    <x v="756"/>
    <s v="Musa Osagie"/>
    <n v="68"/>
    <x v="4"/>
    <x v="0"/>
    <s v="A-"/>
    <x v="1"/>
    <x v="2"/>
    <x v="632"/>
    <d v="2024-04-16T00:00:00"/>
    <n v="5"/>
    <s v="National Hospital Abuja"/>
    <x v="4"/>
    <s v="Dr. Chioma Nwankwo"/>
    <x v="0"/>
    <n v="23661.94"/>
    <s v="Glibenclamide"/>
    <n v="8"/>
    <n v="469"/>
    <n v="23.7"/>
    <s v="Abnormal"/>
    <x v="0"/>
  </r>
  <r>
    <x v="757"/>
    <s v="Gbenga Okafor"/>
    <n v="42"/>
    <x v="5"/>
    <x v="0"/>
    <s v="A-"/>
    <x v="4"/>
    <x v="0"/>
    <x v="633"/>
    <d v="2020-11-25T00:00:00"/>
    <n v="6"/>
    <s v="University of Calabar Teaching Hospital"/>
    <x v="0"/>
    <s v="Dr. Segun Banke"/>
    <x v="0"/>
    <n v="18458.34"/>
    <s v="Omeprazole"/>
    <n v="5"/>
    <n v="363"/>
    <n v="17.8"/>
    <s v="Normal"/>
    <x v="0"/>
  </r>
  <r>
    <x v="758"/>
    <s v="Daniel Igwe"/>
    <n v="11"/>
    <x v="0"/>
    <x v="0"/>
    <s v="B-"/>
    <x v="3"/>
    <x v="1"/>
    <x v="634"/>
    <d v="2022-05-08T00:00:00"/>
    <n v="2"/>
    <s v="University of Calabar Teaching Hospital"/>
    <x v="0"/>
    <s v="Dr. Lanre Ogundele"/>
    <x v="1"/>
    <n v="20923.73"/>
    <s v="Metronidazole"/>
    <n v="6"/>
    <n v="178"/>
    <m/>
    <s v="Normal"/>
    <x v="0"/>
  </r>
  <r>
    <x v="759"/>
    <s v="Bashir Thompson"/>
    <n v="67"/>
    <x v="4"/>
    <x v="0"/>
    <s v="AB+"/>
    <x v="5"/>
    <x v="1"/>
    <x v="282"/>
    <d v="2022-11-26T00:00:00"/>
    <n v="4"/>
    <s v="Federal Medical Centre Birnin Kebbi"/>
    <x v="2"/>
    <s v="Dr. Fatima Al-Hassan"/>
    <x v="1"/>
    <n v="19991.330000000002"/>
    <s v="Spironolactone"/>
    <n v="7"/>
    <n v="119"/>
    <n v="27.2"/>
    <s v="Abnormal"/>
    <x v="0"/>
  </r>
  <r>
    <x v="760"/>
    <s v="Gbenga Anderson"/>
    <n v="48"/>
    <x v="5"/>
    <x v="0"/>
    <s v="AB-"/>
    <x v="1"/>
    <x v="0"/>
    <x v="516"/>
    <d v="2023-03-06T00:00:00"/>
    <n v="6"/>
    <s v="Federal Medical Centre Birnin Kebbi"/>
    <x v="2"/>
    <s v="Dr. Taiwo Adeleke"/>
    <x v="0"/>
    <n v="25526.65"/>
    <s v="Sitagliptin"/>
    <n v="6"/>
    <n v="237"/>
    <n v="24.4"/>
    <s v="Abnormal"/>
    <x v="0"/>
  </r>
  <r>
    <x v="761"/>
    <s v="Lydia Davis"/>
    <n v="52"/>
    <x v="5"/>
    <x v="1"/>
    <s v=""/>
    <x v="4"/>
    <x v="1"/>
    <x v="635"/>
    <d v="2019-02-05T00:00:00"/>
    <n v="2"/>
    <s v="Federal Medical Centre Birnin Kebbi"/>
    <x v="2"/>
    <s v="Dr. Segun Banke"/>
    <x v="0"/>
    <n v="12854.66"/>
    <s v="Mesalazine"/>
    <n v="5"/>
    <n v="175"/>
    <n v="27.9"/>
    <s v="Normal"/>
    <x v="1"/>
  </r>
  <r>
    <x v="762"/>
    <s v="Adenike Taylor"/>
    <n v="84"/>
    <x v="1"/>
    <x v="1"/>
    <s v="AB+"/>
    <x v="1"/>
    <x v="1"/>
    <x v="636"/>
    <d v="2021-11-28T00:00:00"/>
    <n v="5"/>
    <s v="Federal Medical Centre Asaba"/>
    <x v="0"/>
    <s v="Dr. Chioma Nwankwo"/>
    <x v="4"/>
    <n v="24161"/>
    <s v="Sitagliptin"/>
    <n v="8"/>
    <n v="157"/>
    <n v="45.7"/>
    <s v="Abnormal"/>
    <x v="0"/>
  </r>
  <r>
    <x v="763"/>
    <s v="Chioma Oni"/>
    <n v="65"/>
    <x v="4"/>
    <x v="1"/>
    <s v="AB-"/>
    <x v="1"/>
    <x v="1"/>
    <x v="637"/>
    <d v="2022-04-17T00:00:00"/>
    <n v="4"/>
    <s v="Federal Medical Centre Asaba"/>
    <x v="0"/>
    <s v="Dr. Ibrahim Musa"/>
    <x v="3"/>
    <n v="37794.21"/>
    <s v="Linagliptin"/>
    <n v="8"/>
    <n v="182"/>
    <n v="30.5"/>
    <s v="Abnormal"/>
    <x v="0"/>
  </r>
  <r>
    <x v="764"/>
    <s v="Oluwaseun Obi"/>
    <n v="90"/>
    <x v="1"/>
    <x v="0"/>
    <s v="O-"/>
    <x v="0"/>
    <x v="1"/>
    <x v="638"/>
    <d v="2024-04-29T00:00:00"/>
    <n v="14"/>
    <s v="Federal Medical Centre Owerri"/>
    <x v="3"/>
    <s v="Dr. Amara Osei"/>
    <x v="2"/>
    <n v="64580"/>
    <s v="Carboplatin"/>
    <n v="12"/>
    <n v="138"/>
    <n v="22.7"/>
    <s v="Inconclusive"/>
    <x v="0"/>
  </r>
  <r>
    <x v="765"/>
    <s v="Sarah Williams"/>
    <n v="44"/>
    <x v="5"/>
    <x v="1"/>
    <s v="O-"/>
    <x v="2"/>
    <x v="0"/>
    <x v="639"/>
    <d v="2019-12-30T00:00:00"/>
    <n v="17"/>
    <s v="Federal Medical Centre Asaba"/>
    <x v="0"/>
    <s v="Dr. Rotimi Fashola"/>
    <x v="0"/>
    <n v="48799.41"/>
    <s v="Memantine"/>
    <n v="9"/>
    <n v="348"/>
    <n v="26.2"/>
    <s v="Normal"/>
    <x v="0"/>
  </r>
  <r>
    <x v="766"/>
    <s v="Hauwa Sule"/>
    <n v="41"/>
    <x v="5"/>
    <x v="1"/>
    <s v="A-"/>
    <x v="6"/>
    <x v="0"/>
    <x v="205"/>
    <d v="2023-04-11T00:00:00"/>
    <n v="15"/>
    <s v="Federal Medical Centre Owerri"/>
    <x v="3"/>
    <s v="Dr. Halima Usman"/>
    <x v="0"/>
    <n v="17759.84"/>
    <s v="Tiotropium"/>
    <n v="7"/>
    <n v="335"/>
    <n v="28.1"/>
    <s v="Abnormal"/>
    <x v="0"/>
  </r>
  <r>
    <x v="767"/>
    <s v="James Hassan"/>
    <n v="57"/>
    <x v="3"/>
    <x v="0"/>
    <s v="AB-"/>
    <x v="5"/>
    <x v="0"/>
    <x v="277"/>
    <d v="2024-07-07T00:00:00"/>
    <n v="14"/>
    <s v="Lagos University Teaching Hospital"/>
    <x v="1"/>
    <s v="Dr. Emeka Okorie"/>
    <x v="4"/>
    <n v="82222.13"/>
    <s v="Furosemide"/>
    <n v="10"/>
    <n v="332"/>
    <n v="35.299999999999997"/>
    <s v="Inconclusive"/>
    <x v="0"/>
  </r>
  <r>
    <x v="768"/>
    <s v="Joseph Okonkwo"/>
    <n v="62"/>
    <x v="3"/>
    <x v="0"/>
    <s v="AB+"/>
    <x v="2"/>
    <x v="0"/>
    <x v="640"/>
    <d v="2022-12-29T00:00:00"/>
    <n v="6"/>
    <s v="University College Hospital Ibadan"/>
    <x v="1"/>
    <s v="Dr. Zainab Sule"/>
    <x v="0"/>
    <n v="116736.87"/>
    <s v="Clopidogrel"/>
    <n v="9"/>
    <n v="347"/>
    <m/>
    <s v="Abnormal"/>
    <x v="0"/>
  </r>
  <r>
    <x v="769"/>
    <s v="Femi Moore"/>
    <n v="70"/>
    <x v="4"/>
    <x v="0"/>
    <s v="AB-"/>
    <x v="7"/>
    <x v="2"/>
    <x v="641"/>
    <d v="2020-06-23T00:00:00"/>
    <n v="6"/>
    <s v="Bowen University Teaching Hospital"/>
    <x v="1"/>
    <s v="Dr. Musa Aliyu"/>
    <x v="0"/>
    <n v="18815.7"/>
    <s v="Ibuprofen"/>
    <n v="4"/>
    <n v="140"/>
    <n v="25.8"/>
    <s v="Normal"/>
    <x v="0"/>
  </r>
  <r>
    <x v="770"/>
    <s v="Halima Williams"/>
    <n v="60"/>
    <x v="3"/>
    <x v="1"/>
    <s v="O+"/>
    <x v="0"/>
    <x v="1"/>
    <x v="642"/>
    <d v="2022-02-16T00:00:00"/>
    <n v="9"/>
    <s v="Bowen University Teaching Hospital"/>
    <x v="1"/>
    <s v="Dr. Amara Osei"/>
    <x v="4"/>
    <n v="16668.64"/>
    <s v="Tamoxifen"/>
    <n v="10"/>
    <n v="102"/>
    <n v="21.6"/>
    <s v="Abnormal"/>
    <x v="1"/>
  </r>
  <r>
    <x v="771"/>
    <s v="Yusuf Adeleke"/>
    <n v="70"/>
    <x v="4"/>
    <x v="0"/>
    <s v="AB+"/>
    <x v="6"/>
    <x v="1"/>
    <x v="643"/>
    <d v="2021-12-01T00:00:00"/>
    <n v="3"/>
    <s v="Ahmadu Bello University Teaching Hospital"/>
    <x v="2"/>
    <s v="Dr. Yusuf Danjuma"/>
    <x v="1"/>
    <n v="18277.25"/>
    <s v="Salbutamol"/>
    <n v="6"/>
    <n v="127"/>
    <n v="30.6"/>
    <s v="Abnormal"/>
    <x v="0"/>
  </r>
  <r>
    <x v="772"/>
    <s v="Gbenga Bello"/>
    <n v="57"/>
    <x v="3"/>
    <x v="0"/>
    <s v="A-"/>
    <x v="7"/>
    <x v="1"/>
    <x v="541"/>
    <d v="2019-03-12T00:00:00"/>
    <n v="2"/>
    <s v="Lagos University Teaching Hospital"/>
    <x v="1"/>
    <s v="Dr. Chukwuemeka Nwosu"/>
    <x v="0"/>
    <n v="23077.599999999999"/>
    <s v="Celecoxib"/>
    <n v="2"/>
    <n v="109"/>
    <n v="31.7"/>
    <s v="Normal"/>
    <x v="0"/>
  </r>
  <r>
    <x v="773"/>
    <s v="Rachel Nwosu"/>
    <n v="48"/>
    <x v="5"/>
    <x v="1"/>
    <s v="O+"/>
    <x v="1"/>
    <x v="1"/>
    <x v="112"/>
    <d v="2020-11-20T00:00:00"/>
    <n v="2"/>
    <s v="Federal Medical Centre Birnin Kebbi"/>
    <x v="2"/>
    <s v="Dr. Chioma Nwankwo"/>
    <x v="3"/>
    <n v="13946.82"/>
    <s v="Insulin Glargine"/>
    <n v="8"/>
    <n v="114"/>
    <n v="23.7"/>
    <s v="Inconclusive"/>
    <x v="0"/>
  </r>
  <r>
    <x v="774"/>
    <s v="Gbenga Oni"/>
    <n v="38"/>
    <x v="5"/>
    <x v="0"/>
    <s v="A-"/>
    <x v="5"/>
    <x v="1"/>
    <x v="644"/>
    <d v="2021-03-21T00:00:00"/>
    <n v="7"/>
    <s v="Federal Medical Centre Birnin Kebbi"/>
    <x v="2"/>
    <s v="Dr. Fatima Al-Hassan"/>
    <x v="0"/>
    <n v="15543.39"/>
    <s v="Digoxin"/>
    <n v="10"/>
    <n v="160"/>
    <n v="31"/>
    <s v="Normal"/>
    <x v="0"/>
  </r>
  <r>
    <x v="775"/>
    <s v="Femi Moore"/>
    <n v="58"/>
    <x v="3"/>
    <x v="0"/>
    <s v="O+"/>
    <x v="6"/>
    <x v="0"/>
    <x v="645"/>
    <d v="2021-10-13T00:00:00"/>
    <n v="3"/>
    <s v="Ahmadu Bello University Teaching Hospital"/>
    <x v="2"/>
    <s v="Dr. Halima Usman"/>
    <x v="2"/>
    <n v="67717.03"/>
    <s v="Ipratropium"/>
    <n v="6"/>
    <n v="341"/>
    <n v="25"/>
    <s v="Abnormal"/>
    <x v="0"/>
  </r>
  <r>
    <x v="776"/>
    <s v="Michael Davis"/>
    <n v="53"/>
    <x v="5"/>
    <x v="0"/>
    <s v="B+"/>
    <x v="7"/>
    <x v="1"/>
    <x v="646"/>
    <d v="2019-12-07T00:00:00"/>
    <n v="4"/>
    <s v="Federal Medical Centre Birnin Kebbi"/>
    <x v="2"/>
    <s v="Dr. Musa Aliyu"/>
    <x v="0"/>
    <n v="34590.89"/>
    <s v="Tramadol"/>
    <n v="5"/>
    <n v="181"/>
    <n v="27.3"/>
    <s v="Normal"/>
    <x v="0"/>
  </r>
  <r>
    <x v="777"/>
    <s v="Bashir Danjuma"/>
    <n v="74"/>
    <x v="4"/>
    <x v="0"/>
    <s v="O-"/>
    <x v="5"/>
    <x v="1"/>
    <x v="647"/>
    <d v="2019-01-23T00:00:00"/>
    <n v="7"/>
    <s v="Ahmadu Bello University Teaching Hospital"/>
    <x v="2"/>
    <s v="Dr. Emeka Okorie"/>
    <x v="1"/>
    <n v="60729.18"/>
    <s v="Digoxin"/>
    <n v="10"/>
    <n v="171"/>
    <n v="31.2"/>
    <s v="Inconclusive"/>
    <x v="0"/>
  </r>
  <r>
    <x v="778"/>
    <s v="Peter Moore"/>
    <n v="55"/>
    <x v="3"/>
    <x v="0"/>
    <s v="AB-"/>
    <x v="5"/>
    <x v="0"/>
    <x v="648"/>
    <d v="2019-07-04T00:00:00"/>
    <n v="5"/>
    <s v="University College Hospital Ibadan"/>
    <x v="1"/>
    <s v="Dr. Fatima Al-Hassan"/>
    <x v="3"/>
    <n v="93992.11"/>
    <s v="Spironolactone"/>
    <n v="10"/>
    <n v="304"/>
    <n v="26.6"/>
    <s v="Inconclusive"/>
    <x v="1"/>
  </r>
  <r>
    <x v="779"/>
    <s v="Deborah Ajala"/>
    <n v="68"/>
    <x v="4"/>
    <x v="1"/>
    <s v="B+"/>
    <x v="6"/>
    <x v="0"/>
    <x v="649"/>
    <d v="2021-04-09T00:00:00"/>
    <n v="4"/>
    <s v="University of Calabar Teaching Hospital"/>
    <x v="0"/>
    <s v="Dr. Halima Usman"/>
    <x v="4"/>
    <n v="27405.29"/>
    <s v="Salbutamol"/>
    <n v="7"/>
    <n v="375"/>
    <n v="26.3"/>
    <s v="Inconclusive"/>
    <x v="0"/>
  </r>
  <r>
    <x v="780"/>
    <s v="Babatunde Aliyu"/>
    <n v="65"/>
    <x v="4"/>
    <x v="0"/>
    <s v="A-"/>
    <x v="5"/>
    <x v="1"/>
    <x v="219"/>
    <d v="2021-10-17T00:00:00"/>
    <n v="13"/>
    <s v="Federal Medical Centre Owerri"/>
    <x v="3"/>
    <s v="Dr. Emeka Okorie"/>
    <x v="2"/>
    <n v="69213.06"/>
    <s v="Metoprolol"/>
    <n v="9"/>
    <n v="181"/>
    <n v="23.4"/>
    <s v="Inconclusive"/>
    <x v="0"/>
  </r>
  <r>
    <x v="781"/>
    <s v="Nnamdi Lawan"/>
    <n v="72"/>
    <x v="4"/>
    <x v="0"/>
    <s v="A-"/>
    <x v="5"/>
    <x v="1"/>
    <x v="650"/>
    <d v="2022-09-26T00:00:00"/>
    <n v="6"/>
    <s v="Federal Medical Centre Asaba"/>
    <x v="0"/>
    <s v="Dr. Adewale Ogundimu"/>
    <x v="2"/>
    <n v="104936.59"/>
    <s v="Atorvastatin"/>
    <n v="10"/>
    <n v="126"/>
    <n v="24.9"/>
    <s v="Abnormal"/>
    <x v="0"/>
  </r>
  <r>
    <x v="782"/>
    <s v="Michael Wilson"/>
    <n v="71"/>
    <x v="4"/>
    <x v="0"/>
    <s v="B+"/>
    <x v="1"/>
    <x v="1"/>
    <x v="651"/>
    <d v="2021-06-18T00:00:00"/>
    <n v="3"/>
    <s v="Lagos University Teaching Hospital"/>
    <x v="1"/>
    <s v="Dr. Chioma Nwankwo"/>
    <x v="1"/>
    <n v="17654.48"/>
    <s v="Empagliflozin"/>
    <n v="8"/>
    <n v="179"/>
    <n v="38.700000000000003"/>
    <s v="Abnormal"/>
    <x v="0"/>
  </r>
  <r>
    <x v="783"/>
    <s v="Tolulope Ajala"/>
    <n v="77"/>
    <x v="1"/>
    <x v="1"/>
    <s v="O+"/>
    <x v="6"/>
    <x v="0"/>
    <x v="101"/>
    <d v="2020-08-05T00:00:00"/>
    <n v="11"/>
    <s v="University College Hospital Ibadan"/>
    <x v="1"/>
    <s v="Dr. Ngozi Eze-Williams"/>
    <x v="4"/>
    <n v="27804.22"/>
    <s v="Azithromycin"/>
    <n v="7"/>
    <n v="354"/>
    <n v="25.2"/>
    <s v="Normal"/>
    <x v="0"/>
  </r>
  <r>
    <x v="784"/>
    <s v="Zainab Eze"/>
    <n v="86"/>
    <x v="1"/>
    <x v="1"/>
    <s v="AB+"/>
    <x v="5"/>
    <x v="0"/>
    <x v="66"/>
    <d v="2024-05-12T00:00:00"/>
    <n v="11"/>
    <s v="Federal Medical Centre Asaba"/>
    <x v="0"/>
    <s v="Fatima Al-Hassan"/>
    <x v="2"/>
    <n v="261626.03"/>
    <s v="Spironolactone"/>
    <n v="10"/>
    <n v="310"/>
    <n v="22.3"/>
    <s v="Abnormal"/>
    <x v="1"/>
  </r>
  <r>
    <x v="785"/>
    <s v="Adaeze Ibrahim"/>
    <n v="68"/>
    <x v="4"/>
    <x v="1"/>
    <s v="O+"/>
    <x v="6"/>
    <x v="0"/>
    <x v="652"/>
    <d v="2024-03-12T00:00:00"/>
    <n v="5"/>
    <s v="Bowen University Teaching Hospital"/>
    <x v="1"/>
    <s v="Dr. Yusuf Danjuma"/>
    <x v="2"/>
    <n v="32462.61"/>
    <s v="Tiotropium"/>
    <n v="7"/>
    <n v="363"/>
    <n v="30.5"/>
    <s v="Inconclusive"/>
    <x v="0"/>
  </r>
  <r>
    <x v="786"/>
    <s v="Chioma Fashola"/>
    <n v="69"/>
    <x v="4"/>
    <x v="1"/>
    <s v="AB-"/>
    <x v="6"/>
    <x v="0"/>
    <x v="172"/>
    <d v="2020-09-29T00:00:00"/>
    <n v="9"/>
    <s v="University College Hospital Ibadan"/>
    <x v="1"/>
    <s v="Dr. Yusuf Danjuma"/>
    <x v="1"/>
    <n v="108908.84"/>
    <s v="Theophylline"/>
    <n v="7"/>
    <n v="320"/>
    <n v="34.1"/>
    <s v="Abnormal"/>
    <x v="1"/>
  </r>
  <r>
    <x v="787"/>
    <s v="James Okafor"/>
    <n v="63"/>
    <x v="3"/>
    <x v="0"/>
    <s v="AB+"/>
    <x v="0"/>
    <x v="2"/>
    <x v="653"/>
    <d v="2019-12-31T00:00:00"/>
    <n v="28"/>
    <s v="Federal Medical Centre Birnin Kebbi"/>
    <x v="2"/>
    <s v="Dr. Amara Osei"/>
    <x v="1"/>
    <n v="177203"/>
    <s v="Dexamethasone"/>
    <n v="10"/>
    <n v="444"/>
    <n v="23.6"/>
    <s v="Abnormal"/>
    <x v="0"/>
  </r>
  <r>
    <x v="788"/>
    <s v="Femi Taylor"/>
    <n v="68"/>
    <x v="4"/>
    <x v="0"/>
    <s v="B+"/>
    <x v="5"/>
    <x v="0"/>
    <x v="146"/>
    <d v="2019-11-06T00:00:00"/>
    <n v="11"/>
    <s v="Federal Medical Centre Owerri"/>
    <x v="3"/>
    <s v="Fatima Al-Hassan"/>
    <x v="4"/>
    <n v="105908.1"/>
    <s v="Amiodarone"/>
    <n v="10"/>
    <n v="374"/>
    <n v="39.700000000000003"/>
    <s v="Abnormal"/>
    <x v="0"/>
  </r>
  <r>
    <x v="789"/>
    <s v="Tunde Igwe"/>
    <n v="82"/>
    <x v="1"/>
    <x v="0"/>
    <s v="AB-"/>
    <x v="1"/>
    <x v="0"/>
    <x v="654"/>
    <d v="2019-07-22T00:00:00"/>
    <n v="7"/>
    <s v="Federal Medical Centre Birnin Kebbi"/>
    <x v="2"/>
    <s v="Dr. Chioma Nwankwo"/>
    <x v="4"/>
    <n v="40371.040000000001"/>
    <s v="Sitagliptin"/>
    <n v="6"/>
    <n v="272"/>
    <n v="19.7"/>
    <s v="Normal"/>
    <x v="0"/>
  </r>
  <r>
    <x v="790"/>
    <s v="James Oni"/>
    <n v="72"/>
    <x v="4"/>
    <x v="0"/>
    <s v="O+"/>
    <x v="0"/>
    <x v="1"/>
    <x v="649"/>
    <m/>
    <m/>
    <s v="Bowen University Teaching Hospital"/>
    <x v="1"/>
    <s v="Dr. Amara Osei"/>
    <x v="4"/>
    <n v="119739.11"/>
    <s v="Methotrexate"/>
    <n v="12"/>
    <n v="167"/>
    <n v="24.7"/>
    <s v="Abnormal"/>
    <x v="0"/>
  </r>
  <r>
    <x v="791"/>
    <s v="Biodun Moore"/>
    <n v="71"/>
    <x v="4"/>
    <x v="0"/>
    <s v="AB+"/>
    <x v="0"/>
    <x v="1"/>
    <x v="655"/>
    <d v="2021-11-05T00:00:00"/>
    <n v="9"/>
    <s v="Federal Medical Centre Owerri"/>
    <x v="3"/>
    <s v="Dr. Babatunde Fashola"/>
    <x v="4"/>
    <n v="55329.120000000003"/>
    <s v="Trastuzumab"/>
    <n v="10"/>
    <n v="173"/>
    <n v="22.7"/>
    <s v="Normal"/>
    <x v="0"/>
  </r>
  <r>
    <x v="792"/>
    <s v="Samuel Adeyemi"/>
    <n v="61"/>
    <x v="3"/>
    <x v="0"/>
    <s v="A-"/>
    <x v="1"/>
    <x v="1"/>
    <x v="656"/>
    <d v="2019-05-14T00:00:00"/>
    <n v="6"/>
    <s v="Federal Medical Centre Asaba"/>
    <x v="0"/>
    <s v="Dr. Chioma Nwankwo"/>
    <x v="0"/>
    <n v="11396.68"/>
    <s v="Metformin"/>
    <n v="8"/>
    <n v="119"/>
    <n v="18"/>
    <s v="Abnormal"/>
    <x v="0"/>
  </r>
  <r>
    <x v="793"/>
    <s v="James Anderson"/>
    <n v="74"/>
    <x v="4"/>
    <x v="0"/>
    <s v="A-"/>
    <x v="2"/>
    <x v="0"/>
    <x v="122"/>
    <d v="2023-01-09T00:00:00"/>
    <n v="11"/>
    <s v="Ahmadu Bello University Teaching Hospital"/>
    <x v="2"/>
    <s v="Dr. Olumide Abiodun"/>
    <x v="2"/>
    <n v="81043.48"/>
    <s v="Donepezil"/>
    <n v="9"/>
    <n v="377"/>
    <n v="24.8"/>
    <s v="Inconclusive"/>
    <x v="0"/>
  </r>
  <r>
    <x v="794"/>
    <s v="Bukola Abubakar"/>
    <n v="82"/>
    <x v="1"/>
    <x v="1"/>
    <s v="B+"/>
    <x v="0"/>
    <x v="2"/>
    <x v="657"/>
    <d v="2022-01-14T00:00:00"/>
    <n v="12"/>
    <s v="Federal Medical Centre Birnin Kebbi"/>
    <x v="2"/>
    <s v="Dr. Babatunde Fashola"/>
    <x v="4"/>
    <n v="55369.22"/>
    <s v="Rituximab"/>
    <n v="9"/>
    <n v="442"/>
    <m/>
    <s v="Abnormal"/>
    <x v="0"/>
  </r>
  <r>
    <x v="795"/>
    <s v="Peter Ajala"/>
    <n v="37"/>
    <x v="5"/>
    <x v="0"/>
    <s v="B+"/>
    <x v="0"/>
    <x v="1"/>
    <x v="644"/>
    <d v="2021-03-29T00:00:00"/>
    <n v="15"/>
    <s v="Federal Medical Centre Birnin Kebbi"/>
    <x v="2"/>
    <s v="Dr. Grace Oduya"/>
    <x v="0"/>
    <n v="48000.58"/>
    <s v="Letrozole"/>
    <n v="9"/>
    <n v="139"/>
    <n v="30.8"/>
    <s v="Abnormal"/>
    <x v="0"/>
  </r>
  <r>
    <x v="796"/>
    <s v="Chukwudi Martin"/>
    <n v="69"/>
    <x v="4"/>
    <x v="0"/>
    <s v="O+"/>
    <x v="3"/>
    <x v="1"/>
    <x v="573"/>
    <d v="2019-11-15T00:00:00"/>
    <n v="6"/>
    <s v="Bowen University Teaching Hospital"/>
    <x v="1"/>
    <s v="Dr. Kemi Adeyemi"/>
    <x v="1"/>
    <n v="42006.67"/>
    <s v="Enoxaparin"/>
    <n v="3"/>
    <n v="168"/>
    <n v="21"/>
    <s v="Normal"/>
    <x v="0"/>
  </r>
  <r>
    <x v="797"/>
    <s v="Yusuf Sule"/>
    <n v="57"/>
    <x v="3"/>
    <x v="0"/>
    <s v="A+"/>
    <x v="5"/>
    <x v="2"/>
    <x v="523"/>
    <d v="2020-08-04T00:00:00"/>
    <n v="8"/>
    <s v="Ahmadu Bello University Teaching Hospital"/>
    <x v="2"/>
    <s v="Dr. Fatima Al-Hassan"/>
    <x v="0"/>
    <n v="39088.19"/>
    <s v="Furosemide"/>
    <n v="10"/>
    <n v="322"/>
    <n v="26.5"/>
    <s v="Abnormal"/>
    <x v="0"/>
  </r>
  <r>
    <x v="798"/>
    <s v="Michael Moore"/>
    <n v="70"/>
    <x v="4"/>
    <x v="0"/>
    <s v="O+"/>
    <x v="6"/>
    <x v="0"/>
    <x v="658"/>
    <d v="2023-11-25T00:00:00"/>
    <n v="8"/>
    <s v="National Hospital Abuja"/>
    <x v="4"/>
    <s v="Dr. Yusuf Danjuma"/>
    <x v="1"/>
    <n v="55198.44"/>
    <s v="Ipratropium"/>
    <n v="7"/>
    <n v="375"/>
    <n v="25.8"/>
    <s v="Normal"/>
    <x v="0"/>
  </r>
  <r>
    <x v="799"/>
    <s v="Mariam Sule"/>
    <n v="74"/>
    <x v="4"/>
    <x v="1"/>
    <s v="B+"/>
    <x v="4"/>
    <x v="1"/>
    <x v="659"/>
    <d v="2024-06-19T00:00:00"/>
    <n v="4"/>
    <s v="Federal Medical Centre Birnin Kebbi"/>
    <x v="2"/>
    <s v="Dr. Aisha Bello"/>
    <x v="0"/>
    <n v="16436.740000000002"/>
    <s v="Ciprofloxacin"/>
    <n v="5"/>
    <n v="101"/>
    <n v="26.4"/>
    <s v="Normal"/>
    <x v="1"/>
  </r>
  <r>
    <x v="800"/>
    <s v="Adenike Obi"/>
    <n v="25"/>
    <x v="2"/>
    <x v="1"/>
    <s v="B-"/>
    <x v="4"/>
    <x v="0"/>
    <x v="549"/>
    <d v="2020-12-15T00:00:00"/>
    <n v="1"/>
    <s v="Bowen University Teaching Hospital"/>
    <x v="1"/>
    <s v="Dr. Aisha Bello"/>
    <x v="3"/>
    <n v="17394.18"/>
    <s v="Metronidazole"/>
    <n v="5"/>
    <n v="198"/>
    <n v="26.8"/>
    <s v="Inconclusive"/>
    <x v="0"/>
  </r>
  <r>
    <x v="801"/>
    <s v="Ruth Bello"/>
    <n v="60"/>
    <x v="3"/>
    <x v="1"/>
    <s v="A+"/>
    <x v="1"/>
    <x v="1"/>
    <x v="157"/>
    <d v="2022-11-20T00:00:00"/>
    <n v="6"/>
    <s v="Federal Medical Centre Owerri"/>
    <x v="3"/>
    <s v="Dr. Taiwo Adeleke"/>
    <x v="4"/>
    <n v="13673.89"/>
    <s v="Linagliptin"/>
    <n v="8"/>
    <n v="197"/>
    <n v="39.6"/>
    <s v="Abnormal"/>
    <x v="0"/>
  </r>
  <r>
    <x v="802"/>
    <s v="Lanre Osagie"/>
    <n v="75"/>
    <x v="1"/>
    <x v="0"/>
    <s v="O+"/>
    <x v="1"/>
    <x v="0"/>
    <x v="660"/>
    <d v="2023-04-19T00:00:00"/>
    <n v="5"/>
    <s v="Lagos University Teaching Hospital"/>
    <x v="1"/>
    <s v="Dr. Ibrahim Musa"/>
    <x v="2"/>
    <n v="33193.910000000003"/>
    <s v="Sitagliptin"/>
    <n v="8"/>
    <n v="298"/>
    <n v="31.1"/>
    <s v="Abnormal"/>
    <x v="0"/>
  </r>
  <r>
    <x v="803"/>
    <s v="Esther Anderson"/>
    <n v="74"/>
    <x v="4"/>
    <x v="1"/>
    <s v="A-"/>
    <x v="0"/>
    <x v="1"/>
    <x v="661"/>
    <d v="2021-01-09T00:00:00"/>
    <n v="6"/>
    <s v="Ahmadu Bello University Teaching Hospital"/>
    <x v="2"/>
    <s v="Dr. Babatunde Fashola"/>
    <x v="2"/>
    <n v="177064.34"/>
    <s v="Bevacizumab"/>
    <n v="8"/>
    <n v="168"/>
    <n v="25.7"/>
    <s v="Inconclusive"/>
    <x v="0"/>
  </r>
  <r>
    <x v="804"/>
    <s v="Rachel Nwosu"/>
    <n v="68"/>
    <x v="4"/>
    <x v="1"/>
    <s v="O+"/>
    <x v="3"/>
    <x v="1"/>
    <x v="662"/>
    <d v="2024-08-06T00:00:00"/>
    <n v="4"/>
    <s v="Federal Medical Centre Asaba"/>
    <x v="0"/>
    <s v="Dr. Lanre Ogundele"/>
    <x v="0"/>
    <n v="43186.43"/>
    <s v="Morphine"/>
    <n v="3"/>
    <n v="146"/>
    <n v="39.200000000000003"/>
    <s v="Inconclusive"/>
    <x v="1"/>
  </r>
  <r>
    <x v="805"/>
    <s v="Bashir Anderson"/>
    <n v="62"/>
    <x v="3"/>
    <x v="0"/>
    <s v="O+"/>
    <x v="1"/>
    <x v="2"/>
    <x v="208"/>
    <d v="2019-04-18T00:00:00"/>
    <n v="6"/>
    <s v="Federal Medical Centre Owerri"/>
    <x v="3"/>
    <s v="Dr. Chioma Nwankwo"/>
    <x v="4"/>
    <n v="8461.41"/>
    <s v="Dapagliflozin"/>
    <n v="7"/>
    <n v="167"/>
    <n v="37.1"/>
    <s v="Abnormal"/>
    <x v="0"/>
  </r>
  <r>
    <x v="806"/>
    <s v="Elizabeth Smith"/>
    <n v="89"/>
    <x v="1"/>
    <x v="1"/>
    <s v="O+"/>
    <x v="0"/>
    <x v="1"/>
    <x v="663"/>
    <d v="2023-07-29T00:00:00"/>
    <n v="6"/>
    <s v="Lagos University Teaching Hospital"/>
    <x v="1"/>
    <s v="Dr. Grace Oduya"/>
    <x v="1"/>
    <n v="115938.01"/>
    <s v="Paclitaxel"/>
    <n v="12"/>
    <n v="104"/>
    <n v="22.7"/>
    <s v="Abnormal"/>
    <x v="0"/>
  </r>
  <r>
    <x v="807"/>
    <s v="Ifeanyi Eze"/>
    <n v="42"/>
    <x v="5"/>
    <x v="0"/>
    <s v="B+"/>
    <x v="5"/>
    <x v="0"/>
    <x v="51"/>
    <d v="2023-07-10T00:00:00"/>
    <n v="8"/>
    <s v="Ahmadu Bello University Teaching Hospital"/>
    <x v="2"/>
    <s v="Dr. Adewale Ogundimu"/>
    <x v="1"/>
    <n v="68090"/>
    <s v="Amiodarone"/>
    <n v="9"/>
    <n v="306"/>
    <n v="37.299999999999997"/>
    <s v="Abnormal"/>
    <x v="0"/>
  </r>
  <r>
    <x v="808"/>
    <s v="Joseph Salami"/>
    <n v="92"/>
    <x v="1"/>
    <x v="0"/>
    <s v="O-"/>
    <x v="6"/>
    <x v="1"/>
    <x v="355"/>
    <d v="2019-02-14T00:00:00"/>
    <n v="4"/>
    <s v="National Hospital Abuja"/>
    <x v="4"/>
    <s v="Dr. Yusuf Danjuma"/>
    <x v="3"/>
    <n v="27693.439999999999"/>
    <s v="Prednisolone"/>
    <n v="6"/>
    <n v="186"/>
    <n v="16"/>
    <s v="Abnormal"/>
    <x v="0"/>
  </r>
  <r>
    <x v="809"/>
    <s v="Fatima Nwosu"/>
    <n v="37"/>
    <x v="5"/>
    <x v="1"/>
    <s v="AB-"/>
    <x v="5"/>
    <x v="2"/>
    <x v="664"/>
    <d v="2020-01-07T00:00:00"/>
    <n v="8"/>
    <s v="Bowen University Teaching Hospital"/>
    <x v="1"/>
    <s v="Dr. Adewale Ogundimu"/>
    <x v="1"/>
    <n v="41786.53"/>
    <s v="Lisinopril"/>
    <n v="10"/>
    <n v="157"/>
    <n v="41.4"/>
    <s v="Abnormal"/>
    <x v="0"/>
  </r>
  <r>
    <x v="810"/>
    <s v="Segun Oni"/>
    <n v="58"/>
    <x v="3"/>
    <x v="0"/>
    <s v="A-"/>
    <x v="6"/>
    <x v="1"/>
    <x v="376"/>
    <d v="2021-11-17T00:00:00"/>
    <n v="6"/>
    <s v="Lagos University Teaching Hospital"/>
    <x v="1"/>
    <s v="Dr. Halima Usman"/>
    <x v="4"/>
    <n v="17837.650000000001"/>
    <s v="Azithromycin"/>
    <n v="7"/>
    <n v="151"/>
    <n v="25"/>
    <s v="Abnormal"/>
    <x v="0"/>
  </r>
  <r>
    <x v="811"/>
    <s v="Emmanuel Sule"/>
    <n v="70"/>
    <x v="4"/>
    <x v="0"/>
    <s v="A+"/>
    <x v="7"/>
    <x v="0"/>
    <x v="388"/>
    <d v="2025-07-01T00:00:00"/>
    <n v="9"/>
    <s v="Lagos University Teaching Hospital"/>
    <x v="1"/>
    <s v="Dr. Musa Aliyu"/>
    <x v="0"/>
    <n v="32379.53"/>
    <s v="Tramadol"/>
    <n v="6"/>
    <n v="232"/>
    <n v="25.9"/>
    <s v="Normal"/>
    <x v="0"/>
  </r>
  <r>
    <x v="812"/>
    <s v="Rachel Salami"/>
    <n v="59"/>
    <x v="3"/>
    <x v="1"/>
    <s v="AB+"/>
    <x v="5"/>
    <x v="0"/>
    <x v="665"/>
    <m/>
    <m/>
    <s v="National Hospital Abuja"/>
    <x v="4"/>
    <s v="Dr. Adewale Ogundimu"/>
    <x v="1"/>
    <n v="98366.41"/>
    <s v="Atorvastatin"/>
    <n v="10"/>
    <n v="374"/>
    <m/>
    <s v="Abnormal"/>
    <x v="0"/>
  </r>
  <r>
    <x v="813"/>
    <s v="Blessing Ibrahim"/>
    <n v="60"/>
    <x v="3"/>
    <x v="1"/>
    <s v="B+"/>
    <x v="4"/>
    <x v="0"/>
    <x v="666"/>
    <d v="2020-09-11T00:00:00"/>
    <n v="3"/>
    <s v="Ahmadu Bello University Teaching Hospital"/>
    <x v="2"/>
    <s v="Dr. Aisha Bello"/>
    <x v="2"/>
    <n v="27830.67"/>
    <s v="Loperamide"/>
    <n v="5"/>
    <n v="407"/>
    <n v="28.8"/>
    <s v="Normal"/>
    <x v="0"/>
  </r>
  <r>
    <x v="814"/>
    <s v="Ruth Hassan"/>
    <n v="64"/>
    <x v="3"/>
    <x v="1"/>
    <s v="B-"/>
    <x v="5"/>
    <x v="0"/>
    <x v="667"/>
    <d v="2022-08-05T00:00:00"/>
    <n v="7"/>
    <s v="Federal Medical Centre Asaba"/>
    <x v="0"/>
    <s v="Dr. Fatima Al-Hassan"/>
    <x v="1"/>
    <n v="158088.5"/>
    <s v="Amiodarone"/>
    <n v="9"/>
    <n v="320"/>
    <n v="39.299999999999997"/>
    <s v="Abnormal"/>
    <x v="1"/>
  </r>
  <r>
    <x v="815"/>
    <s v="Grace Okonkwo"/>
    <n v="75"/>
    <x v="1"/>
    <x v="1"/>
    <s v="A+"/>
    <x v="5"/>
    <x v="1"/>
    <x v="189"/>
    <d v="2019-02-13T00:00:00"/>
    <n v="5"/>
    <s v="Federal Medical Centre Asaba"/>
    <x v="0"/>
    <s v="Dr. Fatima Al-Hassan"/>
    <x v="3"/>
    <n v="56797.87"/>
    <s v="Atorvastatin"/>
    <n v="10"/>
    <n v="176"/>
    <n v="35.200000000000003"/>
    <s v="Abnormal"/>
    <x v="1"/>
  </r>
  <r>
    <x v="816"/>
    <s v="Nneka Abiodun"/>
    <n v="78"/>
    <x v="1"/>
    <x v="1"/>
    <s v="AB+"/>
    <x v="2"/>
    <x v="0"/>
    <x v="668"/>
    <d v="2022-07-08T00:00:00"/>
    <n v="12"/>
    <s v="National Hospital Abuja"/>
    <x v="4"/>
    <s v="Dr. Rotimi Fashola"/>
    <x v="1"/>
    <n v="110345"/>
    <s v="Clopidogrel"/>
    <n v="9"/>
    <n v="368"/>
    <n v="16.899999999999999"/>
    <s v="Abnormal"/>
    <x v="1"/>
  </r>
  <r>
    <x v="817"/>
    <s v="Ruth Onuoha"/>
    <n v="61"/>
    <x v="3"/>
    <x v="1"/>
    <s v="O+"/>
    <x v="0"/>
    <x v="1"/>
    <x v="669"/>
    <d v="2020-11-27T00:00:00"/>
    <n v="5"/>
    <s v="National Hospital Abuja"/>
    <x v="4"/>
    <s v="Dr. Babatunde Fashola"/>
    <x v="3"/>
    <n v="56228"/>
    <s v="Carboplatin"/>
    <n v="12"/>
    <n v="182"/>
    <n v="29.5"/>
    <s v="Abnormal"/>
    <x v="0"/>
  </r>
  <r>
    <x v="818"/>
    <s v="Ibrahim Thompson"/>
    <n v="70"/>
    <x v="4"/>
    <x v="0"/>
    <s v="B+"/>
    <x v="6"/>
    <x v="1"/>
    <x v="670"/>
    <d v="2019-09-12T00:00:00"/>
    <n v="4"/>
    <s v="University College Hospital Ibadan"/>
    <x v="1"/>
    <s v="Dr. Ngozi Eze-Williams"/>
    <x v="1"/>
    <n v="18773.259999999998"/>
    <s v="Theophylline"/>
    <n v="7"/>
    <n v="144"/>
    <n v="25.4"/>
    <s v="Normal"/>
    <x v="0"/>
  </r>
  <r>
    <x v="819"/>
    <s v="Kunle Chukwu"/>
    <n v="51"/>
    <x v="5"/>
    <x v="0"/>
    <s v="B-"/>
    <x v="6"/>
    <x v="1"/>
    <x v="671"/>
    <d v="2021-05-09T00:00:00"/>
    <n v="7"/>
    <s v="Aminu Kano Teaching Hospital"/>
    <x v="2"/>
    <s v="Dr. Halima Usman"/>
    <x v="0"/>
    <n v="10006.549999999999"/>
    <s v="Prednisolone"/>
    <n v="6"/>
    <n v="109"/>
    <m/>
    <s v="Normal"/>
    <x v="0"/>
  </r>
  <r>
    <x v="820"/>
    <s v="Josephine Igwe"/>
    <n v="90"/>
    <x v="1"/>
    <x v="1"/>
    <s v="A+"/>
    <x v="6"/>
    <x v="3"/>
    <x v="672"/>
    <d v="2019-08-08T00:00:00"/>
    <n v="5"/>
    <s v="Aminu Kano Teaching Hospital"/>
    <x v="2"/>
    <s v="Dr. Ngozi Eze-Williams"/>
    <x v="0"/>
    <n v="19629"/>
    <s v="Montelukast"/>
    <n v="5"/>
    <n v="138"/>
    <n v="29.3"/>
    <s v="Abnormal"/>
    <x v="0"/>
  </r>
  <r>
    <x v="821"/>
    <s v="Kunle Martin"/>
    <n v="75"/>
    <x v="1"/>
    <x v="0"/>
    <s v="A-"/>
    <x v="7"/>
    <x v="1"/>
    <x v="673"/>
    <d v="2024-04-12T00:00:00"/>
    <n v="2"/>
    <s v="Federal Medical Centre Owerri"/>
    <x v="3"/>
    <s v="Dr. Musa Aliyu"/>
    <x v="3"/>
    <n v="43418.54"/>
    <s v="Enoxaparin"/>
    <n v="4"/>
    <n v="109"/>
    <n v="24.6"/>
    <s v="Normal"/>
    <x v="1"/>
  </r>
  <r>
    <x v="822"/>
    <s v="Chukwuemeka Okafor"/>
    <n v="68"/>
    <x v="4"/>
    <x v="0"/>
    <s v="A+"/>
    <x v="4"/>
    <x v="0"/>
    <x v="674"/>
    <d v="2023-03-05T00:00:00"/>
    <n v="5"/>
    <s v="National Hospital Abuja"/>
    <x v="4"/>
    <s v="Dr. Aisha Bello"/>
    <x v="0"/>
    <n v="17112.169999999998"/>
    <s v="Mesalazine"/>
    <n v="3"/>
    <n v="491"/>
    <m/>
    <s v="Abnormal"/>
    <x v="0"/>
  </r>
  <r>
    <x v="823"/>
    <s v="Lydia Lawan"/>
    <n v="72"/>
    <x v="4"/>
    <x v="1"/>
    <s v="AB-"/>
    <x v="7"/>
    <x v="1"/>
    <x v="675"/>
    <d v="2023-04-05T00:00:00"/>
    <n v="4"/>
    <s v="University of Calabar Teaching Hospital"/>
    <x v="0"/>
    <s v="Dr. Sarah Adeyemi"/>
    <x v="1"/>
    <n v="51508.35"/>
    <s v="Vitamin D"/>
    <n v="4"/>
    <n v="175"/>
    <n v="32.200000000000003"/>
    <s v="Normal"/>
    <x v="0"/>
  </r>
  <r>
    <x v="824"/>
    <s v="Oluwaseun Okafor"/>
    <n v="50"/>
    <x v="5"/>
    <x v="0"/>
    <s v="AB-"/>
    <x v="1"/>
    <x v="0"/>
    <x v="676"/>
    <d v="2020-08-04T00:00:00"/>
    <n v="4"/>
    <s v="University College Hospital Ibadan"/>
    <x v="1"/>
    <s v="Dr. Taiwo Adeleke"/>
    <x v="1"/>
    <n v="41334"/>
    <s v="Empagliflozin"/>
    <n v="8"/>
    <n v="277"/>
    <n v="18.2"/>
    <s v="Abnormal"/>
    <x v="0"/>
  </r>
  <r>
    <x v="825"/>
    <s v="Oluwaseun Garba"/>
    <n v="30"/>
    <x v="2"/>
    <x v="0"/>
    <s v="O-"/>
    <x v="1"/>
    <x v="0"/>
    <x v="134"/>
    <d v="2022-10-18T00:00:00"/>
    <n v="4"/>
    <s v="University of Calabar Teaching Hospital"/>
    <x v="0"/>
    <s v="Dr. Ibrahim Musa"/>
    <x v="1"/>
    <n v="15059.84"/>
    <s v="Empagliflozin"/>
    <n v="3"/>
    <n v="108"/>
    <m/>
    <s v="Inconclusive"/>
    <x v="0"/>
  </r>
  <r>
    <x v="826"/>
    <s v="Joseph Thompson"/>
    <n v="58"/>
    <x v="3"/>
    <x v="0"/>
    <s v="AB-"/>
    <x v="3"/>
    <x v="1"/>
    <x v="677"/>
    <d v="2024-05-31T00:00:00"/>
    <n v="7"/>
    <s v="Ahmadu Bello University Teaching Hospital"/>
    <x v="2"/>
    <s v="Dr. Kemi Adeyemi"/>
    <x v="0"/>
    <n v="30632.27"/>
    <s v="Metronidazole"/>
    <n v="6"/>
    <n v="164"/>
    <n v="25.7"/>
    <s v="Inconclusive"/>
    <x v="0"/>
  </r>
  <r>
    <x v="827"/>
    <s v="Deborah Yakubu"/>
    <n v="68"/>
    <x v="4"/>
    <x v="1"/>
    <s v="AB+"/>
    <x v="0"/>
    <x v="1"/>
    <x v="678"/>
    <d v="2020-12-02T00:00:00"/>
    <n v="9"/>
    <s v="Ahmadu Bello University Teaching Hospital"/>
    <x v="2"/>
    <s v="Dr. Amara Osei"/>
    <x v="1"/>
    <n v="96788.96"/>
    <s v="Letrozole"/>
    <n v="12"/>
    <n v="162"/>
    <n v="21.4"/>
    <s v="Abnormal"/>
    <x v="0"/>
  </r>
  <r>
    <x v="828"/>
    <s v="Abdullahi Osagie"/>
    <n v="71"/>
    <x v="4"/>
    <x v="0"/>
    <s v="O-"/>
    <x v="3"/>
    <x v="0"/>
    <x v="266"/>
    <d v="2020-02-20T00:00:00"/>
    <n v="7"/>
    <s v="University College Hospital Ibadan"/>
    <x v="1"/>
    <s v="Dr. Kemi Adeyemi"/>
    <x v="1"/>
    <n v="56911"/>
    <s v="Metronidazole"/>
    <n v="6"/>
    <n v="194"/>
    <n v="29.8"/>
    <s v="Abnormal"/>
    <x v="1"/>
  </r>
  <r>
    <x v="829"/>
    <s v="Taiwo Lawan"/>
    <n v="78"/>
    <x v="1"/>
    <x v="1"/>
    <s v="B+"/>
    <x v="7"/>
    <x v="1"/>
    <x v="679"/>
    <d v="2020-04-20T00:00:00"/>
    <n v="5"/>
    <s v="Lagos University Teaching Hospital"/>
    <x v="1"/>
    <s v="Dr. Sarah Adeyemi"/>
    <x v="0"/>
    <n v="28136.31"/>
    <s v="Calcium"/>
    <n v="5"/>
    <n v="141"/>
    <n v="25.7"/>
    <s v="Normal"/>
    <x v="0"/>
  </r>
  <r>
    <x v="830"/>
    <s v="Nnamdi Martin"/>
    <n v="55"/>
    <x v="3"/>
    <x v="0"/>
    <s v="B-"/>
    <x v="6"/>
    <x v="0"/>
    <x v="8"/>
    <d v="2020-11-19T00:00:00"/>
    <n v="4"/>
    <s v="Federal Medical Centre Owerri"/>
    <x v="3"/>
    <s v="Dr. Halima Usman"/>
    <x v="1"/>
    <n v="21621.26"/>
    <s v="Tiotropium"/>
    <n v="7"/>
    <n v="300"/>
    <n v="33.200000000000003"/>
    <s v="Normal"/>
    <x v="0"/>
  </r>
  <r>
    <x v="831"/>
    <s v="Blessing Fashola"/>
    <n v="34"/>
    <x v="2"/>
    <x v="1"/>
    <s v="A-"/>
    <x v="2"/>
    <x v="3"/>
    <x v="605"/>
    <d v="2020-08-15T00:00:00"/>
    <n v="7"/>
    <s v="Federal Medical Centre Birnin Kebbi"/>
    <x v="2"/>
    <s v="Dr. Zainab Sule"/>
    <x v="0"/>
    <n v="16497"/>
    <s v="Phenytoin"/>
    <n v="9"/>
    <n v="143"/>
    <n v="19.899999999999999"/>
    <s v="Inconclusive"/>
    <x v="0"/>
  </r>
  <r>
    <x v="832"/>
    <s v="Emmanuel Musa"/>
    <n v="75"/>
    <x v="1"/>
    <x v="0"/>
    <s v="O-"/>
    <x v="5"/>
    <x v="1"/>
    <x v="161"/>
    <d v="2023-05-11T00:00:00"/>
    <n v="9"/>
    <s v="Federal Medical Centre Asaba"/>
    <x v="0"/>
    <s v="Dr. Adewale Ogundimu"/>
    <x v="0"/>
    <n v="66313.83"/>
    <s v="Furosemide"/>
    <n v="8"/>
    <n v="134"/>
    <n v="30.5"/>
    <s v="Abnormal"/>
    <x v="1"/>
  </r>
  <r>
    <x v="833"/>
    <s v="Lydia Hassan"/>
    <n v="53"/>
    <x v="5"/>
    <x v="1"/>
    <s v="O+"/>
    <x v="1"/>
    <x v="0"/>
    <x v="54"/>
    <m/>
    <m/>
    <s v="Ahmadu Bello University Teaching Hospital"/>
    <x v="2"/>
    <s v="Dr. Chioma Nwankwo"/>
    <x v="0"/>
    <n v="18195.990000000002"/>
    <s v="Insulin Glargine"/>
    <n v="8"/>
    <n v="118"/>
    <n v="25.5"/>
    <s v="Normal"/>
    <x v="0"/>
  </r>
  <r>
    <x v="834"/>
    <s v="Emeka Bankole"/>
    <n v="69"/>
    <x v="4"/>
    <x v="0"/>
    <s v="B-"/>
    <x v="0"/>
    <x v="0"/>
    <x v="680"/>
    <d v="2022-03-04T00:00:00"/>
    <n v="8"/>
    <s v="Federal Medical Centre Asaba"/>
    <x v="0"/>
    <s v="Dr Amara Osei"/>
    <x v="0"/>
    <n v="76936.5"/>
    <s v="Tamoxifen"/>
    <n v="12"/>
    <n v="127"/>
    <n v="16.899999999999999"/>
    <s v="Abnormal"/>
    <x v="0"/>
  </r>
  <r>
    <x v="835"/>
    <s v="Stella Johnson"/>
    <n v="58"/>
    <x v="3"/>
    <x v="1"/>
    <s v="AB-"/>
    <x v="7"/>
    <x v="3"/>
    <x v="681"/>
    <d v="2019-06-06T00:00:00"/>
    <n v="5"/>
    <s v="Federal Medical Centre Birnin Kebbi"/>
    <x v="2"/>
    <s v="Dr. Sarah Adeyemi"/>
    <x v="0"/>
    <n v="29753"/>
    <s v="Tramadol"/>
    <n v="6"/>
    <n v="316"/>
    <n v="29.3"/>
    <s v="Inconclusive"/>
    <x v="0"/>
  </r>
  <r>
    <x v="836"/>
    <s v="Miriam Adebayo"/>
    <n v="64"/>
    <x v="3"/>
    <x v="1"/>
    <s v="A-"/>
    <x v="7"/>
    <x v="2"/>
    <x v="682"/>
    <d v="2019-04-24T00:00:00"/>
    <n v="5"/>
    <s v="Ahmadu Bello University Teaching Hospital"/>
    <x v="2"/>
    <s v="Dr. Sarah Adeyemi"/>
    <x v="1"/>
    <n v="39555.25"/>
    <s v="Calcium"/>
    <n v="6"/>
    <n v="344"/>
    <n v="23.4"/>
    <s v="Normal"/>
    <x v="0"/>
  </r>
  <r>
    <x v="837"/>
    <s v="Nneka Adeleke"/>
    <n v="84"/>
    <x v="1"/>
    <x v="1"/>
    <s v="B-"/>
    <x v="1"/>
    <x v="2"/>
    <x v="683"/>
    <d v="2022-12-04T00:00:00"/>
    <n v="4"/>
    <s v="University College Hospital Ibadan"/>
    <x v="1"/>
    <s v="Dr. Ibrahim Musa"/>
    <x v="3"/>
    <n v="55604.71"/>
    <s v="Liraglutide"/>
    <n v="5"/>
    <n v="163"/>
    <m/>
    <s v="Abnormal"/>
    <x v="1"/>
  </r>
  <r>
    <x v="838"/>
    <s v="Emeka Onuoha"/>
    <n v="18"/>
    <x v="2"/>
    <x v="0"/>
    <s v=""/>
    <x v="1"/>
    <x v="2"/>
    <x v="684"/>
    <d v="2020-05-15T00:00:00"/>
    <n v="3"/>
    <s v="Bowen University Teaching Hospital"/>
    <x v="1"/>
    <s v="Dr. Ibrahim Musa"/>
    <x v="4"/>
    <n v="10284.219999999999"/>
    <s v="Liraglutide"/>
    <n v="8"/>
    <n v="406"/>
    <n v="26.4"/>
    <s v="Abnormal"/>
    <x v="0"/>
  </r>
  <r>
    <x v="839"/>
    <s v="Adenike Brown"/>
    <n v="92"/>
    <x v="1"/>
    <x v="1"/>
    <s v="A-"/>
    <x v="7"/>
    <x v="2"/>
    <x v="685"/>
    <d v="2019-08-16T00:00:00"/>
    <n v="3"/>
    <s v="Bowen University Teaching Hospital"/>
    <x v="1"/>
    <s v="Dr. Chukwuemeka Nwosu"/>
    <x v="0"/>
    <n v="47322.73"/>
    <s v="Ibuprofen"/>
    <n v="6"/>
    <n v="198"/>
    <m/>
    <s v="Abnormal"/>
    <x v="0"/>
  </r>
  <r>
    <x v="840"/>
    <s v="Musa Akintola"/>
    <n v="66"/>
    <x v="4"/>
    <x v="0"/>
    <s v="O-"/>
    <x v="7"/>
    <x v="0"/>
    <x v="686"/>
    <d v="2022-05-30T00:00:00"/>
    <n v="5"/>
    <s v="University of Calabar Teaching Hospital"/>
    <x v="0"/>
    <s v="Dr. Musa Aliyu"/>
    <x v="1"/>
    <n v="59738.02"/>
    <s v="Ibuprofen"/>
    <n v="5"/>
    <n v="421"/>
    <n v="20.5"/>
    <s v="Abnormal"/>
    <x v="0"/>
  </r>
  <r>
    <x v="841"/>
    <s v="Grace Ibrahim"/>
    <n v="66"/>
    <x v="4"/>
    <x v="1"/>
    <s v="AB+"/>
    <x v="3"/>
    <x v="0"/>
    <x v="469"/>
    <d v="2021-05-31T00:00:00"/>
    <n v="8"/>
    <s v="University of Calabar Teaching Hospital"/>
    <x v="0"/>
    <s v="Dr. Precious Obi"/>
    <x v="1"/>
    <n v="84315.99"/>
    <s v="Enoxaparin"/>
    <n v="4"/>
    <n v="421"/>
    <n v="20.100000000000001"/>
    <s v="Abnormal"/>
    <x v="1"/>
  </r>
  <r>
    <x v="842"/>
    <s v="Samuel Garba"/>
    <n v="74"/>
    <x v="4"/>
    <x v="0"/>
    <s v="AB+"/>
    <x v="6"/>
    <x v="1"/>
    <x v="687"/>
    <d v="2021-07-31T00:00:00"/>
    <n v="8"/>
    <s v="Ahmadu Bello University Teaching Hospital"/>
    <x v="2"/>
    <s v="Dr. Ngozi Eze-Williams"/>
    <x v="0"/>
    <n v="21118.76"/>
    <s v="Ipratropium"/>
    <n v="6"/>
    <n v="135"/>
    <n v="30.5"/>
    <s v="Abnormal"/>
    <x v="1"/>
  </r>
  <r>
    <x v="843"/>
    <s v="Blessing Lawal"/>
    <n v="73"/>
    <x v="4"/>
    <x v="1"/>
    <s v="O-"/>
    <x v="0"/>
    <x v="0"/>
    <x v="688"/>
    <d v="2024-11-16T00:00:00"/>
    <n v="18"/>
    <s v="Ahmadu Bello University Teaching Hospital"/>
    <x v="2"/>
    <s v="Dr. Amara Osei"/>
    <x v="0"/>
    <n v="68959.31"/>
    <s v="Cyclophosphamide"/>
    <n v="12"/>
    <n v="282"/>
    <n v="24.8"/>
    <s v="Abnormal"/>
    <x v="1"/>
  </r>
  <r>
    <x v="844"/>
    <s v="Tunde Osagie"/>
    <n v="82"/>
    <x v="1"/>
    <x v="0"/>
    <s v="O-"/>
    <x v="7"/>
    <x v="0"/>
    <x v="689"/>
    <d v="2024-09-19T00:00:00"/>
    <n v="5"/>
    <s v="Federal Medical Centre Asaba"/>
    <x v="0"/>
    <s v="Dr. Chukwuemeka Nwosu"/>
    <x v="4"/>
    <n v="52122.65"/>
    <s v="Tramadol"/>
    <n v="5"/>
    <n v="490"/>
    <n v="27.8"/>
    <s v="Normal"/>
    <x v="0"/>
  </r>
  <r>
    <x v="845"/>
    <s v="Chioma Ibrahim"/>
    <n v="69"/>
    <x v="4"/>
    <x v="1"/>
    <s v="B+"/>
    <x v="5"/>
    <x v="0"/>
    <x v="218"/>
    <d v="2022-12-16T00:00:00"/>
    <n v="11"/>
    <s v="Ahmadu Bello University Teaching Hospital"/>
    <x v="2"/>
    <s v="Dr. Adewale Ogundimu"/>
    <x v="3"/>
    <n v="49961.13"/>
    <s v="Metoprolol"/>
    <n v="10"/>
    <n v="381"/>
    <m/>
    <s v="Abnormal"/>
    <x v="0"/>
  </r>
  <r>
    <x v="846"/>
    <s v="Joseph Anderson"/>
    <n v="78"/>
    <x v="1"/>
    <x v="0"/>
    <s v="O-"/>
    <x v="4"/>
    <x v="1"/>
    <x v="285"/>
    <m/>
    <m/>
    <s v="University of Calabar Teaching Hospital"/>
    <x v="0"/>
    <s v="Dr. Aisha Bello"/>
    <x v="0"/>
    <n v="20754.830000000002"/>
    <s v="Metronidazole"/>
    <n v="5"/>
    <n v="197"/>
    <n v="22.5"/>
    <s v="Normal"/>
    <x v="0"/>
  </r>
  <r>
    <x v="847"/>
    <s v="Musa Anderson"/>
    <n v="45"/>
    <x v="5"/>
    <x v="0"/>
    <s v="A+"/>
    <x v="6"/>
    <x v="0"/>
    <x v="690"/>
    <d v="2024-11-25T00:00:00"/>
    <n v="7"/>
    <s v="Lagos University Teaching Hospital"/>
    <x v="1"/>
    <s v="Dr. Ngozi Eze-Williams"/>
    <x v="3"/>
    <n v="52334"/>
    <s v="Tiotropium"/>
    <n v="7"/>
    <n v="334"/>
    <m/>
    <s v="Abnormal"/>
    <x v="0"/>
  </r>
  <r>
    <x v="848"/>
    <s v="David Johnson"/>
    <n v="58"/>
    <x v="3"/>
    <x v="0"/>
    <s v="A+"/>
    <x v="5"/>
    <x v="2"/>
    <x v="691"/>
    <d v="2021-07-11T00:00:00"/>
    <n v="17"/>
    <s v="University of Calabar Teaching Hospital"/>
    <x v="0"/>
    <s v="Dr. Emeka Okorie"/>
    <x v="0"/>
    <n v="24792.74"/>
    <s v="Lisinopril"/>
    <n v="8"/>
    <n v="476"/>
    <n v="26.3"/>
    <s v="Inconclusive"/>
    <x v="0"/>
  </r>
  <r>
    <x v="849"/>
    <s v="Michael Martin"/>
    <n v="59"/>
    <x v="3"/>
    <x v="0"/>
    <s v="B+"/>
    <x v="0"/>
    <x v="0"/>
    <x v="692"/>
    <d v="2019-02-12T00:00:00"/>
    <n v="18"/>
    <s v="Lagos University Teaching Hospital"/>
    <x v="1"/>
    <s v="Dr. Grace Oduya"/>
    <x v="1"/>
    <n v="220113.11"/>
    <s v="Dexamethasone"/>
    <n v="12"/>
    <n v="124"/>
    <n v="20.6"/>
    <s v="Normal"/>
    <x v="0"/>
  </r>
  <r>
    <x v="850"/>
    <s v="Abdullahi Eze"/>
    <n v="59"/>
    <x v="3"/>
    <x v="0"/>
    <s v="A+"/>
    <x v="1"/>
    <x v="2"/>
    <x v="248"/>
    <d v="2021-03-28T00:00:00"/>
    <n v="5"/>
    <s v="Federal Medical Centre Owerri"/>
    <x v="3"/>
    <s v="Dr. Taiwo Adeleke"/>
    <x v="4"/>
    <n v="9874.57"/>
    <s v="Dapagliflozin"/>
    <n v="8"/>
    <n v="241"/>
    <n v="28.9"/>
    <s v="Inconclusive"/>
    <x v="0"/>
  </r>
  <r>
    <x v="851"/>
    <s v="Rebecca Okafor"/>
    <n v="92"/>
    <x v="1"/>
    <x v="1"/>
    <s v="AB-"/>
    <x v="6"/>
    <x v="0"/>
    <x v="693"/>
    <d v="2022-06-29T00:00:00"/>
    <n v="8"/>
    <s v="Federal Medical Centre Birnin Kebbi"/>
    <x v="2"/>
    <s v="Dr. Halima Usman"/>
    <x v="4"/>
    <n v="47427.35"/>
    <s v="Theophylline"/>
    <n v="7"/>
    <n v="372"/>
    <n v="24.9"/>
    <s v="Normal"/>
    <x v="0"/>
  </r>
  <r>
    <x v="852"/>
    <s v="Elizabeth Brown"/>
    <n v="78"/>
    <x v="1"/>
    <x v="1"/>
    <s v="AB-"/>
    <x v="0"/>
    <x v="1"/>
    <x v="167"/>
    <d v="2023-09-04T00:00:00"/>
    <n v="21"/>
    <s v="Ahmadu Bello University Teaching Hospital"/>
    <x v="2"/>
    <s v="Dr. Amara Osei"/>
    <x v="0"/>
    <n v="34973.1"/>
    <s v="Methotrexate"/>
    <n v="12"/>
    <n v="199"/>
    <n v="23.6"/>
    <s v="Inconclusive"/>
    <x v="0"/>
  </r>
  <r>
    <x v="853"/>
    <s v="Samuel Garba"/>
    <n v="34"/>
    <x v="2"/>
    <x v="0"/>
    <s v="O-"/>
    <x v="2"/>
    <x v="1"/>
    <x v="568"/>
    <m/>
    <m/>
    <s v="National Hospital Abuja"/>
    <x v="4"/>
    <s v="Dr. Zainab Sule"/>
    <x v="0"/>
    <n v="16165"/>
    <s v="Topiramate"/>
    <n v="9"/>
    <n v="189"/>
    <n v="36.700000000000003"/>
    <s v="Normal"/>
    <x v="0"/>
  </r>
  <r>
    <x v="854"/>
    <s v="Deborah Oni"/>
    <n v="81"/>
    <x v="1"/>
    <x v="1"/>
    <s v="AB+"/>
    <x v="2"/>
    <x v="0"/>
    <x v="279"/>
    <d v="2024-10-04T00:00:00"/>
    <n v="6"/>
    <s v="Bowen University Teaching Hospital"/>
    <x v="1"/>
    <s v="Dr. Rotimi Fashola"/>
    <x v="2"/>
    <n v="163389.01999999999"/>
    <s v="Levetiracetam"/>
    <n v="8"/>
    <n v="393"/>
    <n v="26.1"/>
    <s v="Normal"/>
    <x v="0"/>
  </r>
  <r>
    <x v="855"/>
    <s v="Rukayat Adeleke"/>
    <n v="83"/>
    <x v="1"/>
    <x v="1"/>
    <s v="AB+"/>
    <x v="1"/>
    <x v="2"/>
    <x v="694"/>
    <d v="2023-10-15T00:00:00"/>
    <n v="3"/>
    <s v="Lagos University Teaching Hospital"/>
    <x v="1"/>
    <s v="Dr. Chioma Nwankwo"/>
    <x v="4"/>
    <n v="14498"/>
    <s v="Insulin Glargine"/>
    <n v="8"/>
    <n v="433"/>
    <n v="14"/>
    <s v="Normal"/>
    <x v="1"/>
  </r>
  <r>
    <x v="856"/>
    <s v="Esther Smith"/>
    <n v="74"/>
    <x v="4"/>
    <x v="1"/>
    <s v="O-"/>
    <x v="6"/>
    <x v="2"/>
    <x v="301"/>
    <d v="2021-07-06T00:00:00"/>
    <n v="4"/>
    <s v="Federal Medical Centre Birnin Kebbi"/>
    <x v="2"/>
    <s v="Dr. Yusuf Danjuma"/>
    <x v="3"/>
    <n v="28806.9"/>
    <s v="Prednisolone"/>
    <n v="7"/>
    <n v="451"/>
    <n v="14"/>
    <s v="Inconclusive"/>
    <x v="0"/>
  </r>
  <r>
    <x v="857"/>
    <s v="Babatunde Moore"/>
    <n v="68"/>
    <x v="4"/>
    <x v="0"/>
    <s v="B+"/>
    <x v="4"/>
    <x v="1"/>
    <x v="86"/>
    <d v="2020-09-01T00:00:00"/>
    <n v="1"/>
    <s v="Aminu Kano Teaching Hospital"/>
    <x v="2"/>
    <s v="Dr. Nnamdi Okafor"/>
    <x v="4"/>
    <n v="9497.19"/>
    <s v="Metronidazole"/>
    <n v="3"/>
    <n v="187"/>
    <n v="21.6"/>
    <s v="Inconclusive"/>
    <x v="0"/>
  </r>
  <r>
    <x v="858"/>
    <s v="Tolulope Davis"/>
    <n v="70"/>
    <x v="4"/>
    <x v="1"/>
    <s v="B-"/>
    <x v="5"/>
    <x v="3"/>
    <x v="695"/>
    <d v="2022-07-11T00:00:00"/>
    <n v="4"/>
    <s v="Federal Medical Centre Owerri"/>
    <x v="3"/>
    <s v="Dr. Emeka Okorie"/>
    <x v="1"/>
    <n v="56573.24"/>
    <s v="Metoprolol"/>
    <n v="10"/>
    <n v="284"/>
    <n v="32.799999999999997"/>
    <s v="Inconclusive"/>
    <x v="1"/>
  </r>
  <r>
    <x v="859"/>
    <s v="Musa Wilson"/>
    <n v="52"/>
    <x v="5"/>
    <x v="0"/>
    <s v="AB+"/>
    <x v="5"/>
    <x v="0"/>
    <x v="406"/>
    <d v="2020-09-30T00:00:00"/>
    <n v="8"/>
    <s v="Lagos University Teaching Hospital"/>
    <x v="1"/>
    <s v="Dr. Emeka Okorie"/>
    <x v="2"/>
    <n v="98152.37"/>
    <s v="Amiodarone"/>
    <n v="9"/>
    <n v="343"/>
    <n v="34.700000000000003"/>
    <s v="Abnormal"/>
    <x v="0"/>
  </r>
  <r>
    <x v="860"/>
    <s v="Daniel Oni"/>
    <n v="55"/>
    <x v="3"/>
    <x v="0"/>
    <s v="O+"/>
    <x v="5"/>
    <x v="1"/>
    <x v="696"/>
    <d v="2021-03-01T00:00:00"/>
    <n v="5"/>
    <s v="Federal Medical Centre Owerri"/>
    <x v="3"/>
    <s v="Fatima Al-Hassan"/>
    <x v="3"/>
    <n v="63565.04"/>
    <s v="Amiodarone"/>
    <n v="10"/>
    <n v="187"/>
    <n v="42.5"/>
    <s v="Abnormal"/>
    <x v="0"/>
  </r>
  <r>
    <x v="861"/>
    <s v="Oluwaseun Garba"/>
    <n v="71"/>
    <x v="4"/>
    <x v="0"/>
    <s v="B-"/>
    <x v="3"/>
    <x v="2"/>
    <x v="481"/>
    <d v="2020-03-24T00:00:00"/>
    <n v="7"/>
    <s v="Aminu Kano Teaching Hospital"/>
    <x v="2"/>
    <s v="Dr. Kemi Adeyemi"/>
    <x v="0"/>
    <n v="19829.07"/>
    <s v="Metronidazole"/>
    <n v="6"/>
    <n v="401"/>
    <n v="28.5"/>
    <s v="Normal"/>
    <x v="0"/>
  </r>
  <r>
    <x v="862"/>
    <s v="Nneka Lawal"/>
    <n v="71"/>
    <x v="4"/>
    <x v="1"/>
    <s v="B+"/>
    <x v="0"/>
    <x v="0"/>
    <x v="349"/>
    <d v="2023-03-10T00:00:00"/>
    <n v="25"/>
    <s v="Bowen University Teaching Hospital"/>
    <x v="1"/>
    <s v="Dr Amara Osei"/>
    <x v="0"/>
    <n v="72679"/>
    <s v="Filgrastim"/>
    <n v="12"/>
    <n v="199"/>
    <n v="21.8"/>
    <s v="Abnormal"/>
    <x v="0"/>
  </r>
  <r>
    <x v="863"/>
    <s v="Taiwo Osagie"/>
    <n v="66"/>
    <x v="4"/>
    <x v="1"/>
    <s v="O-"/>
    <x v="7"/>
    <x v="1"/>
    <x v="697"/>
    <d v="2023-09-15T00:00:00"/>
    <n v="2"/>
    <s v="University of Calabar Teaching Hospital"/>
    <x v="0"/>
    <s v="Dr. Sarah Adeyemi"/>
    <x v="0"/>
    <n v="36528"/>
    <s v="Ibuprofen"/>
    <n v="2"/>
    <n v="132"/>
    <n v="22.6"/>
    <s v="Normal"/>
    <x v="0"/>
  </r>
  <r>
    <x v="864"/>
    <s v="Ruth Dauda"/>
    <n v="62"/>
    <x v="3"/>
    <x v="1"/>
    <s v="B+"/>
    <x v="1"/>
    <x v="2"/>
    <x v="341"/>
    <d v="2022-01-25T00:00:00"/>
    <n v="4"/>
    <s v="University of Calabar Teaching Hospital"/>
    <x v="0"/>
    <s v="Dr. Chioma Nwankwo"/>
    <x v="0"/>
    <n v="15122.46"/>
    <s v="Glibenclamide"/>
    <n v="8"/>
    <n v="468"/>
    <n v="19.399999999999999"/>
    <s v="Abnormal"/>
    <x v="1"/>
  </r>
  <r>
    <x v="865"/>
    <s v="Daniel Ibrahim"/>
    <n v="12"/>
    <x v="0"/>
    <x v="0"/>
    <s v="B-"/>
    <x v="5"/>
    <x v="1"/>
    <x v="698"/>
    <d v="2019-02-23T00:00:00"/>
    <n v="10"/>
    <s v="Federal Medical Centre Asaba"/>
    <x v="0"/>
    <s v="Dr. Adewale Ogundimu"/>
    <x v="0"/>
    <n v="26398.04"/>
    <s v="Aspirin"/>
    <n v="10"/>
    <n v="133"/>
    <n v="29.2"/>
    <s v="Normal"/>
    <x v="0"/>
  </r>
  <r>
    <x v="866"/>
    <s v="Ngozi Nwosu"/>
    <n v="66"/>
    <x v="4"/>
    <x v="1"/>
    <s v="AB-"/>
    <x v="6"/>
    <x v="0"/>
    <x v="387"/>
    <d v="2019-11-27T00:00:00"/>
    <n v="4"/>
    <s v="National Hospital Abuja"/>
    <x v="4"/>
    <s v="Dr. Ngozi Eze-Williams"/>
    <x v="3"/>
    <n v="35906.47"/>
    <s v="Theophylline"/>
    <n v="7"/>
    <n v="348"/>
    <n v="26.3"/>
    <s v="Inconclusive"/>
    <x v="0"/>
  </r>
  <r>
    <x v="867"/>
    <s v="Halima Musa"/>
    <n v="70"/>
    <x v="4"/>
    <x v="1"/>
    <s v="A+"/>
    <x v="1"/>
    <x v="0"/>
    <x v="699"/>
    <m/>
    <m/>
    <s v="Federal Medical Centre Birnin Kebbi"/>
    <x v="2"/>
    <s v="Dr. Chioma Nwankwo"/>
    <x v="3"/>
    <n v="33336.74"/>
    <s v="Glibenclamide"/>
    <n v="7"/>
    <n v="188"/>
    <n v="22.9"/>
    <s v="Normal"/>
    <x v="0"/>
  </r>
  <r>
    <x v="868"/>
    <s v="Samuel Anderson"/>
    <n v="74"/>
    <x v="4"/>
    <x v="0"/>
    <s v="B-"/>
    <x v="6"/>
    <x v="0"/>
    <x v="700"/>
    <d v="2024-01-30T00:00:00"/>
    <n v="7"/>
    <s v="Bowen University Teaching Hospital"/>
    <x v="1"/>
    <s v="Dr. Yusuf Danjuma"/>
    <x v="1"/>
    <n v="57318.080000000002"/>
    <s v="Theophylline"/>
    <n v="5"/>
    <n v="387"/>
    <n v="31.5"/>
    <s v="Normal"/>
    <x v="1"/>
  </r>
  <r>
    <x v="869"/>
    <s v="Elizabeth Garba"/>
    <n v="64"/>
    <x v="3"/>
    <x v="1"/>
    <s v="O+"/>
    <x v="5"/>
    <x v="1"/>
    <x v="377"/>
    <d v="2024-12-29T00:00:00"/>
    <n v="4"/>
    <s v="Federal Medical Centre Asaba"/>
    <x v="0"/>
    <s v="Dr. Adewale Ogundimu"/>
    <x v="1"/>
    <n v="38011"/>
    <s v="Metoprolol"/>
    <n v="10"/>
    <n v="175"/>
    <n v="25.8"/>
    <s v="Normal"/>
    <x v="0"/>
  </r>
  <r>
    <x v="870"/>
    <s v="Oluwaseun Anderson"/>
    <n v="61"/>
    <x v="3"/>
    <x v="0"/>
    <s v="AB-"/>
    <x v="2"/>
    <x v="0"/>
    <x v="701"/>
    <d v="2021-12-06T00:00:00"/>
    <n v="12"/>
    <s v="Federal Medical Centre Owerri"/>
    <x v="3"/>
    <s v="Dr. Olumide Abiodun"/>
    <x v="0"/>
    <n v="61564.639999999999"/>
    <s v="Donepezil"/>
    <n v="9"/>
    <n v="309"/>
    <n v="30.4"/>
    <s v="Normal"/>
    <x v="0"/>
  </r>
  <r>
    <x v="871"/>
    <s v="Ifeoma Moore"/>
    <n v="49"/>
    <x v="5"/>
    <x v="1"/>
    <s v="O-"/>
    <x v="1"/>
    <x v="2"/>
    <x v="702"/>
    <d v="2020-09-03T00:00:00"/>
    <n v="6"/>
    <s v="University of Calabar Teaching Hospital"/>
    <x v="0"/>
    <s v="Dr. Chioma Nwankwo"/>
    <x v="0"/>
    <n v="14007.32"/>
    <s v="Glibenclamide"/>
    <n v="7"/>
    <n v="152"/>
    <n v="38.799999999999997"/>
    <s v="Inconclusive"/>
    <x v="0"/>
  </r>
  <r>
    <x v="872"/>
    <s v="Rachel Adeleke"/>
    <n v="59"/>
    <x v="3"/>
    <x v="1"/>
    <s v="B+"/>
    <x v="7"/>
    <x v="0"/>
    <x v="703"/>
    <d v="2024-02-20T00:00:00"/>
    <n v="10"/>
    <s v="Federal Medical Centre Asaba"/>
    <x v="0"/>
    <s v="Dr. Musa Aliyu"/>
    <x v="0"/>
    <n v="47161.2"/>
    <s v="Ibuprofen"/>
    <n v="5"/>
    <n v="316"/>
    <n v="17.8"/>
    <s v="Normal"/>
    <x v="0"/>
  </r>
  <r>
    <x v="873"/>
    <s v="John Abiodun"/>
    <n v="64"/>
    <x v="3"/>
    <x v="0"/>
    <s v="B-"/>
    <x v="4"/>
    <x v="0"/>
    <x v="704"/>
    <m/>
    <m/>
    <s v="Bowen University Teaching Hospital"/>
    <x v="1"/>
    <s v="Dr. Nnamdi Okafor"/>
    <x v="0"/>
    <n v="15378.51"/>
    <s v="Omeprazole"/>
    <n v="2"/>
    <n v="156"/>
    <n v="28"/>
    <s v="Inconclusive"/>
    <x v="0"/>
  </r>
  <r>
    <x v="874"/>
    <s v="Ifeanyi Garba"/>
    <n v="59"/>
    <x v="3"/>
    <x v="0"/>
    <s v="A+"/>
    <x v="3"/>
    <x v="0"/>
    <x v="705"/>
    <d v="2023-01-20T00:00:00"/>
    <n v="5"/>
    <s v="Bowen University Teaching Hospital"/>
    <x v="1"/>
    <s v="Dr. Kemi Adeyemi"/>
    <x v="4"/>
    <n v="64574.01"/>
    <s v="Paracetamol"/>
    <n v="6"/>
    <n v="330"/>
    <n v="36.700000000000003"/>
    <s v="Normal"/>
    <x v="0"/>
  </r>
  <r>
    <x v="875"/>
    <s v="Deborah Ibrahim"/>
    <n v="57"/>
    <x v="3"/>
    <x v="1"/>
    <s v="O+"/>
    <x v="5"/>
    <x v="2"/>
    <x v="706"/>
    <d v="2019-09-26T00:00:00"/>
    <n v="12"/>
    <s v="University College Hospital Ibadan"/>
    <x v="1"/>
    <s v="Dr. Fatima Al-Hassan"/>
    <x v="0"/>
    <n v="22093.14"/>
    <s v="Digoxin"/>
    <n v="10"/>
    <n v="277"/>
    <n v="24.3"/>
    <s v="Abnormal"/>
    <x v="0"/>
  </r>
  <r>
    <x v="876"/>
    <s v="Tolulope Nwosu"/>
    <n v="60"/>
    <x v="3"/>
    <x v="1"/>
    <s v="AB+"/>
    <x v="6"/>
    <x v="1"/>
    <x v="707"/>
    <d v="2019-10-15T00:00:00"/>
    <n v="9"/>
    <s v="Lagos University Teaching Hospital"/>
    <x v="1"/>
    <s v="Dr. Yusuf Danjuma"/>
    <x v="0"/>
    <n v="17022.560000000001"/>
    <s v="Montelukast"/>
    <n v="7"/>
    <n v="142"/>
    <n v="16.3"/>
    <s v="Normal"/>
    <x v="0"/>
  </r>
  <r>
    <x v="877"/>
    <s v="Esther Nwosu"/>
    <n v="54"/>
    <x v="5"/>
    <x v="1"/>
    <s v="B+"/>
    <x v="2"/>
    <x v="0"/>
    <x v="560"/>
    <d v="2023-11-29T00:00:00"/>
    <n v="22"/>
    <s v="University College Hospital Ibadan"/>
    <x v="1"/>
    <s v="Dr. Rotimi Fashola"/>
    <x v="0"/>
    <n v="27796.68"/>
    <s v="Gabapentin"/>
    <n v="7"/>
    <n v="359"/>
    <n v="27.1"/>
    <s v="Inconclusive"/>
    <x v="0"/>
  </r>
  <r>
    <x v="878"/>
    <s v="Kunle Adeleke"/>
    <n v="62"/>
    <x v="3"/>
    <x v="0"/>
    <s v="A+"/>
    <x v="5"/>
    <x v="1"/>
    <x v="41"/>
    <d v="2021-10-29T00:00:00"/>
    <n v="8"/>
    <s v="National Hospital Abuja"/>
    <x v="4"/>
    <s v="Dr. Emeka Okorie"/>
    <x v="5"/>
    <n v="53924.25"/>
    <s v="Atorvastatin"/>
    <n v="5"/>
    <n v="167"/>
    <n v="38.4"/>
    <s v="Abnormal"/>
    <x v="0"/>
  </r>
  <r>
    <x v="879"/>
    <s v="Grace Bankole"/>
    <n v="68"/>
    <x v="4"/>
    <x v="1"/>
    <s v="AB+"/>
    <x v="3"/>
    <x v="0"/>
    <x v="708"/>
    <d v="2021-11-11T00:00:00"/>
    <n v="3"/>
    <s v="Aminu Kano Teaching Hospital"/>
    <x v="2"/>
    <s v="Dr. Lanre Ogundele"/>
    <x v="3"/>
    <n v="73926.37"/>
    <s v="Morphine"/>
    <n v="4"/>
    <n v="344"/>
    <n v="14"/>
    <s v="Inconclusive"/>
    <x v="0"/>
  </r>
  <r>
    <x v="880"/>
    <s v="Samuel Akintola"/>
    <n v="69"/>
    <x v="4"/>
    <x v="0"/>
    <s v="A+"/>
    <x v="6"/>
    <x v="1"/>
    <x v="21"/>
    <d v="2021-12-25T00:00:00"/>
    <n v="6"/>
    <s v="Bowen University Teaching Hospital"/>
    <x v="1"/>
    <s v="Dr. Halima Usman"/>
    <x v="4"/>
    <n v="17226.78"/>
    <s v="Azithromycin"/>
    <n v="6"/>
    <n v="120"/>
    <n v="14.7"/>
    <s v="Abnormal"/>
    <x v="0"/>
  </r>
  <r>
    <x v="881"/>
    <s v="Sarah Adeleke"/>
    <n v="69"/>
    <x v="4"/>
    <x v="1"/>
    <s v=""/>
    <x v="0"/>
    <x v="1"/>
    <x v="709"/>
    <d v="2019-09-09T00:00:00"/>
    <n v="9"/>
    <s v="Federal Medical Centre Asaba"/>
    <x v="0"/>
    <s v="Dr. Amara Osei"/>
    <x v="0"/>
    <n v="54458.239999999998"/>
    <s v="Cyclophosphamide"/>
    <n v="11"/>
    <n v="146"/>
    <n v="21.4"/>
    <s v="Abnormal"/>
    <x v="1"/>
  </r>
  <r>
    <x v="882"/>
    <s v="Emmanuel Dauda"/>
    <n v="62"/>
    <x v="3"/>
    <x v="0"/>
    <s v="O+"/>
    <x v="2"/>
    <x v="0"/>
    <x v="710"/>
    <d v="2023-11-17T00:00:00"/>
    <n v="14"/>
    <s v="Aminu Kano Teaching Hospital"/>
    <x v="2"/>
    <s v="Dr. Rotimi Fashola"/>
    <x v="0"/>
    <n v="43133.87"/>
    <s v="Donepezil"/>
    <n v="7"/>
    <n v="380"/>
    <n v="20.100000000000001"/>
    <s v="Inconclusive"/>
    <x v="1"/>
  </r>
  <r>
    <x v="883"/>
    <s v="Bukola Davis"/>
    <n v="84"/>
    <x v="1"/>
    <x v="1"/>
    <s v="AB+"/>
    <x v="4"/>
    <x v="2"/>
    <x v="711"/>
    <d v="2023-02-17T00:00:00"/>
    <n v="5"/>
    <s v="University College Hospital Ibadan"/>
    <x v="1"/>
    <s v="Dr. Aisha Bello"/>
    <x v="1"/>
    <n v="24653.89"/>
    <s v="Metronidazole"/>
    <n v="5"/>
    <n v="176"/>
    <n v="26.1"/>
    <s v="Abnormal"/>
    <x v="0"/>
  </r>
  <r>
    <x v="884"/>
    <s v="Chiamaka Abiodun"/>
    <n v="61"/>
    <x v="3"/>
    <x v="1"/>
    <s v="AB+"/>
    <x v="7"/>
    <x v="1"/>
    <x v="712"/>
    <d v="2019-08-22T00:00:00"/>
    <n v="1"/>
    <s v="University of Calabar Teaching Hospital"/>
    <x v="0"/>
    <s v="Dr. Musa Aliyu"/>
    <x v="1"/>
    <n v="22010.34"/>
    <s v="Enoxaparin"/>
    <n v="4"/>
    <n v="173"/>
    <n v="14"/>
    <s v="Abnormal"/>
    <x v="0"/>
  </r>
  <r>
    <x v="885"/>
    <s v="Taiwo Igwe"/>
    <n v="86"/>
    <x v="1"/>
    <x v="1"/>
    <s v="A-"/>
    <x v="2"/>
    <x v="0"/>
    <x v="713"/>
    <d v="2024-05-21T00:00:00"/>
    <n v="8"/>
    <s v="Bowen University Teaching Hospital"/>
    <x v="1"/>
    <s v="Dr. Zainab Sule"/>
    <x v="1"/>
    <n v="132914.03"/>
    <s v="Valproate"/>
    <n v="9"/>
    <n v="394"/>
    <n v="26.3"/>
    <s v="Inconclusive"/>
    <x v="1"/>
  </r>
  <r>
    <x v="886"/>
    <s v="David Martin"/>
    <n v="56"/>
    <x v="3"/>
    <x v="0"/>
    <s v="B+"/>
    <x v="1"/>
    <x v="0"/>
    <x v="714"/>
    <d v="2021-11-09T00:00:00"/>
    <n v="5"/>
    <s v="Aminu Kano Teaching Hospital"/>
    <x v="2"/>
    <s v="Dr. Chioma Nwankwo"/>
    <x v="4"/>
    <n v="37913.67"/>
    <s v="Insulin Glargine"/>
    <n v="7"/>
    <n v="125"/>
    <n v="28.1"/>
    <s v="Inconclusive"/>
    <x v="1"/>
  </r>
  <r>
    <x v="887"/>
    <s v="Taiwo Okeke"/>
    <n v="69"/>
    <x v="4"/>
    <x v="1"/>
    <s v="O+"/>
    <x v="0"/>
    <x v="1"/>
    <x v="344"/>
    <d v="2024-09-10T00:00:00"/>
    <n v="7"/>
    <s v="Federal Medical Centre Birnin Kebbi"/>
    <x v="2"/>
    <s v="Dr. Babatunde Fashola"/>
    <x v="0"/>
    <n v="44977.09"/>
    <s v="Dexamethasone"/>
    <n v="12"/>
    <n v="191"/>
    <n v="27.5"/>
    <s v="Abnormal"/>
    <x v="0"/>
  </r>
  <r>
    <x v="888"/>
    <s v="Halima Davis"/>
    <n v="81"/>
    <x v="1"/>
    <x v="1"/>
    <s v="B+"/>
    <x v="5"/>
    <x v="0"/>
    <x v="715"/>
    <d v="2019-05-18T00:00:00"/>
    <n v="14"/>
    <s v="University of Calabar Teaching Hospital"/>
    <x v="0"/>
    <s v="Dr. Fatima Al-Hassan"/>
    <x v="2"/>
    <n v="58045.599999999999"/>
    <s v="Amlodipine"/>
    <n v="10"/>
    <n v="328"/>
    <n v="39.1"/>
    <s v="Abnormal"/>
    <x v="1"/>
  </r>
  <r>
    <x v="889"/>
    <s v="Rebecca Ibrahim"/>
    <n v="8"/>
    <x v="0"/>
    <x v="1"/>
    <s v="O+"/>
    <x v="5"/>
    <x v="1"/>
    <x v="716"/>
    <d v="2019-05-17T00:00:00"/>
    <n v="10"/>
    <s v="Lagos University Teaching Hospital"/>
    <x v="1"/>
    <s v="Dr. Fatima Al-Hassan"/>
    <x v="0"/>
    <n v="13606.73"/>
    <s v="Furosemide"/>
    <n v="10"/>
    <n v="191"/>
    <n v="31.5"/>
    <s v="Abnormal"/>
    <x v="0"/>
  </r>
  <r>
    <x v="890"/>
    <s v="Stella Ajala"/>
    <n v="5"/>
    <x v="0"/>
    <x v="1"/>
    <s v="B+"/>
    <x v="1"/>
    <x v="0"/>
    <x v="717"/>
    <d v="2019-07-23T00:00:00"/>
    <n v="5"/>
    <s v="Lagos University Teaching Hospital"/>
    <x v="1"/>
    <s v="Dr. Taiwo Adeleke"/>
    <x v="1"/>
    <n v="25206.01"/>
    <s v="Liraglutide"/>
    <n v="8"/>
    <n v="407"/>
    <n v="23.4"/>
    <s v="Abnormal"/>
    <x v="0"/>
  </r>
  <r>
    <x v="891"/>
    <s v="Nneka Anderson"/>
    <n v="85"/>
    <x v="1"/>
    <x v="1"/>
    <s v="B-"/>
    <x v="5"/>
    <x v="3"/>
    <x v="718"/>
    <d v="2019-12-26T00:00:00"/>
    <n v="7"/>
    <s v="Bowen University Teaching Hospital"/>
    <x v="1"/>
    <s v="Dr. Adewale Ogundimu"/>
    <x v="1"/>
    <n v="65393.21"/>
    <s v="Amiodarone"/>
    <n v="8"/>
    <n v="220"/>
    <n v="27.8"/>
    <s v="Inconclusive"/>
    <x v="0"/>
  </r>
  <r>
    <x v="892"/>
    <s v="Joseph Thompson"/>
    <n v="83"/>
    <x v="1"/>
    <x v="0"/>
    <s v="AB-"/>
    <x v="1"/>
    <x v="0"/>
    <x v="719"/>
    <d v="2023-04-07T00:00:00"/>
    <n v="6"/>
    <s v="Federal Medical Centre Asaba"/>
    <x v="0"/>
    <s v="Dr. Chioma Nwankwo"/>
    <x v="0"/>
    <n v="28204.19"/>
    <s v="Sitagliptin"/>
    <n v="8"/>
    <n v="157"/>
    <n v="30.4"/>
    <s v="Abnormal"/>
    <x v="1"/>
  </r>
  <r>
    <x v="893"/>
    <s v="Gbenga Ogbonna"/>
    <n v="30"/>
    <x v="2"/>
    <x v="0"/>
    <s v="B-"/>
    <x v="4"/>
    <x v="1"/>
    <x v="720"/>
    <d v="2023-06-28T00:00:00"/>
    <n v="2"/>
    <s v="Ahmadu Bello University Teaching Hospital"/>
    <x v="2"/>
    <s v="Dr. Nnamdi Okafor"/>
    <x v="2"/>
    <n v="7386.19"/>
    <s v="Metronidazole"/>
    <n v="5"/>
    <n v="134"/>
    <n v="19.8"/>
    <s v="Normal"/>
    <x v="0"/>
  </r>
  <r>
    <x v="894"/>
    <s v="Femi Johnson"/>
    <n v="70"/>
    <x v="4"/>
    <x v="0"/>
    <s v="B-"/>
    <x v="7"/>
    <x v="2"/>
    <x v="591"/>
    <d v="2019-12-23T00:00:00"/>
    <n v="3"/>
    <s v="Federal Medical Centre Asaba"/>
    <x v="0"/>
    <s v="Dr. Sarah Adeyemi"/>
    <x v="2"/>
    <n v="38958.089999999997"/>
    <s v="Enoxaparin"/>
    <n v="5"/>
    <n v="218"/>
    <n v="21.6"/>
    <s v="Normal"/>
    <x v="0"/>
  </r>
  <r>
    <x v="895"/>
    <s v="Rotimi Sule"/>
    <n v="62"/>
    <x v="3"/>
    <x v="0"/>
    <s v="AB-"/>
    <x v="3"/>
    <x v="2"/>
    <x v="721"/>
    <d v="2023-01-19T00:00:00"/>
    <n v="2"/>
    <s v="Federal Medical Centre Birnin Kebbi"/>
    <x v="2"/>
    <s v="Dr. Precious Obi"/>
    <x v="1"/>
    <n v="38353.4"/>
    <s v="Amoxicillin"/>
    <n v="4"/>
    <n v="271"/>
    <n v="27.9"/>
    <s v="Normal"/>
    <x v="0"/>
  </r>
  <r>
    <x v="896"/>
    <s v="Mariam Garba"/>
    <n v="59"/>
    <x v="3"/>
    <x v="1"/>
    <s v="AB+"/>
    <x v="0"/>
    <x v="2"/>
    <x v="722"/>
    <d v="2024-06-02T00:00:00"/>
    <n v="30"/>
    <s v="Federal Medical Centre Owerri"/>
    <x v="3"/>
    <s v="Dr. Babatunde Fashola"/>
    <x v="0"/>
    <n v="27745.8"/>
    <s v="Trastuzumab"/>
    <n v="12"/>
    <n v="219"/>
    <n v="19.399999999999999"/>
    <s v="Inconclusive"/>
    <x v="0"/>
  </r>
  <r>
    <x v="897"/>
    <s v="Peter Smith"/>
    <n v="40"/>
    <x v="5"/>
    <x v="0"/>
    <s v="AB+"/>
    <x v="5"/>
    <x v="0"/>
    <x v="723"/>
    <d v="2022-10-31T00:00:00"/>
    <n v="13"/>
    <s v="National Hospital Abuja"/>
    <x v="4"/>
    <s v="Dr. Adewale Ogundimu"/>
    <x v="1"/>
    <n v="62739"/>
    <s v="Furosemide"/>
    <n v="10"/>
    <n v="336"/>
    <n v="29"/>
    <s v="Inconclusive"/>
    <x v="0"/>
  </r>
  <r>
    <x v="898"/>
    <s v="Rachel Okeke"/>
    <n v="46"/>
    <x v="5"/>
    <x v="1"/>
    <s v="A-"/>
    <x v="4"/>
    <x v="1"/>
    <x v="724"/>
    <d v="2023-01-16T00:00:00"/>
    <n v="5"/>
    <s v="Aminu Kano Teaching Hospital"/>
    <x v="2"/>
    <s v="Dr. Aisha Bello"/>
    <x v="0"/>
    <n v="12667.39"/>
    <s v="Mesalazine"/>
    <n v="4"/>
    <n v="104"/>
    <n v="23.1"/>
    <s v="Abnormal"/>
    <x v="1"/>
  </r>
  <r>
    <x v="899"/>
    <s v="Tunde Lawal"/>
    <n v="65"/>
    <x v="4"/>
    <x v="0"/>
    <s v="AB-"/>
    <x v="5"/>
    <x v="0"/>
    <x v="725"/>
    <d v="2019-12-19T00:00:00"/>
    <n v="18"/>
    <s v="National Hospital Abuja"/>
    <x v="4"/>
    <s v="Dr. Adewale Ogundimu"/>
    <x v="0"/>
    <n v="68572.3"/>
    <s v="Digoxin"/>
    <n v="10"/>
    <n v="392"/>
    <n v="18.3"/>
    <s v="Abnormal"/>
    <x v="0"/>
  </r>
  <r>
    <x v="900"/>
    <s v="Joseph Williams"/>
    <n v="72"/>
    <x v="4"/>
    <x v="0"/>
    <s v="B-"/>
    <x v="2"/>
    <x v="0"/>
    <x v="726"/>
    <d v="2020-02-05T00:00:00"/>
    <n v="12"/>
    <s v="National Hospital Abuja"/>
    <x v="4"/>
    <s v="Dr. Olumide Abiodun"/>
    <x v="1"/>
    <n v="69859.38"/>
    <s v="Gabapentin"/>
    <n v="9"/>
    <n v="373"/>
    <n v="32.299999999999997"/>
    <s v="Normal"/>
    <x v="0"/>
  </r>
  <r>
    <x v="901"/>
    <s v="Emeka Thompson"/>
    <n v="73"/>
    <x v="4"/>
    <x v="0"/>
    <s v="B-"/>
    <x v="6"/>
    <x v="1"/>
    <x v="727"/>
    <d v="2019-02-04T00:00:00"/>
    <n v="5"/>
    <s v="Lagos University Teaching Hospital"/>
    <x v="1"/>
    <s v="Dr. Halima Usman"/>
    <x v="0"/>
    <n v="25612.02"/>
    <s v="Theophylline"/>
    <n v="7"/>
    <n v="196"/>
    <n v="14.4"/>
    <s v="Normal"/>
    <x v="0"/>
  </r>
  <r>
    <x v="902"/>
    <s v="Mary Dauda"/>
    <n v="43"/>
    <x v="5"/>
    <x v="1"/>
    <s v="A-"/>
    <x v="1"/>
    <x v="1"/>
    <x v="728"/>
    <d v="2023-09-08T00:00:00"/>
    <n v="3"/>
    <s v="University of Calabar Teaching Hospital"/>
    <x v="0"/>
    <s v="Dr. Chioma Nwankwo"/>
    <x v="4"/>
    <n v="8429"/>
    <s v="Liraglutide"/>
    <n v="5"/>
    <n v="134"/>
    <n v="39.200000000000003"/>
    <s v="Abnormal"/>
    <x v="0"/>
  </r>
  <r>
    <x v="903"/>
    <s v="Adewale Danjuma"/>
    <n v="27"/>
    <x v="2"/>
    <x v="0"/>
    <s v="AB+"/>
    <x v="4"/>
    <x v="2"/>
    <x v="154"/>
    <d v="2021-07-16T00:00:00"/>
    <n v="3"/>
    <s v="Federal Medical Centre Asaba"/>
    <x v="0"/>
    <s v="Dr. Nnamdi Okafor"/>
    <x v="3"/>
    <n v="10908.15"/>
    <s v="Omeprazole"/>
    <n v="3"/>
    <n v="475"/>
    <n v="20.6"/>
    <s v="Inconclusive"/>
    <x v="0"/>
  </r>
  <r>
    <x v="904"/>
    <s v="Joseph Adebayo"/>
    <n v="69"/>
    <x v="4"/>
    <x v="0"/>
    <s v="B-"/>
    <x v="6"/>
    <x v="1"/>
    <x v="208"/>
    <d v="2019-04-13T00:00:00"/>
    <n v="1"/>
    <s v="Bowen University Teaching Hospital"/>
    <x v="1"/>
    <s v="Dr. Yusuf Danjuma"/>
    <x v="1"/>
    <n v="23156.06"/>
    <s v="Prednisolone"/>
    <n v="7"/>
    <n v="163"/>
    <n v="26.2"/>
    <s v="Abnormal"/>
    <x v="0"/>
  </r>
  <r>
    <x v="905"/>
    <s v="Kemi Okafor"/>
    <n v="25"/>
    <x v="2"/>
    <x v="1"/>
    <s v="B+"/>
    <x v="5"/>
    <x v="0"/>
    <x v="231"/>
    <d v="2021-04-27T00:00:00"/>
    <n v="10"/>
    <s v="Federal Medical Centre Birnin Kebbi"/>
    <x v="2"/>
    <s v="Dr. Emeka Okorie"/>
    <x v="0"/>
    <n v="58452.47"/>
    <s v="Furosemide"/>
    <n v="10"/>
    <n v="380"/>
    <n v="26.8"/>
    <s v="Abnormal"/>
    <x v="0"/>
  </r>
  <r>
    <x v="906"/>
    <s v="Blessing Onuoha"/>
    <n v="60"/>
    <x v="3"/>
    <x v="1"/>
    <s v="B-"/>
    <x v="5"/>
    <x v="2"/>
    <x v="25"/>
    <d v="2023-04-05T00:00:00"/>
    <n v="3"/>
    <s v="Federal Medical Centre Birnin Kebbi"/>
    <x v="2"/>
    <s v="Dr. Fatima Al-Hassan"/>
    <x v="1"/>
    <n v="38333.96"/>
    <s v="Amlodipine"/>
    <n v="10"/>
    <n v="201"/>
    <m/>
    <s v="Normal"/>
    <x v="0"/>
  </r>
  <r>
    <x v="907"/>
    <s v="Adewale Ajala"/>
    <n v="58"/>
    <x v="3"/>
    <x v="0"/>
    <s v="O+"/>
    <x v="1"/>
    <x v="0"/>
    <x v="729"/>
    <d v="2024-02-20T00:00:00"/>
    <n v="5"/>
    <s v="Ahmadu Bello University Teaching Hospital"/>
    <x v="2"/>
    <s v="Dr. Taiwo Adeleke"/>
    <x v="1"/>
    <n v="38144.720000000001"/>
    <s v="Metformin"/>
    <n v="8"/>
    <n v="499"/>
    <n v="41.5"/>
    <s v="Abnormal"/>
    <x v="1"/>
  </r>
  <r>
    <x v="908"/>
    <s v="Lydia Yakubu"/>
    <n v="61"/>
    <x v="3"/>
    <x v="1"/>
    <s v="O-"/>
    <x v="6"/>
    <x v="3"/>
    <x v="730"/>
    <d v="2024-04-16T00:00:00"/>
    <n v="3"/>
    <s v="Lagos University Teaching Hospital"/>
    <x v="1"/>
    <s v="Dr. Yusuf Danjuma"/>
    <x v="4"/>
    <n v="9168.5300000000007"/>
    <s v="Salbutamol"/>
    <n v="6"/>
    <n v="152"/>
    <n v="24.5"/>
    <s v="Inconclusive"/>
    <x v="1"/>
  </r>
  <r>
    <x v="909"/>
    <s v="Sarah Akintola"/>
    <n v="58"/>
    <x v="3"/>
    <x v="1"/>
    <s v="B+"/>
    <x v="4"/>
    <x v="0"/>
    <x v="165"/>
    <d v="2021-07-04T00:00:00"/>
    <n v="4"/>
    <s v="Federal Medical Centre Owerri"/>
    <x v="3"/>
    <s v="Dr. Nnamdi Okafor"/>
    <x v="1"/>
    <n v="21334.17"/>
    <s v="Mesalazine"/>
    <n v="4"/>
    <n v="108"/>
    <m/>
    <s v="Abnormal"/>
    <x v="0"/>
  </r>
  <r>
    <x v="910"/>
    <s v="Kayode Igwe"/>
    <n v="61"/>
    <x v="3"/>
    <x v="0"/>
    <s v="A+"/>
    <x v="3"/>
    <x v="0"/>
    <x v="231"/>
    <d v="2021-04-24T00:00:00"/>
    <n v="7"/>
    <s v="Aminu Kano Teaching Hospital"/>
    <x v="2"/>
    <s v="Dr. Kemi Adeyemi"/>
    <x v="0"/>
    <n v="40908.57"/>
    <s v="Ondansetron"/>
    <n v="6"/>
    <n v="481"/>
    <n v="24.7"/>
    <s v="Abnormal"/>
    <x v="0"/>
  </r>
  <r>
    <x v="911"/>
    <s v="Ifeoma Taylor"/>
    <n v="74"/>
    <x v="4"/>
    <x v="1"/>
    <s v="AB-"/>
    <x v="1"/>
    <x v="0"/>
    <x v="731"/>
    <m/>
    <m/>
    <s v="Bowen University Teaching Hospital"/>
    <x v="1"/>
    <s v="Dr. Ibrahim Musa"/>
    <x v="1"/>
    <n v="29631.57"/>
    <s v="Linagliptin"/>
    <n v="8"/>
    <n v="466"/>
    <m/>
    <s v="Abnormal"/>
    <x v="0"/>
  </r>
  <r>
    <x v="912"/>
    <s v="Bukola Oni"/>
    <n v="62"/>
    <x v="3"/>
    <x v="1"/>
    <s v="O-"/>
    <x v="0"/>
    <x v="2"/>
    <x v="732"/>
    <d v="2022-09-01T00:00:00"/>
    <n v="6"/>
    <s v="University of Calabar Teaching Hospital"/>
    <x v="0"/>
    <s v="Dr. Babatunde Fashola"/>
    <x v="2"/>
    <n v="39892.18"/>
    <s v="Trastuzumab"/>
    <n v="12"/>
    <n v="410"/>
    <n v="15"/>
    <s v="Abnormal"/>
    <x v="1"/>
  </r>
  <r>
    <x v="913"/>
    <s v="Ifeanyi Musa"/>
    <n v="60"/>
    <x v="3"/>
    <x v="0"/>
    <s v="O-"/>
    <x v="1"/>
    <x v="1"/>
    <x v="733"/>
    <d v="2023-06-01T00:00:00"/>
    <n v="2"/>
    <s v="Federal Medical Centre Birnin Kebbi"/>
    <x v="2"/>
    <s v="Dr. Ibrahim Musa"/>
    <x v="1"/>
    <n v="17461.16"/>
    <s v="Linagliptin"/>
    <n v="8"/>
    <n v="126"/>
    <n v="39.6"/>
    <s v="Abnormal"/>
    <x v="0"/>
  </r>
  <r>
    <x v="914"/>
    <s v="Kemi Aliyu"/>
    <n v="11"/>
    <x v="0"/>
    <x v="1"/>
    <s v="A-"/>
    <x v="6"/>
    <x v="1"/>
    <x v="58"/>
    <d v="2019-12-07T00:00:00"/>
    <n v="5"/>
    <s v="Federal Medical Centre Owerri"/>
    <x v="3"/>
    <s v="Dr. Ngozi Eze-Williams"/>
    <x v="4"/>
    <n v="5605.29"/>
    <s v="Theophylline"/>
    <n v="7"/>
    <n v="105"/>
    <n v="30.4"/>
    <s v="Abnormal"/>
    <x v="0"/>
  </r>
  <r>
    <x v="915"/>
    <s v="Michael Thompson"/>
    <n v="41"/>
    <x v="5"/>
    <x v="0"/>
    <s v="O-"/>
    <x v="1"/>
    <x v="1"/>
    <x v="123"/>
    <m/>
    <m/>
    <s v="Federal Medical Centre Asaba"/>
    <x v="0"/>
    <s v="Dr. Chioma Nwankwo"/>
    <x v="0"/>
    <n v="13642.64"/>
    <s v="Metformin"/>
    <n v="8"/>
    <n v="111"/>
    <n v="30.4"/>
    <s v="Abnormal"/>
    <x v="0"/>
  </r>
  <r>
    <x v="916"/>
    <s v="Blessing Okeke"/>
    <n v="77"/>
    <x v="1"/>
    <x v="1"/>
    <s v=""/>
    <x v="6"/>
    <x v="0"/>
    <x v="734"/>
    <d v="2023-12-21T00:00:00"/>
    <n v="13"/>
    <s v="Bowen University Teaching Hospital"/>
    <x v="1"/>
    <s v="Dr. Yusuf Danjuma"/>
    <x v="0"/>
    <n v="39971"/>
    <s v="Salbutamol"/>
    <n v="7"/>
    <n v="376"/>
    <n v="34.1"/>
    <s v="Normal"/>
    <x v="0"/>
  </r>
  <r>
    <x v="917"/>
    <s v="Lanre Bankole"/>
    <n v="41"/>
    <x v="5"/>
    <x v="0"/>
    <s v="A+"/>
    <x v="5"/>
    <x v="1"/>
    <x v="383"/>
    <d v="2020-01-03T00:00:00"/>
    <n v="7"/>
    <s v="Lagos University Teaching Hospital"/>
    <x v="1"/>
    <s v="Dr. Adewale Ogundimu"/>
    <x v="1"/>
    <n v="26726.11"/>
    <s v="Atorvastatin"/>
    <n v="9"/>
    <n v="175"/>
    <n v="32.700000000000003"/>
    <s v="Inconclusive"/>
    <x v="0"/>
  </r>
  <r>
    <x v="918"/>
    <s v="David Eze"/>
    <n v="67"/>
    <x v="4"/>
    <x v="0"/>
    <s v="AB+"/>
    <x v="6"/>
    <x v="1"/>
    <x v="735"/>
    <d v="2024-12-26T00:00:00"/>
    <n v="5"/>
    <s v="National Hospital Abuja"/>
    <x v="4"/>
    <s v="Dr. Halima Usman"/>
    <x v="1"/>
    <n v="28663.54"/>
    <s v="Montelukast"/>
    <n v="7"/>
    <n v="176"/>
    <n v="24.4"/>
    <s v="Normal"/>
    <x v="1"/>
  </r>
  <r>
    <x v="919"/>
    <s v="Mariam Wilson"/>
    <n v="78"/>
    <x v="1"/>
    <x v="1"/>
    <s v="AB+"/>
    <x v="0"/>
    <x v="1"/>
    <x v="736"/>
    <d v="2022-11-14T00:00:00"/>
    <n v="5"/>
    <s v="Federal Medical Centre Asaba"/>
    <x v="0"/>
    <s v="Dr. Babatunde Fashola"/>
    <x v="2"/>
    <n v="129636.13"/>
    <s v="Tamoxifen"/>
    <n v="12"/>
    <n v="151"/>
    <n v="23.2"/>
    <s v="Inconclusive"/>
    <x v="0"/>
  </r>
  <r>
    <x v="920"/>
    <s v="Adewale Martin"/>
    <n v="91"/>
    <x v="1"/>
    <x v="0"/>
    <s v="B+"/>
    <x v="6"/>
    <x v="1"/>
    <x v="176"/>
    <d v="2022-02-12T00:00:00"/>
    <n v="5"/>
    <s v="Federal Medical Centre Owerri"/>
    <x v="3"/>
    <s v="Dr. Yusuf Danjuma"/>
    <x v="4"/>
    <n v="12091.3"/>
    <s v="Azithromycin"/>
    <n v="7"/>
    <n v="186"/>
    <n v="32.700000000000003"/>
    <s v="Normal"/>
    <x v="0"/>
  </r>
  <r>
    <x v="921"/>
    <s v="Ifeoma Musa"/>
    <n v="74"/>
    <x v="4"/>
    <x v="1"/>
    <s v="O+"/>
    <x v="7"/>
    <x v="1"/>
    <x v="311"/>
    <d v="2020-05-22T00:00:00"/>
    <n v="2"/>
    <s v="Federal Medical Centre Owerri"/>
    <x v="3"/>
    <s v="Dr. Chukwuemeka Nwosu"/>
    <x v="4"/>
    <n v="29928.58"/>
    <s v="Vitamin D"/>
    <n v="6"/>
    <n v="149"/>
    <n v="34"/>
    <s v="Normal"/>
    <x v="0"/>
  </r>
  <r>
    <x v="922"/>
    <s v="Abdullahi Yakubu"/>
    <n v="54"/>
    <x v="5"/>
    <x v="0"/>
    <s v="AB-"/>
    <x v="5"/>
    <x v="1"/>
    <x v="737"/>
    <d v="2019-07-12T00:00:00"/>
    <n v="4"/>
    <s v="Federal Medical Centre Birnin Kebbi"/>
    <x v="2"/>
    <s v="Dr. Adewale Ogundimu"/>
    <x v="3"/>
    <n v="58874"/>
    <s v="Aspirin"/>
    <n v="10"/>
    <n v="143"/>
    <n v="32.6"/>
    <s v="Inconclusive"/>
    <x v="0"/>
  </r>
  <r>
    <x v="923"/>
    <s v="Rukayat Smith"/>
    <n v="63"/>
    <x v="3"/>
    <x v="1"/>
    <s v="B-"/>
    <x v="5"/>
    <x v="3"/>
    <x v="592"/>
    <d v="2019-10-28T00:00:00"/>
    <n v="7"/>
    <s v="National Hospital Abuja"/>
    <x v="4"/>
    <s v="Dr. Adewale Ogundimu"/>
    <x v="4"/>
    <n v="30627.67"/>
    <s v="Amiodarone"/>
    <n v="8"/>
    <n v="164"/>
    <n v="30.2"/>
    <s v="Abnormal"/>
    <x v="0"/>
  </r>
  <r>
    <x v="924"/>
    <s v="Nnamdi Akintola"/>
    <n v="53"/>
    <x v="5"/>
    <x v="0"/>
    <s v="O+"/>
    <x v="5"/>
    <x v="0"/>
    <x v="738"/>
    <d v="2024-06-21T00:00:00"/>
    <n v="10"/>
    <s v="Federal Medical Centre Owerri"/>
    <x v="3"/>
    <s v="Dr. Adewale Ogundimu"/>
    <x v="2"/>
    <n v="154485.25"/>
    <s v="Amlodipine"/>
    <n v="8"/>
    <n v="327"/>
    <n v="34.200000000000003"/>
    <s v="Abnormal"/>
    <x v="0"/>
  </r>
  <r>
    <x v="925"/>
    <s v="Chukwuemeka Musa"/>
    <n v="63"/>
    <x v="3"/>
    <x v="0"/>
    <s v="B+"/>
    <x v="4"/>
    <x v="0"/>
    <x v="739"/>
    <d v="2023-04-08T00:00:00"/>
    <n v="4"/>
    <s v="Federal Medical Centre Birnin Kebbi"/>
    <x v="2"/>
    <s v="Dr. Segun Banke"/>
    <x v="4"/>
    <n v="22389.59"/>
    <s v="Mesalazine"/>
    <n v="4"/>
    <n v="253"/>
    <n v="31"/>
    <s v="Inconclusive"/>
    <x v="0"/>
  </r>
  <r>
    <x v="926"/>
    <s v="Uche Usman"/>
    <n v="79"/>
    <x v="1"/>
    <x v="0"/>
    <s v="O-"/>
    <x v="7"/>
    <x v="2"/>
    <x v="530"/>
    <d v="2024-12-03T00:00:00"/>
    <n v="7"/>
    <s v="Bowen University Teaching Hospital"/>
    <x v="1"/>
    <s v="Dr. Chukwuemeka Nwosu"/>
    <x v="0"/>
    <n v="26349.42"/>
    <s v="Calcium"/>
    <n v="4"/>
    <n v="462"/>
    <n v="35.6"/>
    <s v="Abnormal"/>
    <x v="0"/>
  </r>
  <r>
    <x v="927"/>
    <s v="Adewale Eze"/>
    <n v="63"/>
    <x v="3"/>
    <x v="0"/>
    <s v="AB+"/>
    <x v="1"/>
    <x v="2"/>
    <x v="612"/>
    <d v="2023-05-24T00:00:00"/>
    <n v="7"/>
    <s v="Bowen University Teaching Hospital"/>
    <x v="1"/>
    <s v="Dr. Taiwo Adeleke"/>
    <x v="0"/>
    <n v="25830.44"/>
    <s v="Liraglutide"/>
    <n v="8"/>
    <n v="212"/>
    <n v="37"/>
    <s v="Inconclusive"/>
    <x v="0"/>
  </r>
  <r>
    <x v="928"/>
    <s v="Bashir Bello"/>
    <n v="44"/>
    <x v="5"/>
    <x v="0"/>
    <s v="O-"/>
    <x v="6"/>
    <x v="0"/>
    <x v="740"/>
    <d v="2024-05-27T00:00:00"/>
    <n v="12"/>
    <s v="Aminu Kano Teaching Hospital"/>
    <x v="2"/>
    <s v="Dr. Ngozi Eze-Williams"/>
    <x v="0"/>
    <n v="21093"/>
    <s v="Salbutamol"/>
    <n v="4"/>
    <n v="369"/>
    <n v="29.5"/>
    <s v="Normal"/>
    <x v="0"/>
  </r>
  <r>
    <x v="929"/>
    <s v="Ruth Lawan"/>
    <n v="73"/>
    <x v="4"/>
    <x v="1"/>
    <s v="AB-"/>
    <x v="0"/>
    <x v="0"/>
    <x v="376"/>
    <d v="2021-11-24T00:00:00"/>
    <n v="13"/>
    <s v="University College Hospital Ibadan"/>
    <x v="1"/>
    <s v="Dr. Amara Osei"/>
    <x v="0"/>
    <n v="103217.86"/>
    <s v="Ondansetron"/>
    <n v="12"/>
    <n v="324"/>
    <n v="14"/>
    <s v="Abnormal"/>
    <x v="1"/>
  </r>
  <r>
    <x v="930"/>
    <s v="James Williams"/>
    <n v="73"/>
    <x v="4"/>
    <x v="0"/>
    <s v="B+"/>
    <x v="3"/>
    <x v="0"/>
    <x v="741"/>
    <d v="2024-02-27T00:00:00"/>
    <n v="3"/>
    <s v="Aminu Kano Teaching Hospital"/>
    <x v="2"/>
    <s v="Dr. Kemi Adeyemi"/>
    <x v="4"/>
    <n v="72151.42"/>
    <s v="Metronidazole"/>
    <n v="6"/>
    <n v="357"/>
    <n v="32.4"/>
    <s v="Inconclusive"/>
    <x v="0"/>
  </r>
  <r>
    <x v="931"/>
    <s v="Nnamdi Thompson"/>
    <n v="49"/>
    <x v="5"/>
    <x v="0"/>
    <s v="AB+"/>
    <x v="0"/>
    <x v="2"/>
    <x v="705"/>
    <d v="2023-01-29T00:00:00"/>
    <n v="14"/>
    <s v="Federal Medical Centre Birnin Kebbi"/>
    <x v="2"/>
    <s v="Dr. Babatunde Fashola"/>
    <x v="0"/>
    <n v="79418.77"/>
    <s v="Methotrexate"/>
    <n v="12"/>
    <n v="472"/>
    <n v="23.9"/>
    <s v="Inconclusive"/>
    <x v="1"/>
  </r>
  <r>
    <x v="932"/>
    <s v="Mary Igwe"/>
    <n v="59"/>
    <x v="3"/>
    <x v="1"/>
    <s v="AB-"/>
    <x v="5"/>
    <x v="1"/>
    <x v="742"/>
    <d v="2020-05-01T00:00:00"/>
    <n v="8"/>
    <s v="Federal Medical Centre Owerri"/>
    <x v="3"/>
    <s v="Dr. Emeka Okorie"/>
    <x v="0"/>
    <n v="48319.68"/>
    <s v="Lisinopril"/>
    <n v="10"/>
    <n v="179"/>
    <n v="27.8"/>
    <s v="Abnormal"/>
    <x v="0"/>
  </r>
  <r>
    <x v="933"/>
    <s v="James Salami"/>
    <n v="71"/>
    <x v="4"/>
    <x v="0"/>
    <s v="AB+"/>
    <x v="5"/>
    <x v="0"/>
    <x v="743"/>
    <d v="2023-02-21T00:00:00"/>
    <n v="13"/>
    <s v="University College Hospital Ibadan"/>
    <x v="1"/>
    <s v="Dr. Emeka Okorie"/>
    <x v="4"/>
    <n v="54960.36"/>
    <s v="Amlodipine"/>
    <n v="10"/>
    <n v="324"/>
    <n v="32.4"/>
    <s v="Abnormal"/>
    <x v="0"/>
  </r>
  <r>
    <x v="934"/>
    <s v="Fatima Fashola"/>
    <n v="60"/>
    <x v="3"/>
    <x v="1"/>
    <s v="AB+"/>
    <x v="1"/>
    <x v="1"/>
    <x v="744"/>
    <d v="2019-01-04T00:00:00"/>
    <n v="3"/>
    <s v="Ahmadu Bello University Teaching Hospital"/>
    <x v="2"/>
    <s v="Dr. Chioma Nwankwo"/>
    <x v="1"/>
    <n v="17162.96"/>
    <s v="Dapagliflozin"/>
    <n v="8"/>
    <n v="177"/>
    <n v="31.4"/>
    <s v="Normal"/>
    <x v="0"/>
  </r>
  <r>
    <x v="935"/>
    <s v="Bashir Abiodun"/>
    <n v="55"/>
    <x v="3"/>
    <x v="0"/>
    <s v="O-"/>
    <x v="1"/>
    <x v="1"/>
    <x v="745"/>
    <d v="2023-09-06T00:00:00"/>
    <n v="5"/>
    <s v="Federal Medical Centre Asaba"/>
    <x v="0"/>
    <s v="Dr. Chioma Nwankwo"/>
    <x v="4"/>
    <n v="9379.4500000000007"/>
    <s v="Liraglutide"/>
    <n v="8"/>
    <n v="146"/>
    <n v="23"/>
    <s v="Inconclusive"/>
    <x v="0"/>
  </r>
  <r>
    <x v="936"/>
    <s v="Tunde Anderson"/>
    <n v="89"/>
    <x v="1"/>
    <x v="0"/>
    <s v="AB-"/>
    <x v="5"/>
    <x v="1"/>
    <x v="328"/>
    <d v="2024-11-10T00:00:00"/>
    <n v="14"/>
    <s v="Federal Medical Centre Birnin Kebbi"/>
    <x v="2"/>
    <s v="Dr. Emeka Okorie"/>
    <x v="0"/>
    <n v="107171.38"/>
    <s v="Lisinopril"/>
    <n v="10"/>
    <n v="175"/>
    <n v="25.2"/>
    <s v="Abnormal"/>
    <x v="0"/>
  </r>
  <r>
    <x v="937"/>
    <s v="Daniel Eze"/>
    <n v="83"/>
    <x v="1"/>
    <x v="0"/>
    <s v="AB-"/>
    <x v="5"/>
    <x v="0"/>
    <x v="746"/>
    <d v="2022-12-26T00:00:00"/>
    <n v="19"/>
    <s v="Ahmadu Bello University Teaching Hospital"/>
    <x v="2"/>
    <s v="Dr. Fatima Al-Hassan"/>
    <x v="0"/>
    <n v="122671.73"/>
    <s v="Spironolactone"/>
    <n v="8"/>
    <n v="330"/>
    <n v="35.5"/>
    <s v="Abnormal"/>
    <x v="0"/>
  </r>
  <r>
    <x v="938"/>
    <s v="Chukwudi Chukwu"/>
    <n v="22"/>
    <x v="2"/>
    <x v="0"/>
    <s v="B-"/>
    <x v="6"/>
    <x v="0"/>
    <x v="747"/>
    <d v="2024-11-24T00:00:00"/>
    <n v="7"/>
    <s v="University College Hospital Ibadan"/>
    <x v="1"/>
    <s v="Dr. Yusuf Danjuma"/>
    <x v="1"/>
    <n v="13104.31"/>
    <s v="Azithromycin"/>
    <n v="7"/>
    <n v="393"/>
    <m/>
    <s v="Normal"/>
    <x v="0"/>
  </r>
  <r>
    <x v="939"/>
    <s v="Bashir Bello"/>
    <n v="68"/>
    <x v="4"/>
    <x v="0"/>
    <s v="AB-"/>
    <x v="5"/>
    <x v="1"/>
    <x v="748"/>
    <d v="2022-10-14T00:00:00"/>
    <n v="7"/>
    <s v="University of Calabar Teaching Hospital"/>
    <x v="0"/>
    <s v="Dr. Fatima Al-Hassan"/>
    <x v="0"/>
    <n v="39305.620000000003"/>
    <s v="Lisinopril"/>
    <n v="10"/>
    <n v="174"/>
    <n v="31.4"/>
    <s v="Abnormal"/>
    <x v="0"/>
  </r>
  <r>
    <x v="940"/>
    <s v="James Garba"/>
    <n v="61"/>
    <x v="3"/>
    <x v="0"/>
    <s v="AB-"/>
    <x v="6"/>
    <x v="0"/>
    <x v="749"/>
    <d v="2024-05-04T00:00:00"/>
    <n v="7"/>
    <s v="Ahmadu Bello University Teaching Hospital"/>
    <x v="2"/>
    <s v="Dr. Halima Usman"/>
    <x v="0"/>
    <n v="36140"/>
    <s v="Salbutamol"/>
    <n v="7"/>
    <n v="366"/>
    <n v="22.1"/>
    <s v="Abnormal"/>
    <x v="0"/>
  </r>
  <r>
    <x v="941"/>
    <s v="Ngozi Garba"/>
    <n v="41"/>
    <x v="5"/>
    <x v="1"/>
    <s v="AB-"/>
    <x v="0"/>
    <x v="2"/>
    <x v="750"/>
    <d v="2023-03-15T00:00:00"/>
    <n v="14"/>
    <s v="Federal Medical Centre Owerri"/>
    <x v="3"/>
    <s v="Dr. Babatunde Fashola"/>
    <x v="0"/>
    <n v="83434.95"/>
    <s v="Bevacizumab"/>
    <n v="11"/>
    <n v="143"/>
    <n v="24.8"/>
    <s v="Abnormal"/>
    <x v="0"/>
  </r>
  <r>
    <x v="942"/>
    <s v="James Fashola"/>
    <n v="80"/>
    <x v="1"/>
    <x v="0"/>
    <s v="A+"/>
    <x v="3"/>
    <x v="1"/>
    <x v="265"/>
    <d v="2023-07-02T00:00:00"/>
    <n v="8"/>
    <s v="Federal Medical Centre Birnin Kebbi"/>
    <x v="2"/>
    <s v="Dr. Kemi Adeyemi"/>
    <x v="0"/>
    <n v="36877.18"/>
    <s v="Morphine"/>
    <n v="5"/>
    <n v="197"/>
    <n v="38.6"/>
    <s v="Normal"/>
    <x v="0"/>
  </r>
  <r>
    <x v="943"/>
    <s v="Aisha Musa"/>
    <n v="35"/>
    <x v="5"/>
    <x v="1"/>
    <s v="AB+"/>
    <x v="0"/>
    <x v="1"/>
    <x v="596"/>
    <d v="2022-05-26T00:00:00"/>
    <n v="7"/>
    <s v="Aminu Kano Teaching Hospital"/>
    <x v="2"/>
    <s v="Dr. Grace Oduya"/>
    <x v="1"/>
    <n v="14902.26"/>
    <s v="Methotrexate"/>
    <n v="12"/>
    <n v="116"/>
    <m/>
    <s v="Normal"/>
    <x v="0"/>
  </r>
  <r>
    <x v="944"/>
    <s v="Rebecca Chukwu"/>
    <n v="92"/>
    <x v="1"/>
    <x v="1"/>
    <s v="A+"/>
    <x v="5"/>
    <x v="1"/>
    <x v="747"/>
    <d v="2024-11-23T00:00:00"/>
    <n v="6"/>
    <s v="Federal Medical Centre Asaba"/>
    <x v="0"/>
    <s v="Dr. Emeka Okorie"/>
    <x v="2"/>
    <n v="109457.64"/>
    <s v="Aspirin"/>
    <n v="6"/>
    <n v="191"/>
    <n v="50.2"/>
    <s v="Inconclusive"/>
    <x v="0"/>
  </r>
  <r>
    <x v="945"/>
    <s v="Oluwaseun Obi"/>
    <n v="46"/>
    <x v="5"/>
    <x v="0"/>
    <s v="A+"/>
    <x v="2"/>
    <x v="0"/>
    <x v="171"/>
    <d v="2019-04-04T00:00:00"/>
    <n v="6"/>
    <s v="Federal Medical Centre Birnin Kebbi"/>
    <x v="2"/>
    <s v="Dr. Rotimi Fashola"/>
    <x v="1"/>
    <n v="53727"/>
    <s v="Phenytoin"/>
    <n v="9"/>
    <n v="359"/>
    <n v="32.200000000000003"/>
    <s v="Normal"/>
    <x v="0"/>
  </r>
  <r>
    <x v="946"/>
    <s v="Suleiman Okafor"/>
    <n v="70"/>
    <x v="4"/>
    <x v="0"/>
    <s v="AB+"/>
    <x v="4"/>
    <x v="1"/>
    <x v="751"/>
    <d v="2019-06-14T00:00:00"/>
    <n v="5"/>
    <s v="University College Hospital Ibadan"/>
    <x v="1"/>
    <s v="Dr. Nnamdi Okafor"/>
    <x v="0"/>
    <n v="7385"/>
    <s v="Omeprazole"/>
    <n v="5"/>
    <n v="166"/>
    <n v="37.200000000000003"/>
    <s v="Normal"/>
    <x v="0"/>
  </r>
  <r>
    <x v="947"/>
    <s v="Nneka Adeleke"/>
    <n v="51"/>
    <x v="5"/>
    <x v="1"/>
    <s v="A-"/>
    <x v="1"/>
    <x v="1"/>
    <x v="752"/>
    <d v="2020-03-08T00:00:00"/>
    <n v="3"/>
    <s v="Bowen University Teaching Hospital"/>
    <x v="1"/>
    <s v="Dr. Ibrahim Musa"/>
    <x v="1"/>
    <n v="7465.5"/>
    <s v="Sitagliptin"/>
    <n v="8"/>
    <n v="146"/>
    <n v="26.1"/>
    <s v="Inconclusive"/>
    <x v="0"/>
  </r>
  <r>
    <x v="948"/>
    <s v="Femi Brown"/>
    <n v="56"/>
    <x v="3"/>
    <x v="0"/>
    <s v="B+"/>
    <x v="1"/>
    <x v="1"/>
    <x v="753"/>
    <d v="2022-09-08T00:00:00"/>
    <n v="2"/>
    <s v="Lagos University Teaching Hospital"/>
    <x v="1"/>
    <s v="Dr. Taiwo Adeleke"/>
    <x v="3"/>
    <n v="12252.24"/>
    <s v="Sitagliptin"/>
    <n v="8"/>
    <n v="152"/>
    <m/>
    <s v="Normal"/>
    <x v="1"/>
  </r>
  <r>
    <x v="949"/>
    <s v="Chukwudi Igwe"/>
    <n v="88"/>
    <x v="1"/>
    <x v="0"/>
    <s v="B+"/>
    <x v="5"/>
    <x v="0"/>
    <x v="754"/>
    <d v="2024-09-22T00:00:00"/>
    <n v="9"/>
    <s v="Federal Medical Centre Birnin Kebbi"/>
    <x v="2"/>
    <s v="Dr. Fatima Al-Hassan"/>
    <x v="1"/>
    <n v="178054.8"/>
    <s v="Digoxin"/>
    <n v="10"/>
    <n v="327"/>
    <n v="24.7"/>
    <s v="Abnormal"/>
    <x v="0"/>
  </r>
  <r>
    <x v="950"/>
    <s v="Fatima Adeyemi"/>
    <n v="90"/>
    <x v="1"/>
    <x v="1"/>
    <s v="B-"/>
    <x v="0"/>
    <x v="1"/>
    <x v="755"/>
    <d v="2022-03-19T00:00:00"/>
    <n v="9"/>
    <s v="Federal Medical Centre Owerri"/>
    <x v="3"/>
    <s v="Dr. Amara Osei"/>
    <x v="2"/>
    <n v="43715.88"/>
    <s v="Letrozole"/>
    <n v="10"/>
    <n v="199"/>
    <n v="23.8"/>
    <s v="Abnormal"/>
    <x v="0"/>
  </r>
  <r>
    <x v="951"/>
    <s v="Nneka Dauda"/>
    <n v="56"/>
    <x v="3"/>
    <x v="1"/>
    <s v="AB-"/>
    <x v="2"/>
    <x v="0"/>
    <x v="498"/>
    <d v="2022-03-16T00:00:00"/>
    <n v="11"/>
    <s v="Aminu Kano Teaching Hospital"/>
    <x v="2"/>
    <s v="Dr. Zainab Sule"/>
    <x v="4"/>
    <n v="106727"/>
    <s v="Donepezil"/>
    <n v="7"/>
    <n v="355"/>
    <n v="38"/>
    <s v="Normal"/>
    <x v="0"/>
  </r>
  <r>
    <x v="952"/>
    <s v="Joseph Martin"/>
    <n v="81"/>
    <x v="1"/>
    <x v="0"/>
    <s v="B-"/>
    <x v="0"/>
    <x v="2"/>
    <x v="255"/>
    <d v="2022-05-27T00:00:00"/>
    <n v="7"/>
    <s v="Federal Medical Centre Asaba"/>
    <x v="0"/>
    <s v="Dr. Grace Oduya"/>
    <x v="4"/>
    <n v="60767.7"/>
    <s v="Bevacizumab"/>
    <n v="11"/>
    <n v="296"/>
    <n v="28.9"/>
    <s v="Abnormal"/>
    <x v="0"/>
  </r>
  <r>
    <x v="953"/>
    <s v="John Lawan"/>
    <n v="88"/>
    <x v="1"/>
    <x v="0"/>
    <s v="O-"/>
    <x v="3"/>
    <x v="2"/>
    <x v="756"/>
    <d v="2021-03-21T00:00:00"/>
    <n v="4"/>
    <s v="Lagos University Teaching Hospital"/>
    <x v="1"/>
    <s v="Dr. Kemi Adeyemi"/>
    <x v="3"/>
    <n v="55601.06"/>
    <s v="Metronidazole"/>
    <n v="6"/>
    <n v="101"/>
    <n v="33.9"/>
    <s v="Normal"/>
    <x v="0"/>
  </r>
  <r>
    <x v="954"/>
    <s v="Hauwa Ajala"/>
    <n v="56"/>
    <x v="3"/>
    <x v="1"/>
    <s v="AB+"/>
    <x v="0"/>
    <x v="1"/>
    <x v="757"/>
    <d v="2024-07-02T00:00:00"/>
    <n v="9"/>
    <s v="Aminu Kano Teaching Hospital"/>
    <x v="2"/>
    <s v="Dr. Babatunde Fashola"/>
    <x v="1"/>
    <n v="94380.12"/>
    <s v="Trastuzumab"/>
    <n v="9"/>
    <n v="103"/>
    <n v="22.9"/>
    <s v="Abnormal"/>
    <x v="0"/>
  </r>
  <r>
    <x v="955"/>
    <s v="Mary Osagie"/>
    <n v="50"/>
    <x v="5"/>
    <x v="1"/>
    <s v="AB-"/>
    <x v="7"/>
    <x v="0"/>
    <x v="749"/>
    <d v="2024-04-30T00:00:00"/>
    <n v="3"/>
    <s v="Federal Medical Centre Birnin Kebbi"/>
    <x v="2"/>
    <s v="Dr. Chukwuemeka Nwosu"/>
    <x v="2"/>
    <n v="44230.2"/>
    <s v="Enoxaparin"/>
    <n v="4"/>
    <n v="269"/>
    <n v="23.6"/>
    <s v="Normal"/>
    <x v="0"/>
  </r>
  <r>
    <x v="956"/>
    <s v="Adaeze Williams"/>
    <n v="39"/>
    <x v="5"/>
    <x v="1"/>
    <s v="B-"/>
    <x v="5"/>
    <x v="0"/>
    <x v="758"/>
    <d v="2024-11-15T00:00:00"/>
    <n v="18"/>
    <s v="Federal Medical Centre Asaba"/>
    <x v="0"/>
    <s v="Dr. Fatima Al-Hassan"/>
    <x v="0"/>
    <n v="26395.38"/>
    <s v="Atorvastatin"/>
    <n v="8"/>
    <n v="334"/>
    <n v="39.5"/>
    <s v="Abnormal"/>
    <x v="0"/>
  </r>
  <r>
    <x v="957"/>
    <s v="Lydia Abubakar"/>
    <n v="59"/>
    <x v="3"/>
    <x v="1"/>
    <s v="O-"/>
    <x v="5"/>
    <x v="0"/>
    <x v="732"/>
    <d v="2022-12-09T00:00:00"/>
    <n v="17"/>
    <s v="Ahmadu Bello University Teaching Hospital"/>
    <x v="2"/>
    <s v="Dr. Emeka Okorie"/>
    <x v="0"/>
    <n v="64970.79"/>
    <s v="Lisinopril"/>
    <n v="10"/>
    <n v="377"/>
    <n v="32.700000000000003"/>
    <s v="Inconclusive"/>
    <x v="1"/>
  </r>
  <r>
    <x v="958"/>
    <s v="David Igwe"/>
    <n v="31"/>
    <x v="2"/>
    <x v="0"/>
    <s v="A-"/>
    <x v="5"/>
    <x v="0"/>
    <x v="557"/>
    <d v="2023-12-24T00:00:00"/>
    <n v="10"/>
    <s v="Federal Medical Centre Owerri"/>
    <x v="3"/>
    <s v="Dr. Emeka Okorie"/>
    <x v="2"/>
    <n v="37757"/>
    <s v="Amlodipine"/>
    <n v="10"/>
    <n v="370"/>
    <n v="36.4"/>
    <s v="Abnormal"/>
    <x v="0"/>
  </r>
  <r>
    <x v="959"/>
    <s v="Rebecca Onuoha"/>
    <n v="80"/>
    <x v="1"/>
    <x v="1"/>
    <s v="B+"/>
    <x v="3"/>
    <x v="2"/>
    <x v="654"/>
    <d v="2019-07-20T00:00:00"/>
    <n v="5"/>
    <s v="Federal Medical Centre Asaba"/>
    <x v="0"/>
    <s v="Dr. Kemi Adeyemi"/>
    <x v="1"/>
    <n v="31479.65"/>
    <s v="Amoxicillin"/>
    <n v="6"/>
    <n v="370"/>
    <m/>
    <s v="Normal"/>
    <x v="0"/>
  </r>
  <r>
    <x v="960"/>
    <s v="Babatunde Salami"/>
    <n v="88"/>
    <x v="1"/>
    <x v="0"/>
    <s v="B+"/>
    <x v="2"/>
    <x v="1"/>
    <x v="100"/>
    <d v="2023-11-01T00:00:00"/>
    <n v="7"/>
    <s v="Aminu Kano Teaching Hospital"/>
    <x v="2"/>
    <s v="Dr. Rotimi Fashola"/>
    <x v="0"/>
    <n v="35711.199999999997"/>
    <s v="Donepezil"/>
    <n v="9"/>
    <n v="175"/>
    <n v="32"/>
    <s v="Abnormal"/>
    <x v="1"/>
  </r>
  <r>
    <x v="961"/>
    <s v="Chidi Musa"/>
    <n v="49"/>
    <x v="5"/>
    <x v="0"/>
    <s v="AB+"/>
    <x v="2"/>
    <x v="0"/>
    <x v="759"/>
    <d v="2019-12-30T00:00:00"/>
    <n v="7"/>
    <s v="National Hospital Abuja"/>
    <x v="4"/>
    <s v="Dr. Zainab Sule"/>
    <x v="1"/>
    <n v="80966.86"/>
    <s v="Donepezil"/>
    <n v="9"/>
    <n v="343"/>
    <n v="29.3"/>
    <s v="Abnormal"/>
    <x v="1"/>
  </r>
  <r>
    <x v="962"/>
    <s v="Nneka Abiodun"/>
    <n v="50"/>
    <x v="5"/>
    <x v="1"/>
    <s v="B-"/>
    <x v="5"/>
    <x v="0"/>
    <x v="760"/>
    <d v="2023-12-08T00:00:00"/>
    <n v="14"/>
    <s v="National Hospital Abuja"/>
    <x v="4"/>
    <s v="Dr. Adewale Ogundimu"/>
    <x v="0"/>
    <n v="31482.01"/>
    <s v="Digoxin"/>
    <n v="9"/>
    <n v="329"/>
    <n v="36.9"/>
    <s v="Inconclusive"/>
    <x v="0"/>
  </r>
  <r>
    <x v="963"/>
    <s v="Sarah Salami"/>
    <n v="70"/>
    <x v="4"/>
    <x v="1"/>
    <s v="A+"/>
    <x v="6"/>
    <x v="0"/>
    <x v="761"/>
    <d v="2024-12-05T00:00:00"/>
    <n v="3"/>
    <s v="Lagos University Teaching Hospital"/>
    <x v="1"/>
    <s v="Dr. Ngozi Eze-Williams"/>
    <x v="2"/>
    <n v="50017.65"/>
    <s v="Azithromycin"/>
    <n v="5"/>
    <n v="308"/>
    <n v="38.9"/>
    <s v="Normal"/>
    <x v="0"/>
  </r>
  <r>
    <x v="964"/>
    <s v="James Adebayo"/>
    <n v="25"/>
    <x v="2"/>
    <x v="0"/>
    <s v="B+"/>
    <x v="2"/>
    <x v="0"/>
    <x v="762"/>
    <d v="2022-07-23T00:00:00"/>
    <n v="6"/>
    <s v="Ahmadu Bello University Teaching Hospital"/>
    <x v="2"/>
    <s v="Dr. Zainab Sule"/>
    <x v="3"/>
    <n v="24859.63"/>
    <s v="Memantine"/>
    <n v="8"/>
    <n v="301"/>
    <n v="25.9"/>
    <s v="Abnormal"/>
    <x v="0"/>
  </r>
  <r>
    <x v="965"/>
    <s v="Kunle Aliyu"/>
    <n v="54"/>
    <x v="5"/>
    <x v="0"/>
    <s v="A+"/>
    <x v="5"/>
    <x v="1"/>
    <x v="220"/>
    <d v="2023-03-19T00:00:00"/>
    <n v="6"/>
    <s v="Federal Medical Centre Birnin Kebbi"/>
    <x v="2"/>
    <s v="Dr. Fatima Al-Hassan"/>
    <x v="1"/>
    <n v="39619.15"/>
    <s v="Spironolactone"/>
    <n v="7"/>
    <n v="175"/>
    <m/>
    <s v="Abnormal"/>
    <x v="0"/>
  </r>
  <r>
    <x v="966"/>
    <s v="Biodun Ogbonna"/>
    <n v="66"/>
    <x v="4"/>
    <x v="0"/>
    <s v="O+"/>
    <x v="5"/>
    <x v="1"/>
    <x v="763"/>
    <d v="2019-07-04T00:00:00"/>
    <n v="8"/>
    <s v="Aminu Kano Teaching Hospital"/>
    <x v="2"/>
    <s v="Dr. Adewale Ogundimu"/>
    <x v="0"/>
    <n v="38433.96"/>
    <s v="Spironolactone"/>
    <n v="9"/>
    <n v="150"/>
    <n v="20.9"/>
    <s v="Abnormal"/>
    <x v="0"/>
  </r>
  <r>
    <x v="967"/>
    <s v="Taiwo Osagie"/>
    <n v="57"/>
    <x v="3"/>
    <x v="1"/>
    <s v="A+"/>
    <x v="0"/>
    <x v="1"/>
    <x v="764"/>
    <d v="2019-09-28T00:00:00"/>
    <n v="5"/>
    <s v="University College Hospital Ibadan"/>
    <x v="1"/>
    <s v="Dr. Amara Osei"/>
    <x v="3"/>
    <n v="116689"/>
    <s v="Letrozole"/>
    <n v="11"/>
    <n v="151"/>
    <n v="17.8"/>
    <s v="Abnormal"/>
    <x v="0"/>
  </r>
  <r>
    <x v="968"/>
    <s v="Daniel Dauda"/>
    <n v="73"/>
    <x v="4"/>
    <x v="0"/>
    <s v="AB-"/>
    <x v="2"/>
    <x v="0"/>
    <x v="475"/>
    <d v="2023-12-05T00:00:00"/>
    <n v="13"/>
    <s v="National Hospital Abuja"/>
    <x v="4"/>
    <s v="Dr. Rotimi Fashola"/>
    <x v="0"/>
    <n v="95154.85"/>
    <s v="Memantine"/>
    <n v="9"/>
    <n v="387"/>
    <n v="18.3"/>
    <s v="Abnormal"/>
    <x v="0"/>
  </r>
  <r>
    <x v="969"/>
    <s v="Josephine Yakubu"/>
    <n v="78"/>
    <x v="1"/>
    <x v="1"/>
    <s v="A-"/>
    <x v="5"/>
    <x v="1"/>
    <x v="765"/>
    <d v="2020-12-21T00:00:00"/>
    <n v="5"/>
    <s v="Federal Medical Centre Birnin Kebbi"/>
    <x v="2"/>
    <s v="Dr. Emeka Okorie"/>
    <x v="3"/>
    <n v="63717.73"/>
    <s v="Digoxin"/>
    <n v="10"/>
    <n v="157"/>
    <n v="23.5"/>
    <s v="Abnormal"/>
    <x v="0"/>
  </r>
  <r>
    <x v="970"/>
    <s v="Rukayat Aliyu"/>
    <n v="85"/>
    <x v="1"/>
    <x v="1"/>
    <s v=""/>
    <x v="5"/>
    <x v="0"/>
    <x v="766"/>
    <d v="2020-02-12T00:00:00"/>
    <n v="7"/>
    <s v="Bowen University Teaching Hospital"/>
    <x v="1"/>
    <s v="Dr. Emeka Okorie"/>
    <x v="4"/>
    <n v="68544.820000000007"/>
    <s v="Aspirin"/>
    <n v="9"/>
    <n v="365"/>
    <n v="26.6"/>
    <s v="Abnormal"/>
    <x v="1"/>
  </r>
  <r>
    <x v="971"/>
    <s v="Kayode Eze"/>
    <n v="60"/>
    <x v="3"/>
    <x v="0"/>
    <s v="O-"/>
    <x v="5"/>
    <x v="0"/>
    <x v="767"/>
    <d v="2020-04-17T00:00:00"/>
    <n v="7"/>
    <s v="Federal Medical Centre Owerri"/>
    <x v="3"/>
    <s v="Dr. Fatima Al-Hassan"/>
    <x v="1"/>
    <n v="102982.47"/>
    <s v="Atorvastatin"/>
    <n v="10"/>
    <n v="301"/>
    <n v="33.9"/>
    <s v="Normal"/>
    <x v="1"/>
  </r>
  <r>
    <x v="972"/>
    <s v="Kemi Abubakar"/>
    <n v="86"/>
    <x v="1"/>
    <x v="1"/>
    <s v="O-"/>
    <x v="7"/>
    <x v="1"/>
    <x v="768"/>
    <d v="2019-11-23T00:00:00"/>
    <n v="3"/>
    <s v="Aminu Kano Teaching Hospital"/>
    <x v="2"/>
    <s v="Dr. Sarah Adeyemi"/>
    <x v="1"/>
    <n v="39702.160000000003"/>
    <s v="Vitamin D"/>
    <n v="4"/>
    <n v="134"/>
    <n v="25.4"/>
    <s v="Abnormal"/>
    <x v="0"/>
  </r>
  <r>
    <x v="973"/>
    <s v="Sarah Usman"/>
    <n v="89"/>
    <x v="1"/>
    <x v="1"/>
    <s v="B+"/>
    <x v="0"/>
    <x v="1"/>
    <x v="205"/>
    <d v="2023-08-04T00:00:00"/>
    <n v="12"/>
    <s v="Federal Medical Centre Owerri"/>
    <x v="3"/>
    <s v="Dr. Grace Oduya"/>
    <x v="0"/>
    <n v="79298.66"/>
    <s v="Paclitaxel"/>
    <n v="11"/>
    <n v="175"/>
    <m/>
    <s v="Abnormal"/>
    <x v="0"/>
  </r>
  <r>
    <x v="974"/>
    <s v="John Ibrahim"/>
    <n v="35"/>
    <x v="5"/>
    <x v="0"/>
    <s v="A+"/>
    <x v="2"/>
    <x v="1"/>
    <x v="769"/>
    <d v="2020-04-16T00:00:00"/>
    <n v="6"/>
    <s v="Federal Medical Centre Birnin Kebbi"/>
    <x v="2"/>
    <s v="Dr. Zainab Sule"/>
    <x v="4"/>
    <n v="9880.6200000000008"/>
    <s v="Memantine"/>
    <n v="7"/>
    <n v="158"/>
    <n v="28.5"/>
    <s v="Normal"/>
    <x v="0"/>
  </r>
  <r>
    <x v="975"/>
    <s v="Gbenga Salami"/>
    <n v="57"/>
    <x v="3"/>
    <x v="0"/>
    <s v="B-"/>
    <x v="3"/>
    <x v="2"/>
    <x v="311"/>
    <d v="2020-05-27T00:00:00"/>
    <n v="7"/>
    <s v="Federal Medical Centre Owerri"/>
    <x v="3"/>
    <s v="Dr. Kemi Adeyemi"/>
    <x v="4"/>
    <n v="19838.68"/>
    <s v="Amoxicillin"/>
    <n v="5"/>
    <n v="241"/>
    <n v="20.7"/>
    <s v="Normal"/>
    <x v="0"/>
  </r>
  <r>
    <x v="976"/>
    <s v="Kemi Taylor"/>
    <n v="83"/>
    <x v="1"/>
    <x v="1"/>
    <s v="AB-"/>
    <x v="2"/>
    <x v="1"/>
    <x v="770"/>
    <d v="2019-11-15T00:00:00"/>
    <n v="3"/>
    <s v="Lagos University Teaching Hospital"/>
    <x v="1"/>
    <s v="Dr. Zainab Sule"/>
    <x v="2"/>
    <n v="32943.589999999997"/>
    <s v="Phenytoin"/>
    <n v="8"/>
    <n v="165"/>
    <n v="27.8"/>
    <s v="Normal"/>
    <x v="1"/>
  </r>
  <r>
    <x v="977"/>
    <s v="Rotimi Aliyu"/>
    <n v="28"/>
    <x v="2"/>
    <x v="0"/>
    <s v="B+"/>
    <x v="7"/>
    <x v="0"/>
    <x v="771"/>
    <d v="2024-10-30T00:00:00"/>
    <n v="8"/>
    <s v="Federal Medical Centre Asaba"/>
    <x v="0"/>
    <s v="Dr. Sarah Adeyemi"/>
    <x v="4"/>
    <n v="25477.18"/>
    <s v="Vitamin D"/>
    <n v="3"/>
    <n v="159"/>
    <n v="25.5"/>
    <s v="Normal"/>
    <x v="0"/>
  </r>
  <r>
    <x v="978"/>
    <s v="Tolulope Lawal"/>
    <n v="83"/>
    <x v="1"/>
    <x v="1"/>
    <s v="AB+"/>
    <x v="0"/>
    <x v="1"/>
    <x v="772"/>
    <d v="2023-07-07T00:00:00"/>
    <n v="23"/>
    <s v="National Hospital Abuja"/>
    <x v="4"/>
    <s v="Dr. Babatunde Fashola"/>
    <x v="0"/>
    <n v="41865.67"/>
    <s v="Paclitaxel"/>
    <n v="11"/>
    <n v="164"/>
    <n v="26.3"/>
    <s v="Abnormal"/>
    <x v="0"/>
  </r>
  <r>
    <x v="979"/>
    <s v="Segun Smith"/>
    <n v="73"/>
    <x v="4"/>
    <x v="0"/>
    <s v="A-"/>
    <x v="0"/>
    <x v="2"/>
    <x v="773"/>
    <d v="2020-03-10T00:00:00"/>
    <n v="18"/>
    <s v="Federal Medical Centre Asaba"/>
    <x v="0"/>
    <s v="Dr. Grace Oduya"/>
    <x v="4"/>
    <n v="64919.85"/>
    <s v="Trastuzumab"/>
    <n v="11"/>
    <n v="261"/>
    <n v="30.5"/>
    <s v="Abnormal"/>
    <x v="0"/>
  </r>
  <r>
    <x v="980"/>
    <s v="Funke Okonkwo"/>
    <n v="57"/>
    <x v="3"/>
    <x v="1"/>
    <s v="O+"/>
    <x v="2"/>
    <x v="1"/>
    <x v="467"/>
    <d v="2020-09-03T00:00:00"/>
    <n v="7"/>
    <s v="Federal Medical Centre Owerri"/>
    <x v="3"/>
    <s v="Dr. Olumide Abiodun"/>
    <x v="3"/>
    <n v="20440"/>
    <s v="Aspirin"/>
    <n v="8"/>
    <n v="157"/>
    <n v="37.299999999999997"/>
    <s v="Abnormal"/>
    <x v="0"/>
  </r>
  <r>
    <x v="981"/>
    <s v="Deborah Wilson"/>
    <n v="74"/>
    <x v="4"/>
    <x v="1"/>
    <s v=""/>
    <x v="0"/>
    <x v="1"/>
    <x v="774"/>
    <d v="2024-08-14T00:00:00"/>
    <n v="8"/>
    <s v="Federal Medical Centre Asaba"/>
    <x v="0"/>
    <s v="Dr. Grace Oduya"/>
    <x v="1"/>
    <n v="83717.440000000002"/>
    <s v="Ondansetron"/>
    <n v="12"/>
    <n v="191"/>
    <n v="21.5"/>
    <s v="Abnormal"/>
    <x v="0"/>
  </r>
  <r>
    <x v="982"/>
    <s v="Segun Garba"/>
    <n v="67"/>
    <x v="4"/>
    <x v="0"/>
    <s v="B-"/>
    <x v="2"/>
    <x v="2"/>
    <x v="775"/>
    <d v="2021-08-05T00:00:00"/>
    <n v="9"/>
    <s v="National Hospital Abuja"/>
    <x v="4"/>
    <s v="Dr. Rotimi Fashola"/>
    <x v="4"/>
    <n v="42903.1"/>
    <s v="Aspirin"/>
    <n v="7"/>
    <n v="198"/>
    <n v="26.7"/>
    <s v="Abnormal"/>
    <x v="0"/>
  </r>
  <r>
    <x v="983"/>
    <s v="Oluwaseun Adeleke"/>
    <n v="73"/>
    <x v="4"/>
    <x v="0"/>
    <s v="O-"/>
    <x v="1"/>
    <x v="2"/>
    <x v="776"/>
    <d v="2021-07-08T00:00:00"/>
    <n v="3"/>
    <s v="Ahmadu Bello University Teaching Hospital"/>
    <x v="2"/>
    <s v="Dr. Taiwo Adeleke"/>
    <x v="4"/>
    <n v="6554.68"/>
    <s v="Insulin Glargine"/>
    <n v="7"/>
    <n v="103"/>
    <n v="22.2"/>
    <s v="Abnormal"/>
    <x v="0"/>
  </r>
  <r>
    <x v="984"/>
    <s v="Rukayat Johnson"/>
    <n v="55"/>
    <x v="3"/>
    <x v="1"/>
    <s v="AB+"/>
    <x v="5"/>
    <x v="0"/>
    <x v="777"/>
    <d v="2024-02-21T00:00:00"/>
    <n v="9"/>
    <s v="Federal Medical Centre Birnin Kebbi"/>
    <x v="2"/>
    <s v="Dr. Adewale Ogundimu"/>
    <x v="1"/>
    <n v="92361.83"/>
    <s v="Spironolactone"/>
    <n v="10"/>
    <n v="374"/>
    <n v="34.299999999999997"/>
    <s v="Abnormal"/>
    <x v="0"/>
  </r>
  <r>
    <x v="985"/>
    <s v="Perpetua Okonkwo"/>
    <n v="70"/>
    <x v="4"/>
    <x v="1"/>
    <s v="A+"/>
    <x v="2"/>
    <x v="0"/>
    <x v="778"/>
    <d v="2020-02-19T00:00:00"/>
    <n v="7"/>
    <s v="Federal Medical Centre Asaba"/>
    <x v="0"/>
    <s v="Dr. Zainab Sule"/>
    <x v="0"/>
    <n v="43028.51"/>
    <s v="Donepezil"/>
    <n v="9"/>
    <n v="330"/>
    <n v="24"/>
    <s v="Normal"/>
    <x v="1"/>
  </r>
  <r>
    <x v="986"/>
    <s v="Esther Musa"/>
    <n v="50"/>
    <x v="5"/>
    <x v="1"/>
    <s v="AB-"/>
    <x v="5"/>
    <x v="0"/>
    <x v="779"/>
    <d v="2020-04-13T00:00:00"/>
    <n v="10"/>
    <s v="Ahmadu Bello University Teaching Hospital"/>
    <x v="2"/>
    <s v="Dr. Emeka Okorie"/>
    <x v="2"/>
    <n v="156565.82999999999"/>
    <s v="Aspirin"/>
    <n v="7"/>
    <n v="363"/>
    <n v="40.6"/>
    <s v="Inconclusive"/>
    <x v="0"/>
  </r>
  <r>
    <x v="987"/>
    <s v="Amaka Adeyemi"/>
    <n v="82"/>
    <x v="1"/>
    <x v="1"/>
    <s v="AB+"/>
    <x v="0"/>
    <x v="0"/>
    <x v="780"/>
    <d v="2023-11-25T00:00:00"/>
    <n v="20"/>
    <s v="University of Calabar Teaching Hospital"/>
    <x v="0"/>
    <s v="Dr. Babatunde Fashola"/>
    <x v="4"/>
    <n v="260468"/>
    <s v="Paclitaxel"/>
    <n v="12"/>
    <n v="446"/>
    <n v="33.6"/>
    <s v="Abnormal"/>
    <x v="1"/>
  </r>
  <r>
    <x v="988"/>
    <s v="Musa Hassan"/>
    <n v="26"/>
    <x v="2"/>
    <x v="0"/>
    <s v="O-"/>
    <x v="5"/>
    <x v="0"/>
    <x v="214"/>
    <d v="2025-01-03T00:00:00"/>
    <n v="12"/>
    <s v="University of Calabar Teaching Hospital"/>
    <x v="0"/>
    <s v="Dr. Fatima Al-Hassan"/>
    <x v="0"/>
    <n v="47739"/>
    <s v="Metoprolol"/>
    <n v="10"/>
    <n v="339"/>
    <n v="34.799999999999997"/>
    <s v="Abnormal"/>
    <x v="1"/>
  </r>
  <r>
    <x v="989"/>
    <s v="Adaeze Ibrahim"/>
    <n v="69"/>
    <x v="4"/>
    <x v="1"/>
    <s v="O-"/>
    <x v="4"/>
    <x v="1"/>
    <x v="781"/>
    <d v="2022-04-10T00:00:00"/>
    <n v="5"/>
    <s v="Federal Medical Centre Owerri"/>
    <x v="3"/>
    <s v="Dr. Nnamdi Okafor"/>
    <x v="0"/>
    <n v="7737.62"/>
    <s v="Metronidazole"/>
    <n v="5"/>
    <n v="162"/>
    <n v="31.2"/>
    <s v="Normal"/>
    <x v="0"/>
  </r>
  <r>
    <x v="990"/>
    <s v="Deborah Thompson"/>
    <n v="73"/>
    <x v="4"/>
    <x v="1"/>
    <s v="B+"/>
    <x v="2"/>
    <x v="0"/>
    <x v="516"/>
    <d v="2023-03-12T00:00:00"/>
    <n v="12"/>
    <s v="Aminu Kano Teaching Hospital"/>
    <x v="2"/>
    <s v="Dr. Olumide Abiodun"/>
    <x v="4"/>
    <n v="35575.64"/>
    <s v="Clopidogrel"/>
    <n v="9"/>
    <n v="375"/>
    <n v="26.1"/>
    <s v="Normal"/>
    <x v="0"/>
  </r>
  <r>
    <x v="991"/>
    <s v="Esther Akintola"/>
    <n v="66"/>
    <x v="4"/>
    <x v="1"/>
    <s v="AB-"/>
    <x v="4"/>
    <x v="1"/>
    <x v="451"/>
    <d v="2023-07-12T00:00:00"/>
    <n v="4"/>
    <s v="University of Calabar Teaching Hospital"/>
    <x v="0"/>
    <s v="Dr. Aisha Bello"/>
    <x v="1"/>
    <n v="22973.63"/>
    <s v="Ciprofloxacin"/>
    <n v="3"/>
    <n v="192"/>
    <n v="25.5"/>
    <s v="Normal"/>
    <x v="0"/>
  </r>
  <r>
    <x v="992"/>
    <s v="Elizabeth Nwosu"/>
    <n v="42"/>
    <x v="5"/>
    <x v="1"/>
    <s v="O-"/>
    <x v="6"/>
    <x v="0"/>
    <x v="782"/>
    <d v="2023-09-26T00:00:00"/>
    <n v="7"/>
    <s v="Bowen University Teaching Hospital"/>
    <x v="1"/>
    <s v="Dr. Ngozi Eze-Williams"/>
    <x v="0"/>
    <n v="17378.849999999999"/>
    <s v="Azithromycin"/>
    <n v="6"/>
    <n v="390"/>
    <n v="26.7"/>
    <s v="Normal"/>
    <x v="0"/>
  </r>
  <r>
    <x v="993"/>
    <s v="Taiwo Moore"/>
    <n v="92"/>
    <x v="1"/>
    <x v="1"/>
    <s v="A+"/>
    <x v="3"/>
    <x v="2"/>
    <x v="619"/>
    <d v="2019-05-14T00:00:00"/>
    <n v="5"/>
    <s v="University College Hospital Ibadan"/>
    <x v="1"/>
    <s v="Dr. Lanre Ogundele"/>
    <x v="3"/>
    <n v="36766"/>
    <s v="Morphine"/>
    <n v="6"/>
    <n v="148"/>
    <n v="28.5"/>
    <s v="Abnormal"/>
    <x v="0"/>
  </r>
  <r>
    <x v="994"/>
    <s v="Michael Sule"/>
    <n v="62"/>
    <x v="3"/>
    <x v="0"/>
    <s v="A+"/>
    <x v="6"/>
    <x v="0"/>
    <x v="564"/>
    <d v="2024-02-08T00:00:00"/>
    <n v="2"/>
    <s v="University College Hospital Ibadan"/>
    <x v="1"/>
    <s v="Dr. Yusuf Danjuma"/>
    <x v="3"/>
    <n v="41198.730000000003"/>
    <s v="Prednisolone"/>
    <n v="6"/>
    <n v="339"/>
    <n v="25.2"/>
    <s v="Abnormal"/>
    <x v="0"/>
  </r>
  <r>
    <x v="995"/>
    <s v="Chiamaka Smith"/>
    <n v="72"/>
    <x v="4"/>
    <x v="1"/>
    <s v="AB+"/>
    <x v="0"/>
    <x v="0"/>
    <x v="332"/>
    <d v="2021-08-02T00:00:00"/>
    <n v="12"/>
    <s v="Lagos University Teaching Hospital"/>
    <x v="1"/>
    <s v="Dr. Amara Osei"/>
    <x v="1"/>
    <n v="280000"/>
    <s v="Cyclophosphamide"/>
    <n v="11"/>
    <n v="448"/>
    <n v="21"/>
    <s v="Inconclusive"/>
    <x v="1"/>
  </r>
  <r>
    <x v="996"/>
    <s v="Nnamdi Igwe"/>
    <n v="42"/>
    <x v="5"/>
    <x v="0"/>
    <s v="AB-"/>
    <x v="3"/>
    <x v="0"/>
    <x v="783"/>
    <d v="2023-01-03T00:00:00"/>
    <n v="16"/>
    <s v="Bowen University Teaching Hospital"/>
    <x v="1"/>
    <s v="Dr. Kemi Adeyemi"/>
    <x v="0"/>
    <n v="58342.48"/>
    <s v="Metronidazole"/>
    <n v="6"/>
    <n v="261"/>
    <n v="25"/>
    <s v="Normal"/>
    <x v="0"/>
  </r>
  <r>
    <x v="997"/>
    <s v="Yusuf Lawal"/>
    <n v="83"/>
    <x v="1"/>
    <x v="0"/>
    <s v="AB+"/>
    <x v="5"/>
    <x v="0"/>
    <x v="626"/>
    <d v="2024-11-23T00:00:00"/>
    <n v="4"/>
    <s v="Lagos University Teaching Hospital"/>
    <x v="1"/>
    <s v="Dr. Emeka Okorie"/>
    <x v="1"/>
    <n v="135725.85"/>
    <s v="Warfarin"/>
    <n v="6"/>
    <n v="315"/>
    <n v="36.4"/>
    <s v="Abnormal"/>
    <x v="1"/>
  </r>
  <r>
    <x v="998"/>
    <s v="Rukayat Adeleke"/>
    <n v="74"/>
    <x v="4"/>
    <x v="1"/>
    <s v="AB+"/>
    <x v="6"/>
    <x v="0"/>
    <x v="74"/>
    <d v="2022-07-15T00:00:00"/>
    <n v="3"/>
    <s v="Federal Medical Centre Asaba"/>
    <x v="0"/>
    <s v="Dr. Yusuf Danjuma"/>
    <x v="2"/>
    <n v="38269.11"/>
    <s v="Azithromycin"/>
    <n v="7"/>
    <n v="324"/>
    <n v="31.9"/>
    <s v="Abnormal"/>
    <x v="1"/>
  </r>
  <r>
    <x v="999"/>
    <s v="Miriam Moore"/>
    <n v="55"/>
    <x v="3"/>
    <x v="1"/>
    <s v="AB+"/>
    <x v="5"/>
    <x v="0"/>
    <x v="754"/>
    <d v="2024-10-01T00:00:00"/>
    <n v="18"/>
    <s v="University of Calabar Teaching Hospital"/>
    <x v="0"/>
    <s v="Dr. Emeka Okorie"/>
    <x v="0"/>
    <n v="59274.17"/>
    <s v="Furosemide"/>
    <n v="8"/>
    <n v="306"/>
    <n v="31.1"/>
    <s v="Normal"/>
    <x v="0"/>
  </r>
  <r>
    <x v="1000"/>
    <s v="Grace Taylor"/>
    <n v="44"/>
    <x v="5"/>
    <x v="1"/>
    <s v="B-"/>
    <x v="1"/>
    <x v="1"/>
    <x v="567"/>
    <m/>
    <m/>
    <s v="Bowen University Teaching Hospital"/>
    <x v="1"/>
    <s v="Dr. Chioma Nwankwo"/>
    <x v="2"/>
    <n v="9975.7000000000007"/>
    <s v="Linagliptin"/>
    <n v="8"/>
    <n v="195"/>
    <m/>
    <s v="Normal"/>
    <x v="0"/>
  </r>
  <r>
    <x v="1001"/>
    <s v="Emeka Thompson"/>
    <n v="57"/>
    <x v="3"/>
    <x v="0"/>
    <s v="B+"/>
    <x v="0"/>
    <x v="0"/>
    <x v="664"/>
    <d v="2020-07-07T00:00:00"/>
    <n v="14"/>
    <s v="Ahmadu Bello University Teaching Hospital"/>
    <x v="2"/>
    <s v="Dr. Grace Oduya"/>
    <x v="0"/>
    <n v="138646.04999999999"/>
    <s v="Tamoxifen"/>
    <n v="12"/>
    <n v="283"/>
    <n v="30.1"/>
    <s v="Inconclusive"/>
    <x v="0"/>
  </r>
  <r>
    <x v="1002"/>
    <s v="Chiamaka Salami"/>
    <n v="59"/>
    <x v="3"/>
    <x v="1"/>
    <s v="AB+"/>
    <x v="2"/>
    <x v="0"/>
    <x v="784"/>
    <d v="2023-01-08T00:00:00"/>
    <n v="18"/>
    <s v="Federal Medical Centre Owerri"/>
    <x v="3"/>
    <s v="Dr. Olumide Abiodun"/>
    <x v="1"/>
    <n v="96469.96"/>
    <s v="Aspirin"/>
    <n v="8"/>
    <n v="327"/>
    <n v="27.8"/>
    <s v="Abnormal"/>
    <x v="1"/>
  </r>
  <r>
    <x v="1003"/>
    <s v="Abdullahi Thompson"/>
    <n v="56"/>
    <x v="3"/>
    <x v="0"/>
    <s v=""/>
    <x v="4"/>
    <x v="2"/>
    <x v="221"/>
    <d v="2022-10-12T00:00:00"/>
    <n v="3"/>
    <s v="Federal Medical Centre Owerri"/>
    <x v="3"/>
    <s v="Dr. Segun Banke"/>
    <x v="3"/>
    <n v="17725.93"/>
    <s v="Metronidazole"/>
    <n v="5"/>
    <n v="249"/>
    <n v="24.8"/>
    <s v="Normal"/>
    <x v="0"/>
  </r>
  <r>
    <x v="1004"/>
    <s v="Michael Dauda"/>
    <n v="79"/>
    <x v="1"/>
    <x v="0"/>
    <s v="A+"/>
    <x v="2"/>
    <x v="0"/>
    <x v="785"/>
    <d v="2021-12-28T00:00:00"/>
    <n v="7"/>
    <s v="Federal Medical Centre Owerri"/>
    <x v="3"/>
    <s v="Dr. Zainab Sule"/>
    <x v="0"/>
    <n v="83050.75"/>
    <s v="Clopidogrel"/>
    <n v="4"/>
    <n v="300"/>
    <n v="23.7"/>
    <s v="Normal"/>
    <x v="0"/>
  </r>
  <r>
    <x v="1005"/>
    <s v="Lydia Ogbonna"/>
    <n v="69"/>
    <x v="4"/>
    <x v="1"/>
    <s v="B-"/>
    <x v="5"/>
    <x v="1"/>
    <x v="786"/>
    <d v="2021-06-15T00:00:00"/>
    <n v="9"/>
    <s v="Federal Medical Centre Birnin Kebbi"/>
    <x v="2"/>
    <s v="Dr. Adewale Ogundimu"/>
    <x v="1"/>
    <n v="62548"/>
    <s v="Spironolactone"/>
    <n v="10"/>
    <n v="116"/>
    <n v="30.3"/>
    <s v="Inconclusive"/>
    <x v="1"/>
  </r>
  <r>
    <x v="1006"/>
    <s v="Kemi Bankole"/>
    <n v="27"/>
    <x v="2"/>
    <x v="1"/>
    <s v="AB-"/>
    <x v="6"/>
    <x v="1"/>
    <x v="787"/>
    <d v="2019-04-24T00:00:00"/>
    <n v="4"/>
    <s v="Aminu Kano Teaching Hospital"/>
    <x v="2"/>
    <s v="Dr. Yusuf Danjuma"/>
    <x v="1"/>
    <n v="14657.36"/>
    <s v="Ipratropium"/>
    <n v="7"/>
    <n v="116"/>
    <n v="28.3"/>
    <s v="Abnormal"/>
    <x v="0"/>
  </r>
  <r>
    <x v="1007"/>
    <s v="Esther Igwe"/>
    <n v="74"/>
    <x v="4"/>
    <x v="1"/>
    <s v="O+"/>
    <x v="0"/>
    <x v="0"/>
    <x v="385"/>
    <d v="2021-03-31T00:00:00"/>
    <n v="15"/>
    <s v="Bowen University Teaching Hospital"/>
    <x v="1"/>
    <s v="Dr. Babatunde Fashola"/>
    <x v="4"/>
    <n v="175302"/>
    <s v="Paclitaxel"/>
    <n v="12"/>
    <n v="348"/>
    <m/>
    <s v="Inconclusive"/>
    <x v="0"/>
  </r>
  <r>
    <x v="1008"/>
    <s v="Rukayat Salami"/>
    <n v="74"/>
    <x v="4"/>
    <x v="1"/>
    <s v="AB-"/>
    <x v="3"/>
    <x v="2"/>
    <x v="788"/>
    <d v="2023-05-24T00:00:00"/>
    <n v="4"/>
    <s v="Federal Medical Centre Birnin Kebbi"/>
    <x v="2"/>
    <s v="Dr. Precious Obi"/>
    <x v="2"/>
    <n v="58135.68"/>
    <s v="Amoxicillin"/>
    <n v="6"/>
    <n v="452"/>
    <n v="27.2"/>
    <s v="Abnormal"/>
    <x v="0"/>
  </r>
  <r>
    <x v="1009"/>
    <s v="Ifeoma Johnson"/>
    <n v="41"/>
    <x v="5"/>
    <x v="1"/>
    <s v="A-"/>
    <x v="4"/>
    <x v="3"/>
    <x v="205"/>
    <d v="2023-03-29T00:00:00"/>
    <n v="2"/>
    <s v="National Hospital Abuja"/>
    <x v="4"/>
    <s v="Dr. Segun Banke"/>
    <x v="4"/>
    <n v="15347.01"/>
    <s v="Ciprofloxacin"/>
    <n v="3"/>
    <n v="323"/>
    <n v="28.8"/>
    <s v="Normal"/>
    <x v="0"/>
  </r>
  <r>
    <x v="1010"/>
    <s v="Emmanuel Oni"/>
    <n v="64"/>
    <x v="3"/>
    <x v="0"/>
    <s v=""/>
    <x v="3"/>
    <x v="0"/>
    <x v="789"/>
    <d v="2020-10-25T00:00:00"/>
    <n v="8"/>
    <s v="Bowen University Teaching Hospital"/>
    <x v="1"/>
    <s v="Dr. Precious Obi"/>
    <x v="0"/>
    <n v="57152.3"/>
    <s v="Paracetamol"/>
    <n v="4"/>
    <n v="202"/>
    <n v="26"/>
    <s v="Inconclusive"/>
    <x v="0"/>
  </r>
  <r>
    <x v="1011"/>
    <s v="David Martin"/>
    <n v="64"/>
    <x v="3"/>
    <x v="0"/>
    <s v="AB+"/>
    <x v="1"/>
    <x v="2"/>
    <x v="166"/>
    <d v="2021-06-25T00:00:00"/>
    <n v="3"/>
    <s v="University College Hospital Ibadan"/>
    <x v="1"/>
    <s v="Dr. Taiwo Adeleke"/>
    <x v="1"/>
    <n v="14901"/>
    <s v="Linagliptin"/>
    <n v="8"/>
    <n v="294"/>
    <n v="24"/>
    <s v="Normal"/>
    <x v="1"/>
  </r>
  <r>
    <x v="1012"/>
    <s v="Rachel Aliyu"/>
    <n v="85"/>
    <x v="1"/>
    <x v="1"/>
    <s v="A+"/>
    <x v="4"/>
    <x v="0"/>
    <x v="667"/>
    <d v="2022-01-08T00:00:00"/>
    <n v="3"/>
    <s v="Federal Medical Centre Birnin Kebbi"/>
    <x v="2"/>
    <s v="Dr. Nnamdi Okafor"/>
    <x v="0"/>
    <n v="17459.36"/>
    <s v="Loperamide"/>
    <n v="5"/>
    <n v="318"/>
    <n v="31.5"/>
    <s v="Inconclusive"/>
    <x v="0"/>
  </r>
  <r>
    <x v="1013"/>
    <s v="Emmanuel Musa"/>
    <n v="42"/>
    <x v="5"/>
    <x v="0"/>
    <s v="O-"/>
    <x v="5"/>
    <x v="0"/>
    <x v="164"/>
    <d v="2022-03-14T00:00:00"/>
    <n v="6"/>
    <s v="Federal Medical Centre Owerri"/>
    <x v="3"/>
    <s v="Dr. Emeka Okorie"/>
    <x v="1"/>
    <n v="187529.68"/>
    <s v="Digoxin"/>
    <n v="10"/>
    <n v="394"/>
    <n v="44.4"/>
    <s v="Abnormal"/>
    <x v="0"/>
  </r>
  <r>
    <x v="1014"/>
    <s v="Daniel Bello"/>
    <n v="39"/>
    <x v="5"/>
    <x v="0"/>
    <s v="B+"/>
    <x v="1"/>
    <x v="0"/>
    <x v="417"/>
    <d v="2019-09-21T00:00:00"/>
    <n v="3"/>
    <s v="University College Hospital Ibadan"/>
    <x v="1"/>
    <s v="Dr. Chioma Nwankwo"/>
    <x v="4"/>
    <n v="14097.75"/>
    <s v="Insulin Glargine"/>
    <n v="7"/>
    <n v="112"/>
    <n v="29.4"/>
    <s v="Normal"/>
    <x v="0"/>
  </r>
  <r>
    <x v="1015"/>
    <s v="Abdullahi Lawan"/>
    <n v="35"/>
    <x v="5"/>
    <x v="0"/>
    <s v="O+"/>
    <x v="4"/>
    <x v="1"/>
    <x v="790"/>
    <d v="2023-02-01T00:00:00"/>
    <n v="4"/>
    <s v="Bowen University Teaching Hospital"/>
    <x v="1"/>
    <s v="Dr. Segun Banke"/>
    <x v="4"/>
    <n v="6430.14"/>
    <s v="Mesalazine"/>
    <n v="2"/>
    <n v="157"/>
    <n v="20.8"/>
    <s v="Normal"/>
    <x v="0"/>
  </r>
  <r>
    <x v="1016"/>
    <s v="Ruth Yakubu"/>
    <n v="61"/>
    <x v="3"/>
    <x v="1"/>
    <s v="AB+"/>
    <x v="1"/>
    <x v="2"/>
    <x v="791"/>
    <d v="2022-11-07T00:00:00"/>
    <n v="6"/>
    <s v="Bowen University Teaching Hospital"/>
    <x v="1"/>
    <s v="Dr. Ibrahim Musa"/>
    <x v="0"/>
    <n v="10326"/>
    <s v="Liraglutide"/>
    <n v="8"/>
    <n v="185"/>
    <n v="14"/>
    <s v="Abnormal"/>
    <x v="0"/>
  </r>
  <r>
    <x v="1017"/>
    <s v="Rachel Abiodun"/>
    <n v="23"/>
    <x v="2"/>
    <x v="1"/>
    <s v="B-"/>
    <x v="6"/>
    <x v="1"/>
    <x v="792"/>
    <d v="2022-11-07T00:00:00"/>
    <n v="2"/>
    <s v="Ahmadu Bello University Teaching Hospital"/>
    <x v="2"/>
    <s v="Dr. Yusuf Danjuma"/>
    <x v="1"/>
    <n v="13040.42"/>
    <s v="Prednisolone"/>
    <n v="7"/>
    <n v="110"/>
    <n v="30.5"/>
    <s v="Abnormal"/>
    <x v="0"/>
  </r>
  <r>
    <x v="1018"/>
    <s v="Suleiman Salami"/>
    <n v="13"/>
    <x v="0"/>
    <x v="0"/>
    <s v="A-"/>
    <x v="6"/>
    <x v="0"/>
    <x v="793"/>
    <d v="2020-09-03T00:00:00"/>
    <n v="6"/>
    <s v="Bowen University Teaching Hospital"/>
    <x v="1"/>
    <s v="Dr. Halima Usman"/>
    <x v="4"/>
    <n v="8211.9500000000007"/>
    <s v="Salbutamol"/>
    <n v="7"/>
    <n v="344"/>
    <n v="31"/>
    <s v="Inconclusive"/>
    <x v="0"/>
  </r>
  <r>
    <x v="1019"/>
    <s v="Rachel Thompson"/>
    <n v="81"/>
    <x v="1"/>
    <x v="1"/>
    <s v="AB+"/>
    <x v="1"/>
    <x v="1"/>
    <x v="794"/>
    <d v="2021-10-27T00:00:00"/>
    <n v="5"/>
    <s v="Bowen University Teaching Hospital"/>
    <x v="1"/>
    <s v="Dr. Taiwo Adeleke"/>
    <x v="1"/>
    <n v="27263.98"/>
    <s v="Dapagliflozin"/>
    <n v="8"/>
    <n v="190"/>
    <n v="15.5"/>
    <s v="Abnormal"/>
    <x v="0"/>
  </r>
  <r>
    <x v="1020"/>
    <s v="John Adebayo"/>
    <n v="84"/>
    <x v="1"/>
    <x v="0"/>
    <s v="AB-"/>
    <x v="4"/>
    <x v="1"/>
    <x v="367"/>
    <d v="2019-07-22T00:00:00"/>
    <n v="3"/>
    <s v="Aminu Kano Teaching Hospital"/>
    <x v="2"/>
    <s v="Dr. Segun Banke"/>
    <x v="3"/>
    <n v="32741"/>
    <s v="Omeprazole"/>
    <n v="5"/>
    <n v="105"/>
    <n v="22.8"/>
    <s v="Abnormal"/>
    <x v="0"/>
  </r>
  <r>
    <x v="1021"/>
    <s v="Segun Danjuma"/>
    <n v="83"/>
    <x v="1"/>
    <x v="0"/>
    <s v="AB+"/>
    <x v="6"/>
    <x v="1"/>
    <x v="795"/>
    <d v="2024-10-17T00:00:00"/>
    <n v="5"/>
    <s v="Federal Medical Centre Asaba"/>
    <x v="0"/>
    <s v="Dr. Halima Usman"/>
    <x v="0"/>
    <n v="13686.4"/>
    <s v="Tiotropium"/>
    <n v="7"/>
    <n v="120"/>
    <n v="27.5"/>
    <s v="Abnormal"/>
    <x v="0"/>
  </r>
  <r>
    <x v="1022"/>
    <s v="Chukwudi Okafor"/>
    <n v="76"/>
    <x v="1"/>
    <x v="0"/>
    <s v="AB-"/>
    <x v="5"/>
    <x v="2"/>
    <x v="150"/>
    <d v="2024-04-03T00:00:00"/>
    <n v="12"/>
    <s v="Federal Medical Centre Birnin Kebbi"/>
    <x v="2"/>
    <s v="Dr. Emeka Okorie"/>
    <x v="0"/>
    <n v="37807.93"/>
    <s v="Atorvastatin"/>
    <n v="10"/>
    <n v="165"/>
    <n v="26.9"/>
    <s v="Abnormal"/>
    <x v="0"/>
  </r>
  <r>
    <x v="1023"/>
    <s v="Emeka Usman"/>
    <n v="66"/>
    <x v="4"/>
    <x v="0"/>
    <s v="AB-"/>
    <x v="6"/>
    <x v="1"/>
    <x v="153"/>
    <d v="2020-06-10T00:00:00"/>
    <n v="4"/>
    <s v="Federal Medical Centre Asaba"/>
    <x v="0"/>
    <s v="Dr. Halima Usman"/>
    <x v="4"/>
    <n v="20708.3"/>
    <s v="Montelukast"/>
    <n v="7"/>
    <n v="157"/>
    <n v="28.4"/>
    <s v="Inconclusive"/>
    <x v="0"/>
  </r>
  <r>
    <x v="1024"/>
    <s v="Tunde Martin"/>
    <n v="76"/>
    <x v="1"/>
    <x v="0"/>
    <s v="AB-"/>
    <x v="0"/>
    <x v="1"/>
    <x v="796"/>
    <d v="2023-01-30T00:00:00"/>
    <n v="5"/>
    <s v="University College Hospital Ibadan"/>
    <x v="1"/>
    <s v="Dr Amara Osei"/>
    <x v="3"/>
    <n v="128624.22"/>
    <s v="Dexamethasone"/>
    <n v="12"/>
    <n v="135"/>
    <n v="26.8"/>
    <s v="Inconclusive"/>
    <x v="1"/>
  </r>
  <r>
    <x v="1025"/>
    <s v="Kayode Johnson"/>
    <n v="43"/>
    <x v="5"/>
    <x v="0"/>
    <s v="AB-"/>
    <x v="5"/>
    <x v="0"/>
    <x v="797"/>
    <d v="2019-10-02T00:00:00"/>
    <n v="10"/>
    <s v="Federal Medical Centre Asaba"/>
    <x v="0"/>
    <s v="Dr. Adewale Ogundimu"/>
    <x v="1"/>
    <n v="65777.64"/>
    <s v="Amlodipine"/>
    <n v="9"/>
    <n v="327"/>
    <n v="31.3"/>
    <s v="Inconclusive"/>
    <x v="0"/>
  </r>
  <r>
    <x v="1026"/>
    <s v="Hauwa Wilson"/>
    <n v="65"/>
    <x v="4"/>
    <x v="1"/>
    <s v="AB+"/>
    <x v="5"/>
    <x v="1"/>
    <x v="352"/>
    <d v="2024-01-09T00:00:00"/>
    <n v="8"/>
    <s v="Bowen University Teaching Hospital"/>
    <x v="1"/>
    <s v="Dr. Emeka Okorie"/>
    <x v="1"/>
    <n v="59982.65"/>
    <s v="Metoprolol"/>
    <n v="10"/>
    <n v="197"/>
    <n v="27"/>
    <s v="Abnormal"/>
    <x v="1"/>
  </r>
  <r>
    <x v="1027"/>
    <s v="Michael Okeke"/>
    <n v="70"/>
    <x v="4"/>
    <x v="0"/>
    <s v="B-"/>
    <x v="3"/>
    <x v="2"/>
    <x v="707"/>
    <d v="2019-10-16T00:00:00"/>
    <n v="10"/>
    <s v="Aminu Kano Teaching Hospital"/>
    <x v="2"/>
    <s v="Dr. Lanre Ogundele"/>
    <x v="0"/>
    <n v="26885.65"/>
    <s v="Ondansetron"/>
    <n v="6"/>
    <n v="480"/>
    <m/>
    <s v="Normal"/>
    <x v="0"/>
  </r>
  <r>
    <x v="1028"/>
    <s v="Kayode Usman"/>
    <n v="57"/>
    <x v="3"/>
    <x v="0"/>
    <s v="A+"/>
    <x v="7"/>
    <x v="1"/>
    <x v="798"/>
    <d v="2024-05-26T00:00:00"/>
    <n v="7"/>
    <s v="University College Hospital Ibadan"/>
    <x v="1"/>
    <s v="Dr. Musa Aliyu"/>
    <x v="0"/>
    <n v="17099"/>
    <s v="Ibuprofen"/>
    <n v="4"/>
    <n v="162"/>
    <n v="26.9"/>
    <s v="Normal"/>
    <x v="0"/>
  </r>
  <r>
    <x v="1029"/>
    <s v="Nneka Bello"/>
    <n v="70"/>
    <x v="4"/>
    <x v="1"/>
    <s v="O-"/>
    <x v="5"/>
    <x v="1"/>
    <x v="214"/>
    <d v="2025-01-01T00:00:00"/>
    <n v="10"/>
    <s v="Ahmadu Bello University Teaching Hospital"/>
    <x v="2"/>
    <s v="Dr. Adewale Ogundimu"/>
    <x v="1"/>
    <n v="40378.120000000003"/>
    <s v="Spironolactone"/>
    <n v="8"/>
    <n v="184"/>
    <m/>
    <s v="Normal"/>
    <x v="1"/>
  </r>
  <r>
    <x v="1030"/>
    <s v="Rukayat Bello"/>
    <n v="32"/>
    <x v="2"/>
    <x v="1"/>
    <s v="B+"/>
    <x v="0"/>
    <x v="1"/>
    <x v="799"/>
    <d v="2023-11-16T00:00:00"/>
    <n v="13"/>
    <s v="Federal Medical Centre Asaba"/>
    <x v="0"/>
    <s v="Dr. Amara Osei"/>
    <x v="4"/>
    <n v="18350.86"/>
    <s v="Rituximab"/>
    <n v="12"/>
    <n v="194"/>
    <n v="24.4"/>
    <s v="Abnormal"/>
    <x v="0"/>
  </r>
  <r>
    <x v="1031"/>
    <s v="Taiwo Onuoha"/>
    <n v="88"/>
    <x v="1"/>
    <x v="1"/>
    <s v="O+"/>
    <x v="6"/>
    <x v="1"/>
    <x v="92"/>
    <d v="2021-12-18T00:00:00"/>
    <n v="4"/>
    <s v="Federal Medical Centre Owerri"/>
    <x v="3"/>
    <s v="Dr. Ngozi Eze-Williams"/>
    <x v="4"/>
    <n v="25841.15"/>
    <s v="Tiotropium"/>
    <n v="5"/>
    <n v="166"/>
    <n v="32.1"/>
    <s v="Inconclusive"/>
    <x v="0"/>
  </r>
  <r>
    <x v="1032"/>
    <s v="Chiamaka Adeyemi"/>
    <n v="43"/>
    <x v="5"/>
    <x v="1"/>
    <s v="A-"/>
    <x v="0"/>
    <x v="1"/>
    <x v="800"/>
    <d v="2022-08-29T00:00:00"/>
    <n v="9"/>
    <s v="Federal Medical Centre Birnin Kebbi"/>
    <x v="2"/>
    <s v="Dr. Grace Oduya"/>
    <x v="4"/>
    <n v="93113.26"/>
    <s v="Tamoxifen"/>
    <n v="11"/>
    <n v="126"/>
    <n v="22.9"/>
    <s v="Abnormal"/>
    <x v="0"/>
  </r>
  <r>
    <x v="1033"/>
    <s v="Halima Anderson"/>
    <n v="92"/>
    <x v="1"/>
    <x v="1"/>
    <s v="B+"/>
    <x v="6"/>
    <x v="0"/>
    <x v="711"/>
    <d v="2023-02-14T00:00:00"/>
    <n v="2"/>
    <s v="University College Hospital Ibadan"/>
    <x v="1"/>
    <s v="Dr. Yusuf Danjuma"/>
    <x v="3"/>
    <n v="23188.11"/>
    <s v="Azithromycin"/>
    <n v="6"/>
    <n v="331"/>
    <n v="19.3"/>
    <s v="Normal"/>
    <x v="0"/>
  </r>
  <r>
    <x v="1034"/>
    <s v="Ngozi Chukwu"/>
    <n v="80"/>
    <x v="1"/>
    <x v="1"/>
    <s v="B-"/>
    <x v="5"/>
    <x v="2"/>
    <x v="801"/>
    <d v="2019-04-03T00:00:00"/>
    <n v="6"/>
    <s v="Aminu Kano Teaching Hospital"/>
    <x v="2"/>
    <s v="Dr. Fatima Al-Hassan"/>
    <x v="4"/>
    <n v="43503.26"/>
    <s v="Warfarin"/>
    <n v="10"/>
    <n v="346"/>
    <n v="28.4"/>
    <s v="Inconclusive"/>
    <x v="1"/>
  </r>
  <r>
    <x v="1035"/>
    <s v="Samuel Wilson"/>
    <n v="64"/>
    <x v="3"/>
    <x v="0"/>
    <s v="O+"/>
    <x v="7"/>
    <x v="0"/>
    <x v="802"/>
    <d v="2021-09-02T00:00:00"/>
    <n v="7"/>
    <s v="University of Calabar Teaching Hospital"/>
    <x v="0"/>
    <s v="Dr. Musa Aliyu"/>
    <x v="4"/>
    <n v="52529.89"/>
    <s v="Vitamin D"/>
    <n v="4"/>
    <n v="112"/>
    <n v="36.1"/>
    <s v="Abnormal"/>
    <x v="0"/>
  </r>
  <r>
    <x v="1036"/>
    <s v="Lanre Usman"/>
    <n v="73"/>
    <x v="4"/>
    <x v="0"/>
    <s v="A-"/>
    <x v="5"/>
    <x v="2"/>
    <x v="742"/>
    <d v="2020-05-01T00:00:00"/>
    <n v="8"/>
    <s v="Federal Medical Centre Asaba"/>
    <x v="0"/>
    <s v="Dr. Emeka Okorie"/>
    <x v="0"/>
    <n v="62209.04"/>
    <s v="Amiodarone"/>
    <n v="10"/>
    <n v="339"/>
    <n v="29.9"/>
    <s v="Abnormal"/>
    <x v="1"/>
  </r>
  <r>
    <x v="1037"/>
    <s v="Femi Okeke"/>
    <n v="67"/>
    <x v="4"/>
    <x v="0"/>
    <s v="AB+"/>
    <x v="5"/>
    <x v="0"/>
    <x v="365"/>
    <d v="2019-10-29T00:00:00"/>
    <n v="9"/>
    <s v="Federal Medical Centre Owerri"/>
    <x v="3"/>
    <s v="Dr. Adewale Ogundimu"/>
    <x v="1"/>
    <n v="163986.4"/>
    <s v="Metoprolol"/>
    <n v="10"/>
    <n v="303"/>
    <n v="32"/>
    <s v="Abnormal"/>
    <x v="1"/>
  </r>
  <r>
    <x v="1038"/>
    <s v="Daniel Hassan"/>
    <n v="63"/>
    <x v="3"/>
    <x v="0"/>
    <s v="O-"/>
    <x v="6"/>
    <x v="1"/>
    <x v="803"/>
    <d v="2023-10-26T00:00:00"/>
    <n v="5"/>
    <s v="Aminu Kano Teaching Hospital"/>
    <x v="2"/>
    <s v="Dr. Ngozi Eze-Williams"/>
    <x v="4"/>
    <n v="13671.92"/>
    <s v="Salbutamol"/>
    <n v="4"/>
    <n v="117"/>
    <n v="22.2"/>
    <s v="Abnormal"/>
    <x v="0"/>
  </r>
  <r>
    <x v="1039"/>
    <s v="Emeka Nwosu"/>
    <n v="79"/>
    <x v="1"/>
    <x v="0"/>
    <s v="AB+"/>
    <x v="7"/>
    <x v="1"/>
    <x v="804"/>
    <d v="2021-03-15T00:00:00"/>
    <n v="4"/>
    <s v="National Hospital Abuja"/>
    <x v="4"/>
    <s v="Dr. Chukwuemeka Nwosu"/>
    <x v="2"/>
    <n v="37082"/>
    <s v="Ibuprofen"/>
    <n v="4"/>
    <n v="109"/>
    <n v="32"/>
    <s v="Abnormal"/>
    <x v="0"/>
  </r>
  <r>
    <x v="1040"/>
    <s v="Rebecca Williams"/>
    <n v="62"/>
    <x v="3"/>
    <x v="1"/>
    <s v="AB+"/>
    <x v="6"/>
    <x v="2"/>
    <x v="87"/>
    <d v="2021-11-15T00:00:00"/>
    <n v="7"/>
    <s v="Ahmadu Bello University Teaching Hospital"/>
    <x v="2"/>
    <s v="Dr. Halima Usman"/>
    <x v="1"/>
    <n v="23856.799999999999"/>
    <s v="Theophylline"/>
    <n v="7"/>
    <n v="457"/>
    <n v="30.5"/>
    <s v="Normal"/>
    <x v="0"/>
  </r>
  <r>
    <x v="1041"/>
    <s v="James Adeyemi"/>
    <n v="85"/>
    <x v="1"/>
    <x v="0"/>
    <s v="B+"/>
    <x v="1"/>
    <x v="1"/>
    <x v="753"/>
    <d v="2022-12-06T00:00:00"/>
    <n v="3"/>
    <s v="Lagos University Teaching Hospital"/>
    <x v="1"/>
    <s v="Dr. Ibrahim Musa"/>
    <x v="1"/>
    <n v="26822.21"/>
    <s v="Sitagliptin"/>
    <n v="8"/>
    <n v="193"/>
    <n v="28.9"/>
    <s v="Abnormal"/>
    <x v="0"/>
  </r>
  <r>
    <x v="1042"/>
    <s v="Joseph Chukwu"/>
    <n v="73"/>
    <x v="4"/>
    <x v="0"/>
    <s v="AB+"/>
    <x v="0"/>
    <x v="2"/>
    <x v="91"/>
    <d v="2021-02-23T00:00:00"/>
    <n v="6"/>
    <s v="University of Calabar Teaching Hospital"/>
    <x v="0"/>
    <s v="Dr. Babatunde Fashola"/>
    <x v="4"/>
    <n v="37515.620000000003"/>
    <s v="Ondansetron"/>
    <n v="8"/>
    <n v="385"/>
    <n v="20.7"/>
    <s v="Normal"/>
    <x v="0"/>
  </r>
  <r>
    <x v="1043"/>
    <s v="Sarah Taylor"/>
    <n v="42"/>
    <x v="5"/>
    <x v="1"/>
    <s v="AB-"/>
    <x v="7"/>
    <x v="0"/>
    <x v="154"/>
    <d v="2021-07-18T00:00:00"/>
    <n v="5"/>
    <s v="University College Hospital Ibadan"/>
    <x v="1"/>
    <s v="Dr. Chukwuemeka Nwosu"/>
    <x v="2"/>
    <n v="40050.58"/>
    <s v="Tramadol"/>
    <n v="6"/>
    <n v="208"/>
    <n v="33.200000000000003"/>
    <s v="Abnormal"/>
    <x v="0"/>
  </r>
  <r>
    <x v="1044"/>
    <s v="Oluwaseun Okonkwo"/>
    <n v="81"/>
    <x v="1"/>
    <x v="0"/>
    <s v="O+"/>
    <x v="1"/>
    <x v="2"/>
    <x v="753"/>
    <d v="2022-12-06T00:00:00"/>
    <n v="3"/>
    <s v="Bowen University Teaching Hospital"/>
    <x v="1"/>
    <s v="Dr. Ibrahim Musa"/>
    <x v="4"/>
    <n v="12999.1"/>
    <s v="Insulin Glargine"/>
    <n v="7"/>
    <n v="287"/>
    <n v="26.4"/>
    <s v="Abnormal"/>
    <x v="0"/>
  </r>
  <r>
    <x v="1045"/>
    <s v="Zainab Sule"/>
    <n v="50"/>
    <x v="5"/>
    <x v="1"/>
    <s v="A-"/>
    <x v="4"/>
    <x v="1"/>
    <x v="298"/>
    <d v="2023-12-20T00:00:00"/>
    <n v="3"/>
    <s v="Federal Medical Centre Owerri"/>
    <x v="3"/>
    <s v="Dr. Segun Banke"/>
    <x v="0"/>
    <n v="15657.97"/>
    <s v="Ciprofloxacin"/>
    <n v="3"/>
    <n v="109"/>
    <n v="18.399999999999999"/>
    <s v="Abnormal"/>
    <x v="1"/>
  </r>
  <r>
    <x v="1046"/>
    <s v="Samuel Williams"/>
    <n v="42"/>
    <x v="5"/>
    <x v="0"/>
    <s v="AB+"/>
    <x v="4"/>
    <x v="0"/>
    <x v="460"/>
    <d v="2024-08-25T00:00:00"/>
    <n v="3"/>
    <s v="Bowen University Teaching Hospital"/>
    <x v="1"/>
    <s v="Dr. Nnamdi Okafor"/>
    <x v="1"/>
    <n v="21047.91"/>
    <s v="Mesalazine"/>
    <n v="5"/>
    <n v="317"/>
    <n v="25.3"/>
    <s v="Inconclusive"/>
    <x v="0"/>
  </r>
  <r>
    <x v="1047"/>
    <s v="Funke Hassan"/>
    <n v="64"/>
    <x v="3"/>
    <x v="1"/>
    <s v="B+"/>
    <x v="7"/>
    <x v="2"/>
    <x v="805"/>
    <d v="2019-09-23T00:00:00"/>
    <n v="4"/>
    <s v="Federal Medical Centre Birnin Kebbi"/>
    <x v="2"/>
    <s v="Dr. Musa Aliyu"/>
    <x v="0"/>
    <n v="27685"/>
    <s v="Celecoxib"/>
    <n v="6"/>
    <n v="472"/>
    <n v="32"/>
    <s v="Abnormal"/>
    <x v="0"/>
  </r>
  <r>
    <x v="1048"/>
    <s v="Ruth Bankole"/>
    <n v="67"/>
    <x v="4"/>
    <x v="1"/>
    <s v="O-"/>
    <x v="4"/>
    <x v="3"/>
    <x v="11"/>
    <d v="2024-09-26T00:00:00"/>
    <n v="1"/>
    <s v="Federal Medical Centre Birnin Kebbi"/>
    <x v="2"/>
    <s v="Dr. Aisha Bello"/>
    <x v="1"/>
    <n v="24314.15"/>
    <s v="Omeprazole"/>
    <n v="4"/>
    <n v="183"/>
    <n v="25.6"/>
    <s v="Inconclusive"/>
    <x v="0"/>
  </r>
  <r>
    <x v="1049"/>
    <s v="Chukwuemeka Moore"/>
    <n v="79"/>
    <x v="1"/>
    <x v="0"/>
    <s v="O-"/>
    <x v="5"/>
    <x v="0"/>
    <x v="537"/>
    <d v="2023-01-03T00:00:00"/>
    <n v="14"/>
    <s v="Aminu Kano Teaching Hospital"/>
    <x v="2"/>
    <s v="Dr. Fatima Al-Hassan"/>
    <x v="0"/>
    <n v="217804.98"/>
    <s v="Aspirin"/>
    <n v="8"/>
    <n v="375"/>
    <n v="25.9"/>
    <s v="Abnormal"/>
    <x v="0"/>
  </r>
  <r>
    <x v="1050"/>
    <s v="Hauwa Ogbonna"/>
    <n v="74"/>
    <x v="4"/>
    <x v="1"/>
    <s v="AB-"/>
    <x v="0"/>
    <x v="0"/>
    <x v="806"/>
    <d v="2023-10-03T00:00:00"/>
    <n v="18"/>
    <s v="Lagos University Teaching Hospital"/>
    <x v="1"/>
    <s v="Dr. Grace Oduya"/>
    <x v="4"/>
    <n v="280000"/>
    <s v="Carboplatin"/>
    <n v="10"/>
    <n v="309"/>
    <n v="25.3"/>
    <s v="Inconclusive"/>
    <x v="0"/>
  </r>
  <r>
    <x v="1051"/>
    <s v="Samuel Yakubu"/>
    <n v="68"/>
    <x v="4"/>
    <x v="0"/>
    <s v="B-"/>
    <x v="5"/>
    <x v="0"/>
    <x v="807"/>
    <d v="2021-12-15T00:00:00"/>
    <n v="10"/>
    <s v="Aminu Kano Teaching Hospital"/>
    <x v="2"/>
    <s v="Dr. Emeka Okorie"/>
    <x v="0"/>
    <n v="110248"/>
    <s v="Furosemide"/>
    <n v="10"/>
    <n v="320"/>
    <n v="31.5"/>
    <s v="Abnormal"/>
    <x v="1"/>
  </r>
  <r>
    <x v="1052"/>
    <s v="Emmanuel Osagie"/>
    <n v="74"/>
    <x v="4"/>
    <x v="0"/>
    <s v="AB-"/>
    <x v="1"/>
    <x v="2"/>
    <x v="808"/>
    <d v="2024-06-18T00:00:00"/>
    <n v="5"/>
    <s v="Bowen University Teaching Hospital"/>
    <x v="1"/>
    <s v="Dr. Ibrahim Musa"/>
    <x v="1"/>
    <n v="13270.43"/>
    <s v="Sitagliptin"/>
    <n v="5"/>
    <n v="345"/>
    <n v="31.7"/>
    <s v="Abnormal"/>
    <x v="0"/>
  </r>
  <r>
    <x v="1053"/>
    <s v="Kayode Aliyu"/>
    <n v="71"/>
    <x v="4"/>
    <x v="0"/>
    <s v="B-"/>
    <x v="6"/>
    <x v="1"/>
    <x v="347"/>
    <d v="2019-10-08T00:00:00"/>
    <n v="5"/>
    <s v="Federal Medical Centre Asaba"/>
    <x v="0"/>
    <s v="Dr. Ngozi Eze-Williams"/>
    <x v="4"/>
    <n v="20316.72"/>
    <s v="Tiotropium"/>
    <n v="7"/>
    <n v="143"/>
    <n v="25.7"/>
    <s v="Normal"/>
    <x v="0"/>
  </r>
  <r>
    <x v="1054"/>
    <s v="Uche Osagie"/>
    <n v="58"/>
    <x v="3"/>
    <x v="0"/>
    <s v="B-"/>
    <x v="0"/>
    <x v="0"/>
    <x v="809"/>
    <d v="2019-09-14T00:00:00"/>
    <n v="13"/>
    <s v="University College Hospital Ibadan"/>
    <x v="1"/>
    <s v="Dr. Grace Oduya"/>
    <x v="1"/>
    <n v="104633.67"/>
    <s v="Tamoxifen"/>
    <n v="12"/>
    <n v="359"/>
    <n v="16.100000000000001"/>
    <s v="Abnormal"/>
    <x v="0"/>
  </r>
  <r>
    <x v="1055"/>
    <s v="Ifeanyi Okeke"/>
    <n v="30"/>
    <x v="2"/>
    <x v="0"/>
    <s v="A+"/>
    <x v="5"/>
    <x v="0"/>
    <x v="492"/>
    <d v="2021-12-18T00:00:00"/>
    <n v="10"/>
    <s v="Ahmadu Bello University Teaching Hospital"/>
    <x v="2"/>
    <s v="Dr. Emeka Okorie"/>
    <x v="0"/>
    <n v="59006.12"/>
    <s v="Digoxin"/>
    <n v="10"/>
    <n v="392"/>
    <n v="29.5"/>
    <s v="Inconclusive"/>
    <x v="0"/>
  </r>
  <r>
    <x v="1056"/>
    <s v="Samuel Ogbonna"/>
    <n v="48"/>
    <x v="5"/>
    <x v="0"/>
    <s v="B-"/>
    <x v="1"/>
    <x v="0"/>
    <x v="41"/>
    <d v="2021-10-31T00:00:00"/>
    <n v="10"/>
    <s v="Bowen University Teaching Hospital"/>
    <x v="1"/>
    <s v="Dr. Chioma Nwankwo"/>
    <x v="0"/>
    <n v="9271.15"/>
    <s v="Insulin Glargine"/>
    <n v="6"/>
    <n v="416"/>
    <n v="25.1"/>
    <s v="Inconclusive"/>
    <x v="0"/>
  </r>
  <r>
    <x v="1057"/>
    <s v="Yusuf Bello"/>
    <n v="77"/>
    <x v="1"/>
    <x v="0"/>
    <s v="A-"/>
    <x v="5"/>
    <x v="0"/>
    <x v="810"/>
    <d v="2021-11-11T00:00:00"/>
    <n v="10"/>
    <s v="University of Calabar Teaching Hospital"/>
    <x v="0"/>
    <s v="Dr. Emeka Okorie"/>
    <x v="0"/>
    <n v="78378"/>
    <s v="Furosemide"/>
    <n v="9"/>
    <n v="371"/>
    <n v="27.5"/>
    <s v="Abnormal"/>
    <x v="0"/>
  </r>
  <r>
    <x v="1058"/>
    <s v="Ibrahim Usman"/>
    <n v="74"/>
    <x v="4"/>
    <x v="0"/>
    <s v="AB+"/>
    <x v="5"/>
    <x v="0"/>
    <x v="703"/>
    <d v="2024-10-08T00:00:00"/>
    <n v="6"/>
    <s v="Lagos University Teaching Hospital"/>
    <x v="1"/>
    <s v="Dr. Emeka Okorie"/>
    <x v="4"/>
    <n v="61952.58"/>
    <s v="Amlodipine"/>
    <n v="8"/>
    <n v="349"/>
    <n v="37.799999999999997"/>
    <s v="Abnormal"/>
    <x v="1"/>
  </r>
  <r>
    <x v="1059"/>
    <s v="James Taylor"/>
    <n v="69"/>
    <x v="4"/>
    <x v="0"/>
    <s v="AB-"/>
    <x v="7"/>
    <x v="0"/>
    <x v="692"/>
    <d v="2019-01-30T00:00:00"/>
    <n v="5"/>
    <s v="Federal Medical Centre Owerri"/>
    <x v="3"/>
    <s v="Dr. Musa Aliyu"/>
    <x v="4"/>
    <n v="42280.51"/>
    <s v="Ibuprofen"/>
    <n v="5"/>
    <n v="450"/>
    <n v="38.299999999999997"/>
    <s v="Normal"/>
    <x v="0"/>
  </r>
  <r>
    <x v="1060"/>
    <s v="Chidi Moore"/>
    <n v="68"/>
    <x v="4"/>
    <x v="0"/>
    <s v="O-"/>
    <x v="3"/>
    <x v="1"/>
    <x v="526"/>
    <d v="2019-08-29T00:00:00"/>
    <n v="6"/>
    <s v="Lagos University Teaching Hospital"/>
    <x v="1"/>
    <s v="Dr. Kemi Adeyemi"/>
    <x v="1"/>
    <n v="54424.07"/>
    <s v="Morphine"/>
    <n v="6"/>
    <n v="187"/>
    <n v="22.7"/>
    <s v="Abnormal"/>
    <x v="0"/>
  </r>
  <r>
    <x v="1061"/>
    <s v="Segun Thompson"/>
    <n v="90"/>
    <x v="1"/>
    <x v="0"/>
    <s v="O+"/>
    <x v="1"/>
    <x v="2"/>
    <x v="811"/>
    <d v="2024-04-07T00:00:00"/>
    <n v="5"/>
    <s v="Ahmadu Bello University Teaching Hospital"/>
    <x v="2"/>
    <s v="Dr. Taiwo Adeleke"/>
    <x v="2"/>
    <n v="16330.05"/>
    <s v="Liraglutide"/>
    <n v="6"/>
    <n v="312"/>
    <n v="30.1"/>
    <s v="Abnormal"/>
    <x v="0"/>
  </r>
  <r>
    <x v="1062"/>
    <s v="Michael Wilson"/>
    <n v="42"/>
    <x v="5"/>
    <x v="0"/>
    <s v="O-"/>
    <x v="5"/>
    <x v="1"/>
    <x v="812"/>
    <d v="2020-10-15T00:00:00"/>
    <n v="8"/>
    <s v="Federal Medical Centre Birnin Kebbi"/>
    <x v="2"/>
    <s v="Dr. Emeka Okorie"/>
    <x v="2"/>
    <n v="72796.67"/>
    <s v="Spironolactone"/>
    <n v="10"/>
    <n v="197"/>
    <n v="33.799999999999997"/>
    <s v="Abnormal"/>
    <x v="0"/>
  </r>
  <r>
    <x v="1063"/>
    <s v="Sarah Okeke"/>
    <n v="63"/>
    <x v="3"/>
    <x v="1"/>
    <s v="A+"/>
    <x v="6"/>
    <x v="1"/>
    <x v="813"/>
    <d v="2020-12-17T00:00:00"/>
    <n v="4"/>
    <s v="Federal Medical Centre Asaba"/>
    <x v="0"/>
    <s v="Dr. Halima Usman"/>
    <x v="5"/>
    <n v="60383.23"/>
    <s v="Salbutamol"/>
    <n v="6"/>
    <n v="126"/>
    <n v="29.7"/>
    <s v="Inconclusive"/>
    <x v="1"/>
  </r>
  <r>
    <x v="1064"/>
    <s v="Babatunde Ajala"/>
    <n v="82"/>
    <x v="1"/>
    <x v="0"/>
    <s v="A+"/>
    <x v="2"/>
    <x v="0"/>
    <x v="145"/>
    <d v="2020-09-14T00:00:00"/>
    <n v="8"/>
    <s v="Bowen University Teaching Hospital"/>
    <x v="1"/>
    <s v="Dr. Rotimi Fashola"/>
    <x v="0"/>
    <n v="53878.16"/>
    <s v="Valproate"/>
    <n v="9"/>
    <n v="320"/>
    <n v="29"/>
    <s v="Abnormal"/>
    <x v="1"/>
  </r>
  <r>
    <x v="1065"/>
    <s v="Bashir Aliyu"/>
    <n v="62"/>
    <x v="3"/>
    <x v="0"/>
    <s v="A-"/>
    <x v="6"/>
    <x v="2"/>
    <x v="814"/>
    <d v="2019-12-01T00:00:00"/>
    <n v="3"/>
    <s v="Bowen University Teaching Hospital"/>
    <x v="1"/>
    <s v="Dr. Yusuf Danjuma"/>
    <x v="0"/>
    <n v="25954.93"/>
    <s v="Prednisolone"/>
    <n v="6"/>
    <n v="435"/>
    <n v="23"/>
    <s v="Normal"/>
    <x v="0"/>
  </r>
  <r>
    <x v="1066"/>
    <s v="Mary Ogbonna"/>
    <n v="68"/>
    <x v="4"/>
    <x v="1"/>
    <s v="A+"/>
    <x v="1"/>
    <x v="1"/>
    <x v="815"/>
    <d v="2020-12-22T00:00:00"/>
    <n v="4"/>
    <s v="Federal Medical Centre Asaba"/>
    <x v="0"/>
    <s v="Dr. Taiwo Adeleke"/>
    <x v="1"/>
    <n v="19870.43"/>
    <s v="Liraglutide"/>
    <n v="8"/>
    <n v="146"/>
    <n v="25.9"/>
    <s v="Abnormal"/>
    <x v="0"/>
  </r>
  <r>
    <x v="1067"/>
    <s v="Miriam Obi"/>
    <n v="67"/>
    <x v="4"/>
    <x v="1"/>
    <s v="O+"/>
    <x v="7"/>
    <x v="1"/>
    <x v="816"/>
    <d v="2020-07-02T00:00:00"/>
    <n v="1"/>
    <s v="Aminu Kano Teaching Hospital"/>
    <x v="2"/>
    <s v="Dr. Chukwuemeka Nwosu"/>
    <x v="3"/>
    <n v="76297"/>
    <s v="Ibuprofen"/>
    <n v="3"/>
    <n v="179"/>
    <n v="30.2"/>
    <s v="Normal"/>
    <x v="1"/>
  </r>
  <r>
    <x v="1068"/>
    <s v="Funke Lawan"/>
    <n v="74"/>
    <x v="4"/>
    <x v="1"/>
    <s v="O+"/>
    <x v="6"/>
    <x v="0"/>
    <x v="817"/>
    <d v="2022-12-21T00:00:00"/>
    <n v="6"/>
    <s v="University College Hospital Ibadan"/>
    <x v="1"/>
    <s v="Dr. Ngozi Eze-Williams"/>
    <x v="2"/>
    <n v="61429.42"/>
    <s v="Prednisolone"/>
    <n v="7"/>
    <n v="383"/>
    <n v="36.1"/>
    <s v="Abnormal"/>
    <x v="0"/>
  </r>
  <r>
    <x v="1069"/>
    <s v="Chiamaka Brown"/>
    <n v="6"/>
    <x v="0"/>
    <x v="1"/>
    <s v="AB-"/>
    <x v="7"/>
    <x v="0"/>
    <x v="164"/>
    <d v="2022-08-07T00:00:00"/>
    <n v="4"/>
    <s v="Ahmadu Bello University Teaching Hospital"/>
    <x v="2"/>
    <s v="Dr. Sarah Adeyemi"/>
    <x v="1"/>
    <n v="32634.7"/>
    <s v="Ibuprofen"/>
    <n v="6"/>
    <n v="304"/>
    <n v="28.5"/>
    <s v="Normal"/>
    <x v="0"/>
  </r>
  <r>
    <x v="1070"/>
    <s v="Ifeoma Ogbonna"/>
    <n v="70"/>
    <x v="4"/>
    <x v="1"/>
    <s v="B-"/>
    <x v="5"/>
    <x v="0"/>
    <x v="225"/>
    <d v="2023-04-09T00:00:00"/>
    <n v="7"/>
    <s v="National Hospital Abuja"/>
    <x v="4"/>
    <s v="Dr. Fatima Al-Hassan"/>
    <x v="1"/>
    <n v="109474.29"/>
    <s v="Digoxin"/>
    <n v="10"/>
    <n v="308"/>
    <n v="41.9"/>
    <s v="Abnormal"/>
    <x v="0"/>
  </r>
  <r>
    <x v="1071"/>
    <s v="Elizabeth Bankole"/>
    <n v="88"/>
    <x v="1"/>
    <x v="1"/>
    <s v="O+"/>
    <x v="1"/>
    <x v="2"/>
    <x v="818"/>
    <d v="2024-08-26T00:00:00"/>
    <n v="3"/>
    <s v="Ahmadu Bello University Teaching Hospital"/>
    <x v="2"/>
    <s v="Dr. Ibrahim Musa"/>
    <x v="1"/>
    <n v="13403"/>
    <s v="Liraglutide"/>
    <n v="5"/>
    <n v="262"/>
    <n v="38"/>
    <s v="Normal"/>
    <x v="0"/>
  </r>
  <r>
    <x v="1072"/>
    <s v="Femi Adeleke"/>
    <n v="64"/>
    <x v="3"/>
    <x v="0"/>
    <s v="O-"/>
    <x v="6"/>
    <x v="2"/>
    <x v="819"/>
    <d v="2019-07-30T00:00:00"/>
    <n v="5"/>
    <s v="University of Calabar Teaching Hospital"/>
    <x v="0"/>
    <s v="Dr. Yusuf Danjuma"/>
    <x v="1"/>
    <n v="17660"/>
    <s v="Montelukast"/>
    <n v="7"/>
    <n v="451"/>
    <n v="30.4"/>
    <s v="Normal"/>
    <x v="0"/>
  </r>
  <r>
    <x v="1073"/>
    <s v="Suleiman Smith"/>
    <n v="27"/>
    <x v="2"/>
    <x v="0"/>
    <s v="A+"/>
    <x v="5"/>
    <x v="2"/>
    <x v="820"/>
    <d v="2024-01-28T00:00:00"/>
    <n v="7"/>
    <s v="Lagos University Teaching Hospital"/>
    <x v="1"/>
    <s v="Dr. Emeka Okorie"/>
    <x v="0"/>
    <n v="10634.07"/>
    <s v="Furosemide"/>
    <n v="8"/>
    <n v="154"/>
    <n v="23.5"/>
    <s v="Abnormal"/>
    <x v="0"/>
  </r>
  <r>
    <x v="1074"/>
    <s v="Chukwuemeka Igwe"/>
    <n v="57"/>
    <x v="3"/>
    <x v="0"/>
    <s v="O-"/>
    <x v="1"/>
    <x v="1"/>
    <x v="168"/>
    <d v="2023-01-13T00:00:00"/>
    <n v="5"/>
    <s v="University of Calabar Teaching Hospital"/>
    <x v="0"/>
    <s v="Dr. Chioma Nwankwo"/>
    <x v="1"/>
    <n v="24361.15"/>
    <s v="Metformin"/>
    <n v="8"/>
    <n v="175"/>
    <n v="29.2"/>
    <s v="Normal"/>
    <x v="0"/>
  </r>
  <r>
    <x v="1075"/>
    <s v="Esther Ogbonna"/>
    <n v="72"/>
    <x v="4"/>
    <x v="1"/>
    <s v="B+"/>
    <x v="5"/>
    <x v="0"/>
    <x v="821"/>
    <d v="2022-08-08T00:00:00"/>
    <n v="4"/>
    <s v="Lagos University Teaching Hospital"/>
    <x v="1"/>
    <s v="Dr. Fatima Al-Hassan"/>
    <x v="3"/>
    <n v="140750.15"/>
    <s v="Metoprolol"/>
    <n v="9"/>
    <n v="381"/>
    <n v="22"/>
    <s v="Abnormal"/>
    <x v="0"/>
  </r>
  <r>
    <x v="1076"/>
    <s v="Kayode Okafor"/>
    <n v="61"/>
    <x v="3"/>
    <x v="0"/>
    <s v="O-"/>
    <x v="5"/>
    <x v="0"/>
    <x v="547"/>
    <d v="2019-10-14T00:00:00"/>
    <n v="11"/>
    <s v="Bowen University Teaching Hospital"/>
    <x v="1"/>
    <s v="Dr. Emeka Okorie"/>
    <x v="3"/>
    <n v="178233.21"/>
    <s v="Amlodipine"/>
    <n v="10"/>
    <n v="345"/>
    <n v="35.200000000000003"/>
    <s v="Abnormal"/>
    <x v="1"/>
  </r>
  <r>
    <x v="1077"/>
    <s v="Emmanuel Dauda"/>
    <n v="15"/>
    <x v="0"/>
    <x v="0"/>
    <s v="AB+"/>
    <x v="7"/>
    <x v="1"/>
    <x v="822"/>
    <d v="2024-04-20T00:00:00"/>
    <n v="3"/>
    <s v="National Hospital Abuja"/>
    <x v="4"/>
    <s v="Dr. Chukwuemeka Nwosu"/>
    <x v="1"/>
    <n v="21779.54"/>
    <s v="Celecoxib"/>
    <n v="3"/>
    <n v="145"/>
    <n v="31.7"/>
    <s v="Normal"/>
    <x v="0"/>
  </r>
  <r>
    <x v="1078"/>
    <s v="Suleiman Obi"/>
    <n v="63"/>
    <x v="3"/>
    <x v="0"/>
    <s v="A+"/>
    <x v="3"/>
    <x v="2"/>
    <x v="482"/>
    <d v="2023-02-10T00:00:00"/>
    <n v="5"/>
    <s v="Federal Medical Centre Birnin Kebbi"/>
    <x v="2"/>
    <s v="Dr. Precious Obi"/>
    <x v="1"/>
    <n v="22858.47"/>
    <s v="Morphine"/>
    <n v="6"/>
    <n v="203"/>
    <n v="21.3"/>
    <s v="Normal"/>
    <x v="1"/>
  </r>
  <r>
    <x v="1079"/>
    <s v="Zainab Dauda"/>
    <n v="45"/>
    <x v="5"/>
    <x v="1"/>
    <s v="A-"/>
    <x v="0"/>
    <x v="1"/>
    <x v="40"/>
    <d v="2022-11-20T00:00:00"/>
    <n v="10"/>
    <s v="Federal Medical Centre Asaba"/>
    <x v="0"/>
    <s v="Dr. Babatunde Fashola"/>
    <x v="0"/>
    <n v="67730.25"/>
    <s v="Dexamethasone"/>
    <n v="9"/>
    <n v="167"/>
    <m/>
    <s v="Abnormal"/>
    <x v="0"/>
  </r>
  <r>
    <x v="1080"/>
    <s v="Aisha Anderson"/>
    <n v="8"/>
    <x v="0"/>
    <x v="1"/>
    <s v="O-"/>
    <x v="1"/>
    <x v="1"/>
    <x v="402"/>
    <d v="2023-05-22T00:00:00"/>
    <n v="6"/>
    <s v="University College Hospital Ibadan"/>
    <x v="1"/>
    <s v="Dr. Taiwo Adeleke"/>
    <x v="4"/>
    <n v="5418.84"/>
    <s v="Empagliflozin"/>
    <n v="4"/>
    <n v="196"/>
    <n v="28.9"/>
    <s v="Normal"/>
    <x v="1"/>
  </r>
  <r>
    <x v="1081"/>
    <s v="Nneka Usman"/>
    <n v="78"/>
    <x v="1"/>
    <x v="1"/>
    <s v="B+"/>
    <x v="0"/>
    <x v="3"/>
    <x v="301"/>
    <d v="2021-07-26T00:00:00"/>
    <n v="24"/>
    <s v="Federal Medical Centre Owerri"/>
    <x v="3"/>
    <s v="Dr. Grace Oduya"/>
    <x v="0"/>
    <n v="85842.28"/>
    <s v="Methotrexate"/>
    <n v="12"/>
    <n v="222"/>
    <n v="20"/>
    <s v="Abnormal"/>
    <x v="1"/>
  </r>
  <r>
    <x v="1082"/>
    <s v="Kayode Lawan"/>
    <n v="55"/>
    <x v="3"/>
    <x v="0"/>
    <s v="O+"/>
    <x v="5"/>
    <x v="2"/>
    <x v="823"/>
    <d v="2023-07-12T00:00:00"/>
    <n v="10"/>
    <s v="Aminu Kano Teaching Hospital"/>
    <x v="2"/>
    <s v="Dr. Fatima Al-Hassan"/>
    <x v="0"/>
    <n v="48356.55"/>
    <s v="Aspirin"/>
    <n v="8"/>
    <n v="324"/>
    <n v="34.5"/>
    <s v="Abnormal"/>
    <x v="0"/>
  </r>
  <r>
    <x v="1083"/>
    <s v="Kayode Adebayo"/>
    <n v="58"/>
    <x v="3"/>
    <x v="0"/>
    <s v="B+"/>
    <x v="4"/>
    <x v="1"/>
    <x v="824"/>
    <d v="2023-09-06T00:00:00"/>
    <n v="2"/>
    <s v="University College Hospital Ibadan"/>
    <x v="1"/>
    <s v="Dr. Nnamdi Okafor"/>
    <x v="1"/>
    <n v="10712.96"/>
    <s v="Omeprazole"/>
    <n v="5"/>
    <n v="130"/>
    <n v="22.4"/>
    <s v="Abnormal"/>
    <x v="0"/>
  </r>
  <r>
    <x v="1084"/>
    <s v="Deborah Okonkwo"/>
    <n v="59"/>
    <x v="3"/>
    <x v="1"/>
    <s v="AB-"/>
    <x v="0"/>
    <x v="1"/>
    <x v="825"/>
    <d v="2021-07-21T00:00:00"/>
    <n v="21"/>
    <s v="National Hospital Abuja"/>
    <x v="4"/>
    <s v="Dr. Babatunde Fashola"/>
    <x v="4"/>
    <n v="53957.66"/>
    <s v="Cyclophosphamide"/>
    <n v="12"/>
    <n v="168"/>
    <n v="29"/>
    <s v="Abnormal"/>
    <x v="0"/>
  </r>
  <r>
    <x v="1085"/>
    <s v="Perpetua Ibrahim"/>
    <n v="57"/>
    <x v="3"/>
    <x v="1"/>
    <s v="AB-"/>
    <x v="4"/>
    <x v="1"/>
    <x v="387"/>
    <d v="2019-11-27T00:00:00"/>
    <n v="4"/>
    <s v="National Hospital Abuja"/>
    <x v="4"/>
    <s v="Dr. Segun Banke"/>
    <x v="1"/>
    <n v="16998.259999999998"/>
    <s v="Omeprazole"/>
    <n v="5"/>
    <n v="179"/>
    <n v="26"/>
    <s v="Normal"/>
    <x v="0"/>
  </r>
  <r>
    <x v="1086"/>
    <s v="Babatunde Osagie"/>
    <n v="83"/>
    <x v="1"/>
    <x v="0"/>
    <s v="A-"/>
    <x v="2"/>
    <x v="2"/>
    <x v="826"/>
    <d v="2021-02-07T00:00:00"/>
    <n v="9"/>
    <s v="Aminu Kano Teaching Hospital"/>
    <x v="2"/>
    <s v="Dr. Rotimi Fashola"/>
    <x v="1"/>
    <n v="85834.57"/>
    <s v="Valproate"/>
    <n v="9"/>
    <n v="107"/>
    <m/>
    <s v="Abnormal"/>
    <x v="0"/>
  </r>
  <r>
    <x v="1087"/>
    <s v="Ngozi Garba"/>
    <n v="35"/>
    <x v="5"/>
    <x v="1"/>
    <s v="B+"/>
    <x v="6"/>
    <x v="2"/>
    <x v="827"/>
    <d v="2020-05-20T00:00:00"/>
    <n v="6"/>
    <s v="National Hospital Abuja"/>
    <x v="4"/>
    <s v="Dr. Yusuf Danjuma"/>
    <x v="0"/>
    <n v="19253.439999999999"/>
    <s v="Ipratropium"/>
    <n v="7"/>
    <n v="359"/>
    <n v="31.2"/>
    <s v="Inconclusive"/>
    <x v="0"/>
  </r>
  <r>
    <x v="1088"/>
    <s v="Perpetua Obi"/>
    <n v="51"/>
    <x v="5"/>
    <x v="1"/>
    <s v="B+"/>
    <x v="2"/>
    <x v="0"/>
    <x v="828"/>
    <d v="2020-10-16T00:00:00"/>
    <n v="8"/>
    <s v="Aminu Kano Teaching Hospital"/>
    <x v="2"/>
    <s v="Dr. Rotimi Fashola"/>
    <x v="2"/>
    <n v="89354.41"/>
    <s v="Memantine"/>
    <n v="9"/>
    <n v="350"/>
    <n v="35.200000000000003"/>
    <s v="Abnormal"/>
    <x v="0"/>
  </r>
  <r>
    <x v="1089"/>
    <s v="Kunle Onuoha"/>
    <n v="84"/>
    <x v="1"/>
    <x v="0"/>
    <s v="A+"/>
    <x v="5"/>
    <x v="1"/>
    <x v="829"/>
    <d v="2024-01-01T00:00:00"/>
    <n v="7"/>
    <s v="Bowen University Teaching Hospital"/>
    <x v="1"/>
    <s v="Dr. Adewale Ogundimu"/>
    <x v="0"/>
    <n v="82011.350000000006"/>
    <s v="Atorvastatin"/>
    <n v="9"/>
    <n v="134"/>
    <n v="32.299999999999997"/>
    <s v="Abnormal"/>
    <x v="1"/>
  </r>
  <r>
    <x v="1090"/>
    <s v="Adewale Aliyu"/>
    <n v="70"/>
    <x v="4"/>
    <x v="0"/>
    <s v="B-"/>
    <x v="5"/>
    <x v="0"/>
    <x v="69"/>
    <d v="2023-12-05T00:00:00"/>
    <n v="12"/>
    <s v="University College Hospital Ibadan"/>
    <x v="1"/>
    <s v="Dr. Emeka Okorie"/>
    <x v="0"/>
    <n v="60133.98"/>
    <s v="Amlodipine"/>
    <n v="10"/>
    <n v="351"/>
    <n v="24.4"/>
    <s v="Abnormal"/>
    <x v="0"/>
  </r>
  <r>
    <x v="1091"/>
    <s v="Ruth Sule"/>
    <n v="69"/>
    <x v="4"/>
    <x v="1"/>
    <s v="A+"/>
    <x v="6"/>
    <x v="0"/>
    <x v="830"/>
    <d v="2021-05-19T00:00:00"/>
    <n v="6"/>
    <s v="Lagos University Teaching Hospital"/>
    <x v="1"/>
    <s v="Dr. Ngozi Eze-Williams"/>
    <x v="1"/>
    <n v="26065.81"/>
    <s v="Prednisolone"/>
    <n v="7"/>
    <n v="399"/>
    <n v="27"/>
    <s v="Normal"/>
    <x v="0"/>
  </r>
  <r>
    <x v="1092"/>
    <s v="Ibrahim Aliyu"/>
    <n v="88"/>
    <x v="1"/>
    <x v="0"/>
    <s v="AB-"/>
    <x v="5"/>
    <x v="0"/>
    <x v="831"/>
    <d v="2020-09-12T00:00:00"/>
    <n v="8"/>
    <s v="National Hospital Abuja"/>
    <x v="4"/>
    <s v="Dr. Emeka Okorie"/>
    <x v="4"/>
    <n v="107483"/>
    <s v="Amlodipine"/>
    <n v="10"/>
    <n v="389"/>
    <n v="45.4"/>
    <s v="Abnormal"/>
    <x v="0"/>
  </r>
  <r>
    <x v="1093"/>
    <s v="Esther Chukwu"/>
    <n v="57"/>
    <x v="3"/>
    <x v="1"/>
    <s v="O+"/>
    <x v="1"/>
    <x v="2"/>
    <x v="832"/>
    <d v="2024-07-02T00:00:00"/>
    <n v="7"/>
    <s v="Lagos University Teaching Hospital"/>
    <x v="1"/>
    <s v="Dr. Ibrahim Musa"/>
    <x v="0"/>
    <n v="11420.98"/>
    <s v="Metformin"/>
    <n v="6"/>
    <n v="408"/>
    <n v="20.399999999999999"/>
    <s v="Abnormal"/>
    <x v="0"/>
  </r>
  <r>
    <x v="1094"/>
    <s v="Bashir Fashola"/>
    <n v="72"/>
    <x v="4"/>
    <x v="0"/>
    <s v="B+"/>
    <x v="4"/>
    <x v="0"/>
    <x v="501"/>
    <d v="2022-11-08T00:00:00"/>
    <n v="2"/>
    <s v="Lagos University Teaching Hospital"/>
    <x v="1"/>
    <s v="Dr. Segun Banke"/>
    <x v="1"/>
    <n v="53718.02"/>
    <s v="Ciprofloxacin"/>
    <n v="5"/>
    <n v="357"/>
    <n v="26"/>
    <s v="Normal"/>
    <x v="0"/>
  </r>
  <r>
    <x v="1095"/>
    <s v="Amaka Ogbonna"/>
    <n v="71"/>
    <x v="4"/>
    <x v="1"/>
    <s v="A-"/>
    <x v="2"/>
    <x v="0"/>
    <x v="833"/>
    <d v="2019-10-23T00:00:00"/>
    <n v="8"/>
    <s v="Aminu Kano Teaching Hospital"/>
    <x v="2"/>
    <s v="Dr. Olumide Abiodun"/>
    <x v="0"/>
    <n v="56378.21"/>
    <s v="Aspirin"/>
    <n v="5"/>
    <n v="398"/>
    <n v="29.3"/>
    <s v="Abnormal"/>
    <x v="0"/>
  </r>
  <r>
    <x v="1096"/>
    <s v="Kayode Sule"/>
    <n v="73"/>
    <x v="4"/>
    <x v="0"/>
    <s v="AB-"/>
    <x v="7"/>
    <x v="0"/>
    <x v="834"/>
    <d v="2024-12-13T00:00:00"/>
    <n v="3"/>
    <s v="Federal Medical Centre Birnin Kebbi"/>
    <x v="2"/>
    <s v="Dr. Chukwuemeka Nwosu"/>
    <x v="0"/>
    <n v="58195.19"/>
    <s v="Ibuprofen"/>
    <n v="6"/>
    <n v="352"/>
    <n v="21.3"/>
    <s v="Normal"/>
    <x v="0"/>
  </r>
  <r>
    <x v="1097"/>
    <s v="Amaka Adeleke"/>
    <n v="52"/>
    <x v="5"/>
    <x v="1"/>
    <s v="O+"/>
    <x v="0"/>
    <x v="1"/>
    <x v="310"/>
    <d v="2024-01-06T00:00:00"/>
    <n v="11"/>
    <s v="Lagos University Teaching Hospital"/>
    <x v="1"/>
    <s v="Dr. Amara Osei"/>
    <x v="0"/>
    <n v="55516.82"/>
    <s v="Bevacizumab"/>
    <n v="11"/>
    <n v="171"/>
    <n v="30.9"/>
    <s v="Normal"/>
    <x v="0"/>
  </r>
  <r>
    <x v="1098"/>
    <s v="Chiamaka Brown"/>
    <n v="58"/>
    <x v="3"/>
    <x v="1"/>
    <s v="O-"/>
    <x v="6"/>
    <x v="2"/>
    <x v="835"/>
    <d v="2024-05-29T00:00:00"/>
    <n v="8"/>
    <s v="Federal Medical Centre Birnin Kebbi"/>
    <x v="2"/>
    <s v="Dr. Yusuf Danjuma"/>
    <x v="2"/>
    <n v="13109.43"/>
    <s v="Ipratropium"/>
    <n v="7"/>
    <n v="458"/>
    <n v="36.700000000000003"/>
    <s v="Normal"/>
    <x v="0"/>
  </r>
  <r>
    <x v="1099"/>
    <s v="David Martin"/>
    <n v="74"/>
    <x v="4"/>
    <x v="0"/>
    <s v="A+"/>
    <x v="5"/>
    <x v="1"/>
    <x v="836"/>
    <m/>
    <m/>
    <s v="Aminu Kano Teaching Hospital"/>
    <x v="2"/>
    <s v="Dr. Adewale Ogundimu"/>
    <x v="0"/>
    <n v="28080.86"/>
    <s v="Digoxin"/>
    <n v="10"/>
    <n v="173"/>
    <n v="35.4"/>
    <s v="Abnormal"/>
    <x v="1"/>
  </r>
  <r>
    <x v="1100"/>
    <s v="Stella Okafor"/>
    <n v="58"/>
    <x v="3"/>
    <x v="1"/>
    <s v="A-"/>
    <x v="1"/>
    <x v="0"/>
    <x v="837"/>
    <d v="2019-04-15T00:00:00"/>
    <n v="8"/>
    <s v="Federal Medical Centre Owerri"/>
    <x v="3"/>
    <s v="Dr. Ibrahim Musa"/>
    <x v="0"/>
    <n v="21393.4"/>
    <s v="Glibenclamide"/>
    <n v="8"/>
    <n v="394"/>
    <n v="35.299999999999997"/>
    <s v="Inconclusive"/>
    <x v="0"/>
  </r>
  <r>
    <x v="1101"/>
    <s v="Uche Ogbonna"/>
    <n v="60"/>
    <x v="3"/>
    <x v="0"/>
    <s v="O-"/>
    <x v="6"/>
    <x v="1"/>
    <x v="171"/>
    <d v="2019-01-04T00:00:00"/>
    <n v="3"/>
    <s v="University of Calabar Teaching Hospital"/>
    <x v="0"/>
    <s v="Dr. Yusuf Danjuma"/>
    <x v="0"/>
    <n v="20170.28"/>
    <s v="Prednisolone"/>
    <n v="7"/>
    <n v="119"/>
    <n v="39.9"/>
    <s v="Abnormal"/>
    <x v="0"/>
  </r>
  <r>
    <x v="1102"/>
    <s v="Suleiman Okonkwo"/>
    <n v="61"/>
    <x v="3"/>
    <x v="0"/>
    <s v="A-"/>
    <x v="7"/>
    <x v="1"/>
    <x v="838"/>
    <d v="2020-04-16T00:00:00"/>
    <n v="5"/>
    <s v="Bowen University Teaching Hospital"/>
    <x v="1"/>
    <s v="Dr. Chukwuemeka Nwosu"/>
    <x v="0"/>
    <n v="20364.900000000001"/>
    <s v="Ibuprofen"/>
    <n v="4"/>
    <n v="171"/>
    <n v="32.4"/>
    <s v="Abnormal"/>
    <x v="0"/>
  </r>
  <r>
    <x v="1103"/>
    <s v="Tunde Abubakar"/>
    <n v="60"/>
    <x v="3"/>
    <x v="0"/>
    <s v="O+"/>
    <x v="6"/>
    <x v="1"/>
    <x v="839"/>
    <d v="2019-02-11T00:00:00"/>
    <n v="7"/>
    <s v="Aminu Kano Teaching Hospital"/>
    <x v="2"/>
    <s v="Dr. Halima Usman"/>
    <x v="0"/>
    <n v="18128.79"/>
    <s v="Azithromycin"/>
    <n v="7"/>
    <n v="171"/>
    <n v="33.700000000000003"/>
    <s v="Inconclusive"/>
    <x v="0"/>
  </r>
  <r>
    <x v="1104"/>
    <s v="Miriam Taylor"/>
    <n v="14"/>
    <x v="0"/>
    <x v="1"/>
    <s v="A+"/>
    <x v="6"/>
    <x v="3"/>
    <x v="840"/>
    <d v="2024-01-12T00:00:00"/>
    <n v="8"/>
    <s v="Bowen University Teaching Hospital"/>
    <x v="1"/>
    <s v="Dr. Ngozi Eze-Williams"/>
    <x v="0"/>
    <n v="8481"/>
    <s v="Prednisolone"/>
    <n v="6"/>
    <n v="352"/>
    <n v="28.6"/>
    <s v="Abnormal"/>
    <x v="0"/>
  </r>
  <r>
    <x v="1105"/>
    <s v="Bashir Ibrahim"/>
    <n v="71"/>
    <x v="4"/>
    <x v="0"/>
    <s v="AB+"/>
    <x v="6"/>
    <x v="2"/>
    <x v="841"/>
    <d v="2021-12-28T00:00:00"/>
    <n v="3"/>
    <s v="Federal Medical Centre Asaba"/>
    <x v="0"/>
    <s v="Dr. Halima Usman"/>
    <x v="1"/>
    <n v="16941.25"/>
    <s v="Montelukast"/>
    <n v="7"/>
    <n v="383"/>
    <n v="25.1"/>
    <s v="Abnormal"/>
    <x v="1"/>
  </r>
  <r>
    <x v="1106"/>
    <s v="Rebecca Lawal"/>
    <n v="79"/>
    <x v="1"/>
    <x v="1"/>
    <s v="O+"/>
    <x v="2"/>
    <x v="1"/>
    <x v="842"/>
    <d v="2019-03-21T00:00:00"/>
    <n v="5"/>
    <s v="Federal Medical Centre Birnin Kebbi"/>
    <x v="2"/>
    <s v="Dr. Rotimi Fashola"/>
    <x v="0"/>
    <n v="65939.740000000005"/>
    <s v="Donepezil"/>
    <n v="7"/>
    <n v="175"/>
    <n v="28"/>
    <s v="Abnormal"/>
    <x v="0"/>
  </r>
  <r>
    <x v="1107"/>
    <s v="Rukayat Osagie"/>
    <n v="31"/>
    <x v="2"/>
    <x v="1"/>
    <s v="AB+"/>
    <x v="5"/>
    <x v="2"/>
    <x v="843"/>
    <d v="2023-10-03T00:00:00"/>
    <n v="8"/>
    <s v="University College Hospital Ibadan"/>
    <x v="1"/>
    <s v="Dr. Fatima Al-Hassan"/>
    <x v="3"/>
    <n v="72243.31"/>
    <s v="Atorvastatin"/>
    <n v="9"/>
    <n v="406"/>
    <n v="30.2"/>
    <s v="Abnormal"/>
    <x v="0"/>
  </r>
  <r>
    <x v="1108"/>
    <s v="Nnamdi Garba"/>
    <n v="9"/>
    <x v="0"/>
    <x v="0"/>
    <s v="A+"/>
    <x v="0"/>
    <x v="0"/>
    <x v="353"/>
    <d v="2023-09-28T00:00:00"/>
    <n v="13"/>
    <s v="Bowen University Teaching Hospital"/>
    <x v="1"/>
    <s v="Dr. Amara Osei"/>
    <x v="4"/>
    <n v="91491.81"/>
    <s v="Tamoxifen"/>
    <n v="10"/>
    <n v="461"/>
    <n v="22.5"/>
    <s v="Abnormal"/>
    <x v="0"/>
  </r>
  <r>
    <x v="1109"/>
    <s v="Chidi Adeleke"/>
    <n v="68"/>
    <x v="4"/>
    <x v="0"/>
    <s v="AB-"/>
    <x v="4"/>
    <x v="0"/>
    <x v="802"/>
    <d v="2021-02-03T00:00:00"/>
    <n v="1"/>
    <s v="University of Calabar Teaching Hospital"/>
    <x v="0"/>
    <s v="Dr. Nnamdi Okafor"/>
    <x v="3"/>
    <n v="46020.65"/>
    <s v="Loperamide"/>
    <n v="4"/>
    <n v="395"/>
    <m/>
    <s v="Normal"/>
    <x v="0"/>
  </r>
  <r>
    <x v="1110"/>
    <s v="Ruth Lawan"/>
    <n v="43"/>
    <x v="5"/>
    <x v="1"/>
    <s v="AB+"/>
    <x v="5"/>
    <x v="1"/>
    <x v="844"/>
    <d v="2022-12-17T00:00:00"/>
    <n v="5"/>
    <s v="Federal Medical Centre Birnin Kebbi"/>
    <x v="2"/>
    <s v="Dr. Adewale Ogundimu"/>
    <x v="1"/>
    <n v="26105.64"/>
    <s v="Atorvastatin"/>
    <n v="10"/>
    <n v="177"/>
    <n v="34.1"/>
    <s v="Abnormal"/>
    <x v="0"/>
  </r>
  <r>
    <x v="1111"/>
    <s v="Fatima Bankole"/>
    <n v="63"/>
    <x v="3"/>
    <x v="1"/>
    <s v="AB+"/>
    <x v="0"/>
    <x v="1"/>
    <x v="787"/>
    <d v="2019-04-28T00:00:00"/>
    <n v="8"/>
    <s v="University College Hospital Ibadan"/>
    <x v="1"/>
    <s v="Dr. Grace Oduya"/>
    <x v="2"/>
    <n v="40501.94"/>
    <s v="Rituximab"/>
    <n v="9"/>
    <n v="109"/>
    <n v="25.5"/>
    <s v="Abnormal"/>
    <x v="1"/>
  </r>
  <r>
    <x v="1112"/>
    <s v="David Abiodun"/>
    <n v="51"/>
    <x v="5"/>
    <x v="0"/>
    <s v="O-"/>
    <x v="7"/>
    <x v="1"/>
    <x v="335"/>
    <d v="2021-11-21T00:00:00"/>
    <n v="3"/>
    <s v="Lagos University Teaching Hospital"/>
    <x v="1"/>
    <s v="Dr. Chukwuemeka Nwosu"/>
    <x v="2"/>
    <n v="18224.77"/>
    <s v="Tramadol"/>
    <n v="5"/>
    <n v="179"/>
    <n v="28.1"/>
    <s v="Normal"/>
    <x v="0"/>
  </r>
  <r>
    <x v="1113"/>
    <s v="Biodun Brown"/>
    <n v="79"/>
    <x v="1"/>
    <x v="0"/>
    <s v="AB+"/>
    <x v="3"/>
    <x v="1"/>
    <x v="845"/>
    <d v="2024-07-15T00:00:00"/>
    <n v="5"/>
    <s v="Federal Medical Centre Birnin Kebbi"/>
    <x v="2"/>
    <s v="Dr. Lanre Ogundele"/>
    <x v="0"/>
    <n v="23600.34"/>
    <s v="Ondansetron"/>
    <n v="6"/>
    <n v="104"/>
    <n v="28.4"/>
    <s v="Normal"/>
    <x v="0"/>
  </r>
  <r>
    <x v="1114"/>
    <s v="Rebecca Bello"/>
    <n v="63"/>
    <x v="3"/>
    <x v="1"/>
    <s v="B+"/>
    <x v="0"/>
    <x v="1"/>
    <x v="846"/>
    <d v="2022-06-10T00:00:00"/>
    <n v="18"/>
    <s v="Lagos University Teaching Hospital"/>
    <x v="1"/>
    <s v="Dr. Amara Osei"/>
    <x v="1"/>
    <n v="116507.89"/>
    <s v="Bevacizumab"/>
    <n v="10"/>
    <n v="181"/>
    <n v="20.7"/>
    <s v="Abnormal"/>
    <x v="0"/>
  </r>
  <r>
    <x v="1115"/>
    <s v="Ruth Brown"/>
    <n v="31"/>
    <x v="2"/>
    <x v="1"/>
    <s v="AB-"/>
    <x v="6"/>
    <x v="1"/>
    <x v="847"/>
    <d v="2019-10-10T00:00:00"/>
    <n v="3"/>
    <s v="Federal Medical Centre Asaba"/>
    <x v="0"/>
    <s v="Dr. Ngozi Eze-Williams"/>
    <x v="1"/>
    <n v="10503.13"/>
    <s v="Montelukast"/>
    <n v="7"/>
    <n v="117"/>
    <n v="30.2"/>
    <s v="Abnormal"/>
    <x v="0"/>
  </r>
  <r>
    <x v="1116"/>
    <s v="Miriam Wilson"/>
    <n v="58"/>
    <x v="3"/>
    <x v="1"/>
    <s v="A+"/>
    <x v="6"/>
    <x v="1"/>
    <x v="848"/>
    <d v="2023-07-08T00:00:00"/>
    <n v="7"/>
    <s v="Federal Medical Centre Birnin Kebbi"/>
    <x v="2"/>
    <s v="Dr. Yusuf Danjuma"/>
    <x v="0"/>
    <n v="19681.52"/>
    <s v="Montelukast"/>
    <n v="5"/>
    <n v="195"/>
    <m/>
    <s v="Normal"/>
    <x v="1"/>
  </r>
  <r>
    <x v="1117"/>
    <s v="Suleiman Dauda"/>
    <n v="23"/>
    <x v="2"/>
    <x v="0"/>
    <s v="B+"/>
    <x v="1"/>
    <x v="2"/>
    <x v="162"/>
    <d v="2019-01-07T00:00:00"/>
    <n v="6"/>
    <s v="Bowen University Teaching Hospital"/>
    <x v="1"/>
    <s v="Dr. Chioma Nwankwo"/>
    <x v="0"/>
    <n v="12818.07"/>
    <s v="Sitagliptin"/>
    <n v="8"/>
    <n v="189"/>
    <n v="30.7"/>
    <s v="Normal"/>
    <x v="0"/>
  </r>
  <r>
    <x v="1118"/>
    <s v="Mary Igwe"/>
    <n v="74"/>
    <x v="4"/>
    <x v="1"/>
    <s v="O-"/>
    <x v="4"/>
    <x v="0"/>
    <x v="849"/>
    <d v="2019-07-07T00:00:00"/>
    <n v="4"/>
    <s v="University College Hospital Ibadan"/>
    <x v="1"/>
    <s v="Dr. Aisha Bello"/>
    <x v="1"/>
    <n v="26813.06"/>
    <s v="Ciprofloxacin"/>
    <n v="5"/>
    <n v="327"/>
    <n v="19.3"/>
    <s v="Abnormal"/>
    <x v="0"/>
  </r>
  <r>
    <x v="1119"/>
    <s v="Joseph Abubakar"/>
    <n v="70"/>
    <x v="4"/>
    <x v="0"/>
    <s v="O+"/>
    <x v="5"/>
    <x v="1"/>
    <x v="850"/>
    <m/>
    <m/>
    <s v="National Hospital Abuja"/>
    <x v="4"/>
    <s v="Dr. Emeka Okorie"/>
    <x v="0"/>
    <n v="53781.46"/>
    <s v="Furosemide"/>
    <n v="10"/>
    <n v="134"/>
    <n v="29.1"/>
    <s v="Inconclusive"/>
    <x v="0"/>
  </r>
  <r>
    <x v="1120"/>
    <s v="Kayode Okonkwo"/>
    <n v="72"/>
    <x v="4"/>
    <x v="0"/>
    <s v="A+"/>
    <x v="4"/>
    <x v="2"/>
    <x v="851"/>
    <d v="2019-07-28T00:00:00"/>
    <n v="2"/>
    <s v="Bowen University Teaching Hospital"/>
    <x v="1"/>
    <s v="Dr. Segun Banke"/>
    <x v="4"/>
    <n v="14877.95"/>
    <s v="Ciprofloxacin"/>
    <n v="5"/>
    <n v="488"/>
    <n v="29.6"/>
    <s v="Normal"/>
    <x v="0"/>
  </r>
  <r>
    <x v="1121"/>
    <s v="Samuel Ogbonna"/>
    <n v="54"/>
    <x v="5"/>
    <x v="0"/>
    <s v="O+"/>
    <x v="1"/>
    <x v="0"/>
    <x v="616"/>
    <d v="2023-04-04T00:00:00"/>
    <n v="3"/>
    <s v="Federal Medical Centre Asaba"/>
    <x v="0"/>
    <s v="Dr. Taiwo Adeleke"/>
    <x v="1"/>
    <n v="31318.74"/>
    <s v="Dapagliflozin"/>
    <n v="8"/>
    <n v="214"/>
    <n v="43"/>
    <s v="Abnormal"/>
    <x v="0"/>
  </r>
  <r>
    <x v="1122"/>
    <s v="James Aliyu"/>
    <n v="70"/>
    <x v="4"/>
    <x v="0"/>
    <s v="B-"/>
    <x v="5"/>
    <x v="0"/>
    <x v="670"/>
    <d v="2019-08-17T00:00:00"/>
    <n v="8"/>
    <s v="Lagos University Teaching Hospital"/>
    <x v="1"/>
    <s v="Dr. Fatima Al-Hassan"/>
    <x v="1"/>
    <n v="158624.20000000001"/>
    <s v="Amlodipine"/>
    <n v="10"/>
    <n v="395"/>
    <n v="23.9"/>
    <s v="Abnormal"/>
    <x v="1"/>
  </r>
  <r>
    <x v="1123"/>
    <s v="Taiwo Smith"/>
    <n v="90"/>
    <x v="1"/>
    <x v="1"/>
    <s v="AB+"/>
    <x v="1"/>
    <x v="1"/>
    <x v="852"/>
    <d v="2022-05-10T00:00:00"/>
    <n v="3"/>
    <s v="University of Calabar Teaching Hospital"/>
    <x v="0"/>
    <s v="Dr. Ibrahim Musa"/>
    <x v="4"/>
    <n v="19815.05"/>
    <s v="Dapagliflozin"/>
    <n v="7"/>
    <n v="161"/>
    <n v="16.100000000000001"/>
    <s v="Abnormal"/>
    <x v="0"/>
  </r>
  <r>
    <x v="1124"/>
    <s v="Adewale Yakubu"/>
    <n v="66"/>
    <x v="4"/>
    <x v="0"/>
    <s v="AB-"/>
    <x v="5"/>
    <x v="0"/>
    <x v="578"/>
    <d v="2023-12-09T00:00:00"/>
    <n v="11"/>
    <s v="Ahmadu Bello University Teaching Hospital"/>
    <x v="2"/>
    <s v="Dr. Fatima Al-Hassan"/>
    <x v="4"/>
    <n v="76983.06"/>
    <s v="Aspirin"/>
    <n v="10"/>
    <n v="328"/>
    <n v="32.9"/>
    <s v="Abnormal"/>
    <x v="0"/>
  </r>
  <r>
    <x v="1125"/>
    <s v="Mary Okeke"/>
    <n v="65"/>
    <x v="4"/>
    <x v="1"/>
    <s v="O+"/>
    <x v="0"/>
    <x v="2"/>
    <x v="853"/>
    <d v="2021-05-01T00:00:00"/>
    <n v="9"/>
    <s v="University College Hospital Ibadan"/>
    <x v="1"/>
    <s v="Dr. Amara Osei"/>
    <x v="1"/>
    <n v="186645.69"/>
    <s v="Trastuzumab"/>
    <n v="11"/>
    <n v="440"/>
    <n v="21.6"/>
    <s v="Inconclusive"/>
    <x v="0"/>
  </r>
  <r>
    <x v="1126"/>
    <s v="Chidi Ajala"/>
    <n v="55"/>
    <x v="3"/>
    <x v="0"/>
    <s v="O+"/>
    <x v="6"/>
    <x v="1"/>
    <x v="137"/>
    <d v="2019-07-23T00:00:00"/>
    <n v="2"/>
    <s v="Lagos University Teaching Hospital"/>
    <x v="1"/>
    <s v="Dr. Halima Usman"/>
    <x v="3"/>
    <n v="46448.25"/>
    <s v="Salbutamol"/>
    <n v="7"/>
    <n v="133"/>
    <n v="28.5"/>
    <s v="Normal"/>
    <x v="0"/>
  </r>
  <r>
    <x v="1127"/>
    <s v="Mariam Okeke"/>
    <n v="92"/>
    <x v="1"/>
    <x v="1"/>
    <s v="A-"/>
    <x v="1"/>
    <x v="3"/>
    <x v="854"/>
    <d v="2021-08-20T00:00:00"/>
    <n v="4"/>
    <s v="Federal Medical Centre Owerri"/>
    <x v="3"/>
    <s v="Dr. Ibrahim Musa"/>
    <x v="4"/>
    <n v="12180.14"/>
    <s v="Dapagliflozin"/>
    <n v="8"/>
    <n v="211"/>
    <n v="40.1"/>
    <s v="Inconclusive"/>
    <x v="1"/>
  </r>
  <r>
    <x v="1128"/>
    <s v="Kayode Lawal"/>
    <n v="60"/>
    <x v="3"/>
    <x v="0"/>
    <s v="A-"/>
    <x v="1"/>
    <x v="0"/>
    <x v="855"/>
    <d v="2020-06-24T00:00:00"/>
    <n v="6"/>
    <s v="Lagos University Teaching Hospital"/>
    <x v="1"/>
    <s v="Dr. Taiwo Adeleke"/>
    <x v="0"/>
    <n v="19077.310000000001"/>
    <s v="Dapagliflozin"/>
    <n v="8"/>
    <n v="348"/>
    <n v="31.5"/>
    <s v="Abnormal"/>
    <x v="0"/>
  </r>
  <r>
    <x v="1129"/>
    <s v="John Hassan"/>
    <n v="63"/>
    <x v="3"/>
    <x v="0"/>
    <s v="AB-"/>
    <x v="5"/>
    <x v="0"/>
    <x v="856"/>
    <d v="2023-01-30T00:00:00"/>
    <n v="7"/>
    <s v="University of Calabar Teaching Hospital"/>
    <x v="0"/>
    <s v="Dr. Emeka Okorie"/>
    <x v="1"/>
    <n v="99158.38"/>
    <s v="Amiodarone"/>
    <n v="10"/>
    <n v="361"/>
    <n v="28.2"/>
    <s v="Abnormal"/>
    <x v="0"/>
  </r>
  <r>
    <x v="1130"/>
    <s v="Emmanuel Adebayo"/>
    <n v="43"/>
    <x v="5"/>
    <x v="0"/>
    <s v="AB-"/>
    <x v="5"/>
    <x v="0"/>
    <x v="328"/>
    <d v="2024-11-05T00:00:00"/>
    <n v="9"/>
    <s v="National Hospital Abuja"/>
    <x v="4"/>
    <s v="Dr. Emeka Okorie"/>
    <x v="2"/>
    <n v="35541.65"/>
    <s v="Metoprolol"/>
    <n v="9"/>
    <n v="341"/>
    <n v="38.5"/>
    <s v="Normal"/>
    <x v="1"/>
  </r>
  <r>
    <x v="1131"/>
    <s v="Segun Okonkwo"/>
    <n v="69"/>
    <x v="4"/>
    <x v="0"/>
    <s v="B+"/>
    <x v="0"/>
    <x v="1"/>
    <x v="270"/>
    <d v="2021-11-03T00:00:00"/>
    <n v="26"/>
    <s v="Aminu Kano Teaching Hospital"/>
    <x v="2"/>
    <s v="Dr. Grace Oduya"/>
    <x v="0"/>
    <n v="23122.22"/>
    <s v="Letrozole"/>
    <n v="8"/>
    <n v="190"/>
    <n v="24.4"/>
    <s v="Abnormal"/>
    <x v="1"/>
  </r>
  <r>
    <x v="1132"/>
    <s v="Rebecca Moore"/>
    <n v="60"/>
    <x v="3"/>
    <x v="1"/>
    <s v="AB-"/>
    <x v="1"/>
    <x v="3"/>
    <x v="857"/>
    <d v="2024-03-25T00:00:00"/>
    <n v="6"/>
    <s v="University College Hospital Ibadan"/>
    <x v="1"/>
    <s v="Dr. Ibrahim Musa"/>
    <x v="1"/>
    <n v="25093.73"/>
    <s v="Dapagliflozin"/>
    <n v="8"/>
    <n v="486"/>
    <n v="22.4"/>
    <s v="Inconclusive"/>
    <x v="0"/>
  </r>
  <r>
    <x v="1133"/>
    <s v="Taiwo Davis"/>
    <n v="22"/>
    <x v="2"/>
    <x v="1"/>
    <s v="O-"/>
    <x v="6"/>
    <x v="1"/>
    <x v="467"/>
    <d v="2020-08-30T00:00:00"/>
    <n v="3"/>
    <s v="Lagos University Teaching Hospital"/>
    <x v="1"/>
    <s v="Dr. Ngozi Eze-Williams"/>
    <x v="1"/>
    <n v="10375"/>
    <s v="Theophylline"/>
    <n v="5"/>
    <n v="170"/>
    <m/>
    <s v="Abnormal"/>
    <x v="0"/>
  </r>
  <r>
    <x v="1134"/>
    <s v="Esther Taylor"/>
    <n v="45"/>
    <x v="5"/>
    <x v="1"/>
    <s v="A+"/>
    <x v="1"/>
    <x v="1"/>
    <x v="858"/>
    <d v="2022-07-20T00:00:00"/>
    <n v="5"/>
    <s v="University of Calabar Teaching Hospital"/>
    <x v="0"/>
    <s v="Dr. Ibrahim Musa"/>
    <x v="1"/>
    <n v="11041.85"/>
    <s v="Empagliflozin"/>
    <n v="6"/>
    <n v="105"/>
    <n v="38.700000000000003"/>
    <s v="Inconclusive"/>
    <x v="0"/>
  </r>
  <r>
    <x v="1135"/>
    <s v="Ifeanyi Williams"/>
    <n v="60"/>
    <x v="3"/>
    <x v="0"/>
    <s v="AB+"/>
    <x v="2"/>
    <x v="2"/>
    <x v="859"/>
    <d v="2024-11-11T00:00:00"/>
    <n v="9"/>
    <s v="Lagos University Teaching Hospital"/>
    <x v="1"/>
    <s v="Dr. Rotimi Fashola"/>
    <x v="2"/>
    <n v="114394"/>
    <s v="Aspirin"/>
    <n v="9"/>
    <n v="198"/>
    <n v="25.2"/>
    <s v="Abnormal"/>
    <x v="0"/>
  </r>
  <r>
    <x v="1136"/>
    <s v="Rebecca Aliyu"/>
    <n v="26"/>
    <x v="2"/>
    <x v="1"/>
    <s v="AB+"/>
    <x v="1"/>
    <x v="3"/>
    <x v="430"/>
    <d v="2023-05-10T00:00:00"/>
    <n v="4"/>
    <s v="Federal Medical Centre Asaba"/>
    <x v="0"/>
    <s v="Dr. Ibrahim Musa"/>
    <x v="1"/>
    <n v="19262.669999999998"/>
    <s v="Linagliptin"/>
    <n v="8"/>
    <n v="263"/>
    <n v="32"/>
    <s v="Normal"/>
    <x v="0"/>
  </r>
  <r>
    <x v="1137"/>
    <s v="Chukwuemeka Okonkwo"/>
    <n v="79"/>
    <x v="1"/>
    <x v="0"/>
    <s v="A+"/>
    <x v="1"/>
    <x v="1"/>
    <x v="860"/>
    <d v="2024-08-23T00:00:00"/>
    <n v="5"/>
    <s v="Bowen University Teaching Hospital"/>
    <x v="1"/>
    <s v="Dr. Ibrahim Musa"/>
    <x v="1"/>
    <n v="18483.060000000001"/>
    <s v="Sitagliptin"/>
    <n v="8"/>
    <n v="136"/>
    <n v="38.1"/>
    <s v="Normal"/>
    <x v="0"/>
  </r>
  <r>
    <x v="1138"/>
    <s v="Blessing Yakubu"/>
    <n v="69"/>
    <x v="4"/>
    <x v="1"/>
    <s v=""/>
    <x v="6"/>
    <x v="1"/>
    <x v="571"/>
    <d v="2024-11-14T00:00:00"/>
    <n v="2"/>
    <s v="University of Calabar Teaching Hospital"/>
    <x v="0"/>
    <s v="Dr. Ngozi Eze-Williams"/>
    <x v="1"/>
    <n v="21196.22"/>
    <s v="Azithromycin"/>
    <n v="7"/>
    <n v="179"/>
    <n v="34.299999999999997"/>
    <s v="Abnormal"/>
    <x v="0"/>
  </r>
  <r>
    <x v="1139"/>
    <s v="Lanre Martin"/>
    <n v="58"/>
    <x v="3"/>
    <x v="0"/>
    <s v="AB-"/>
    <x v="0"/>
    <x v="1"/>
    <x v="861"/>
    <d v="2023-06-06T00:00:00"/>
    <n v="5"/>
    <s v="University of Calabar Teaching Hospital"/>
    <x v="0"/>
    <s v="Dr. Babatunde Fashola"/>
    <x v="3"/>
    <n v="54412.49"/>
    <s v="Paclitaxel"/>
    <n v="12"/>
    <n v="185"/>
    <n v="14"/>
    <s v="Abnormal"/>
    <x v="0"/>
  </r>
  <r>
    <x v="1140"/>
    <s v="Ifeanyi Taylor"/>
    <n v="71"/>
    <x v="4"/>
    <x v="0"/>
    <s v="O-"/>
    <x v="2"/>
    <x v="0"/>
    <x v="842"/>
    <d v="2019-03-30T00:00:00"/>
    <n v="14"/>
    <s v="Lagos University Teaching Hospital"/>
    <x v="1"/>
    <s v="Dr. Zainab Sule"/>
    <x v="1"/>
    <n v="149608"/>
    <s v="Levetiracetam"/>
    <n v="6"/>
    <n v="301"/>
    <n v="25.5"/>
    <s v="Normal"/>
    <x v="0"/>
  </r>
  <r>
    <x v="1141"/>
    <s v="Amaka Akintola"/>
    <n v="63"/>
    <x v="3"/>
    <x v="1"/>
    <s v="O-"/>
    <x v="6"/>
    <x v="0"/>
    <x v="862"/>
    <d v="2023-09-10T00:00:00"/>
    <n v="5"/>
    <s v="Ahmadu Bello University Teaching Hospital"/>
    <x v="2"/>
    <s v="Dr. Ngozi Eze-Williams"/>
    <x v="2"/>
    <n v="27237.33"/>
    <s v="Prednisolone"/>
    <n v="6"/>
    <n v="357"/>
    <n v="31.3"/>
    <s v="Inconclusive"/>
    <x v="0"/>
  </r>
  <r>
    <x v="1142"/>
    <s v="Rukayat Dauda"/>
    <n v="86"/>
    <x v="1"/>
    <x v="1"/>
    <s v="A+"/>
    <x v="7"/>
    <x v="1"/>
    <x v="700"/>
    <d v="2024-01-26T00:00:00"/>
    <n v="3"/>
    <s v="Lagos University Teaching Hospital"/>
    <x v="1"/>
    <s v="Dr. Chukwuemeka Nwosu"/>
    <x v="1"/>
    <n v="26288.52"/>
    <s v="Ibuprofen"/>
    <n v="6"/>
    <n v="198"/>
    <n v="26.7"/>
    <s v="Abnormal"/>
    <x v="0"/>
  </r>
  <r>
    <x v="1143"/>
    <s v="Nneka Smith"/>
    <n v="73"/>
    <x v="4"/>
    <x v="1"/>
    <s v="B-"/>
    <x v="3"/>
    <x v="3"/>
    <x v="335"/>
    <d v="2021-11-25T00:00:00"/>
    <n v="7"/>
    <s v="Federal Medical Centre Asaba"/>
    <x v="0"/>
    <s v="Dr. Lanre Ogundele"/>
    <x v="1"/>
    <n v="44880.42"/>
    <s v="Ondansetron"/>
    <n v="6"/>
    <n v="476"/>
    <n v="23.4"/>
    <s v="Abnormal"/>
    <x v="0"/>
  </r>
  <r>
    <x v="1144"/>
    <s v="Tunde Bello"/>
    <n v="17"/>
    <x v="0"/>
    <x v="0"/>
    <s v="AB-"/>
    <x v="7"/>
    <x v="1"/>
    <x v="251"/>
    <d v="2021-02-22T00:00:00"/>
    <n v="4"/>
    <s v="Federal Medical Centre Owerri"/>
    <x v="3"/>
    <s v="Dr. Musa Aliyu"/>
    <x v="0"/>
    <n v="12541"/>
    <s v="Calcium"/>
    <n v="6"/>
    <n v="180"/>
    <n v="25.7"/>
    <s v="Normal"/>
    <x v="0"/>
  </r>
  <r>
    <x v="1145"/>
    <s v="Ibrahim Lawan"/>
    <n v="63"/>
    <x v="3"/>
    <x v="0"/>
    <s v="B-"/>
    <x v="5"/>
    <x v="0"/>
    <x v="419"/>
    <d v="2020-09-17T00:00:00"/>
    <n v="6"/>
    <s v="University of Calabar Teaching Hospital"/>
    <x v="0"/>
    <s v="Dr. Emeka Okorie"/>
    <x v="3"/>
    <n v="155433.53"/>
    <s v="Warfarin"/>
    <n v="9"/>
    <n v="357"/>
    <n v="30.3"/>
    <s v="Abnormal"/>
    <x v="0"/>
  </r>
  <r>
    <x v="1146"/>
    <s v="Blessing Brown"/>
    <n v="63"/>
    <x v="3"/>
    <x v="1"/>
    <s v="O+"/>
    <x v="4"/>
    <x v="1"/>
    <x v="863"/>
    <d v="2024-02-22T00:00:00"/>
    <n v="3"/>
    <s v="Federal Medical Centre Owerri"/>
    <x v="3"/>
    <s v="Dr. Aisha Bello"/>
    <x v="1"/>
    <n v="18615.21"/>
    <s v="Mesalazine"/>
    <n v="5"/>
    <n v="190"/>
    <n v="31.4"/>
    <s v="Normal"/>
    <x v="0"/>
  </r>
  <r>
    <x v="1147"/>
    <s v="Rebecca Aliyu"/>
    <n v="48"/>
    <x v="5"/>
    <x v="1"/>
    <s v="A-"/>
    <x v="7"/>
    <x v="2"/>
    <x v="864"/>
    <d v="2021-03-05T00:00:00"/>
    <n v="8"/>
    <s v="Lagos University Teaching Hospital"/>
    <x v="1"/>
    <s v="Dr. Musa Aliyu"/>
    <x v="0"/>
    <n v="18828.580000000002"/>
    <s v="Tramadol"/>
    <n v="3"/>
    <n v="303"/>
    <n v="25.3"/>
    <s v="Abnormal"/>
    <x v="0"/>
  </r>
  <r>
    <x v="1148"/>
    <s v="Bukola Lawan"/>
    <n v="36"/>
    <x v="5"/>
    <x v="1"/>
    <s v="O+"/>
    <x v="6"/>
    <x v="0"/>
    <x v="865"/>
    <d v="2024-11-15T00:00:00"/>
    <n v="7"/>
    <s v="Federal Medical Centre Birnin Kebbi"/>
    <x v="2"/>
    <s v="Dr. Halima Usman"/>
    <x v="1"/>
    <n v="21175.72"/>
    <s v="Salbutamol"/>
    <n v="7"/>
    <n v="350"/>
    <n v="34.200000000000003"/>
    <s v="Normal"/>
    <x v="0"/>
  </r>
  <r>
    <x v="1149"/>
    <s v="Deborah Williams"/>
    <n v="69"/>
    <x v="4"/>
    <x v="1"/>
    <s v="A+"/>
    <x v="0"/>
    <x v="1"/>
    <x v="866"/>
    <d v="2020-09-06T00:00:00"/>
    <n v="15"/>
    <s v="University College Hospital Ibadan"/>
    <x v="1"/>
    <s v="Dr. Grace Oduya"/>
    <x v="0"/>
    <n v="50998.03"/>
    <s v="Bevacizumab"/>
    <n v="12"/>
    <n v="178"/>
    <n v="23.3"/>
    <s v="Inconclusive"/>
    <x v="0"/>
  </r>
  <r>
    <x v="1150"/>
    <s v="Mary Ajala"/>
    <n v="67"/>
    <x v="4"/>
    <x v="1"/>
    <s v="A+"/>
    <x v="0"/>
    <x v="1"/>
    <x v="867"/>
    <d v="2020-02-04T00:00:00"/>
    <n v="19"/>
    <s v="Bowen University Teaching Hospital"/>
    <x v="1"/>
    <s v="Dr. Babatunde Fashola"/>
    <x v="0"/>
    <n v="53280.77"/>
    <s v="Bevacizumab"/>
    <n v="8"/>
    <n v="194"/>
    <n v="22.7"/>
    <s v="Abnormal"/>
    <x v="0"/>
  </r>
  <r>
    <x v="1151"/>
    <s v="Peter Abubakar"/>
    <n v="69"/>
    <x v="4"/>
    <x v="0"/>
    <s v="AB+"/>
    <x v="1"/>
    <x v="2"/>
    <x v="868"/>
    <d v="2020-07-12T00:00:00"/>
    <n v="3"/>
    <s v="Aminu Kano Teaching Hospital"/>
    <x v="2"/>
    <s v="Dr. Chioma Nwankwo"/>
    <x v="1"/>
    <n v="14239.53"/>
    <s v="Glibenclamide"/>
    <n v="8"/>
    <n v="227"/>
    <m/>
    <s v="Inconclusive"/>
    <x v="0"/>
  </r>
  <r>
    <x v="1152"/>
    <s v="Musa Lawan"/>
    <n v="84"/>
    <x v="1"/>
    <x v="0"/>
    <s v="AB+"/>
    <x v="1"/>
    <x v="1"/>
    <x v="247"/>
    <d v="2019-08-28T00:00:00"/>
    <n v="4"/>
    <s v="Federal Medical Centre Owerri"/>
    <x v="3"/>
    <s v="Dr. Taiwo Adeleke"/>
    <x v="4"/>
    <n v="17732.37"/>
    <s v="Empagliflozin"/>
    <n v="7"/>
    <n v="169"/>
    <n v="40.200000000000003"/>
    <s v="Abnormal"/>
    <x v="0"/>
  </r>
  <r>
    <x v="1153"/>
    <s v="Kemi Okeke"/>
    <n v="62"/>
    <x v="3"/>
    <x v="1"/>
    <s v="B-"/>
    <x v="4"/>
    <x v="2"/>
    <x v="796"/>
    <d v="2023-01-27T00:00:00"/>
    <n v="2"/>
    <s v="University College Hospital Ibadan"/>
    <x v="1"/>
    <s v="Dr. Nnamdi Okafor"/>
    <x v="0"/>
    <n v="11450"/>
    <s v="Omeprazole"/>
    <n v="5"/>
    <n v="322"/>
    <n v="27.1"/>
    <s v="Abnormal"/>
    <x v="0"/>
  </r>
  <r>
    <x v="1154"/>
    <s v="Aisha Obi"/>
    <n v="66"/>
    <x v="4"/>
    <x v="1"/>
    <s v=""/>
    <x v="5"/>
    <x v="0"/>
    <x v="869"/>
    <d v="2023-10-15T00:00:00"/>
    <n v="10"/>
    <s v="Federal Medical Centre Asaba"/>
    <x v="0"/>
    <s v="Dr. Emeka Okorie"/>
    <x v="2"/>
    <n v="91511"/>
    <s v="Lisinopril"/>
    <n v="10"/>
    <n v="356"/>
    <n v="24.8"/>
    <s v="Abnormal"/>
    <x v="0"/>
  </r>
  <r>
    <x v="1155"/>
    <s v="Halima Onuoha"/>
    <n v="86"/>
    <x v="1"/>
    <x v="1"/>
    <s v="B+"/>
    <x v="2"/>
    <x v="0"/>
    <x v="870"/>
    <d v="2019-05-04T00:00:00"/>
    <n v="8"/>
    <s v="Ahmadu Bello University Teaching Hospital"/>
    <x v="2"/>
    <s v="Dr. Zainab Sule"/>
    <x v="4"/>
    <n v="66455.89"/>
    <s v="Donepezil"/>
    <n v="9"/>
    <n v="357"/>
    <n v="28.7"/>
    <s v="Normal"/>
    <x v="1"/>
  </r>
  <r>
    <x v="1156"/>
    <s v="Ifeoma Danjuma"/>
    <n v="56"/>
    <x v="3"/>
    <x v="1"/>
    <s v="B-"/>
    <x v="0"/>
    <x v="1"/>
    <x v="871"/>
    <d v="2024-07-26T00:00:00"/>
    <n v="13"/>
    <s v="Aminu Kano Teaching Hospital"/>
    <x v="2"/>
    <s v="Dr. Amara Osei"/>
    <x v="2"/>
    <n v="87406.62"/>
    <s v="Trastuzumab"/>
    <n v="12"/>
    <n v="114"/>
    <n v="16.7"/>
    <s v="Inconclusive"/>
    <x v="0"/>
  </r>
  <r>
    <x v="1157"/>
    <s v="Chukwudi Bello"/>
    <n v="63"/>
    <x v="3"/>
    <x v="0"/>
    <s v="B-"/>
    <x v="5"/>
    <x v="2"/>
    <x v="872"/>
    <d v="2024-04-15T00:00:00"/>
    <n v="7"/>
    <s v="Aminu Kano Teaching Hospital"/>
    <x v="2"/>
    <s v="Dr. Adewale Ogundimu"/>
    <x v="0"/>
    <n v="53095.57"/>
    <s v="Metoprolol"/>
    <n v="10"/>
    <n v="146"/>
    <n v="27.7"/>
    <s v="Abnormal"/>
    <x v="0"/>
  </r>
  <r>
    <x v="1158"/>
    <s v="Fatima Lawal"/>
    <n v="58"/>
    <x v="3"/>
    <x v="1"/>
    <s v="AB-"/>
    <x v="1"/>
    <x v="2"/>
    <x v="27"/>
    <d v="2024-11-15T00:00:00"/>
    <n v="6"/>
    <s v="University College Hospital Ibadan"/>
    <x v="1"/>
    <s v="Dr. Ibrahim Musa"/>
    <x v="4"/>
    <n v="10247.77"/>
    <s v="Dapagliflozin"/>
    <n v="8"/>
    <n v="499"/>
    <n v="22.3"/>
    <s v="Abnormal"/>
    <x v="1"/>
  </r>
  <r>
    <x v="1159"/>
    <s v="Chioma Lawal"/>
    <n v="79"/>
    <x v="1"/>
    <x v="1"/>
    <s v="O+"/>
    <x v="1"/>
    <x v="0"/>
    <x v="543"/>
    <d v="2019-10-22T00:00:00"/>
    <n v="9"/>
    <s v="Federal Medical Centre Owerri"/>
    <x v="3"/>
    <s v="Dr. Taiwo Adeleke"/>
    <x v="0"/>
    <n v="25933.77"/>
    <s v="Glibenclamide"/>
    <n v="7"/>
    <n v="164"/>
    <m/>
    <s v="Abnormal"/>
    <x v="0"/>
  </r>
  <r>
    <x v="1160"/>
    <s v="Lanre Fashola"/>
    <n v="58"/>
    <x v="3"/>
    <x v="0"/>
    <s v="AB-"/>
    <x v="1"/>
    <x v="2"/>
    <x v="196"/>
    <d v="2023-10-01T00:00:00"/>
    <n v="4"/>
    <s v="Bowen University Teaching Hospital"/>
    <x v="1"/>
    <s v="Dr. Taiwo Adeleke"/>
    <x v="1"/>
    <n v="12703.44"/>
    <s v="Dapagliflozin"/>
    <n v="6"/>
    <n v="152"/>
    <m/>
    <s v="Normal"/>
    <x v="0"/>
  </r>
  <r>
    <x v="1161"/>
    <s v="Tolulope Moore"/>
    <n v="68"/>
    <x v="4"/>
    <x v="1"/>
    <s v="B-"/>
    <x v="3"/>
    <x v="0"/>
    <x v="873"/>
    <d v="2024-08-02T00:00:00"/>
    <n v="7"/>
    <s v="Ahmadu Bello University Teaching Hospital"/>
    <x v="2"/>
    <s v="Dr. Lanre Ogundele"/>
    <x v="1"/>
    <n v="66542.039999999994"/>
    <s v="Morphine"/>
    <n v="6"/>
    <n v="154"/>
    <n v="19.899999999999999"/>
    <s v="Abnormal"/>
    <x v="0"/>
  </r>
  <r>
    <x v="1162"/>
    <s v="Funke Chukwu"/>
    <n v="59"/>
    <x v="3"/>
    <x v="1"/>
    <s v="AB+"/>
    <x v="6"/>
    <x v="1"/>
    <x v="874"/>
    <d v="2021-10-19T00:00:00"/>
    <n v="4"/>
    <s v="Ahmadu Bello University Teaching Hospital"/>
    <x v="2"/>
    <s v="Dr. Ngozi Eze-Williams"/>
    <x v="4"/>
    <n v="7916.1"/>
    <s v="Prednisolone"/>
    <n v="7"/>
    <n v="127"/>
    <n v="25.1"/>
    <s v="Abnormal"/>
    <x v="0"/>
  </r>
  <r>
    <x v="1163"/>
    <s v="Elizabeth Adeleke"/>
    <n v="73"/>
    <x v="4"/>
    <x v="1"/>
    <s v="B+"/>
    <x v="1"/>
    <x v="1"/>
    <x v="875"/>
    <d v="2022-12-24T00:00:00"/>
    <n v="2"/>
    <s v="Federal Medical Centre Birnin Kebbi"/>
    <x v="2"/>
    <s v="Dr. Taiwo Adeleke"/>
    <x v="4"/>
    <n v="8058.24"/>
    <s v="Empagliflozin"/>
    <n v="6"/>
    <n v="181"/>
    <n v="30.2"/>
    <s v="Normal"/>
    <x v="0"/>
  </r>
  <r>
    <x v="1164"/>
    <s v="Daniel Lawan"/>
    <n v="71"/>
    <x v="4"/>
    <x v="0"/>
    <s v="A-"/>
    <x v="5"/>
    <x v="2"/>
    <x v="876"/>
    <d v="2019-08-17T00:00:00"/>
    <n v="8"/>
    <s v="Federal Medical Centre Birnin Kebbi"/>
    <x v="2"/>
    <s v="Dr. Emeka Okorie"/>
    <x v="0"/>
    <n v="75931.8"/>
    <s v="Spironolactone"/>
    <n v="10"/>
    <n v="170"/>
    <n v="32.200000000000003"/>
    <s v="Abnormal"/>
    <x v="0"/>
  </r>
  <r>
    <x v="1165"/>
    <s v="Segun Martin"/>
    <n v="88"/>
    <x v="1"/>
    <x v="0"/>
    <s v="AB+"/>
    <x v="5"/>
    <x v="0"/>
    <x v="877"/>
    <d v="2024-08-03T00:00:00"/>
    <n v="7"/>
    <s v="National Hospital Abuja"/>
    <x v="4"/>
    <s v="Dr. Emeka Okorie"/>
    <x v="3"/>
    <n v="111975.18"/>
    <s v="Lisinopril"/>
    <n v="10"/>
    <n v="361"/>
    <n v="26.9"/>
    <s v="Abnormal"/>
    <x v="1"/>
  </r>
  <r>
    <x v="1166"/>
    <s v="Ibrahim Taylor"/>
    <n v="69"/>
    <x v="4"/>
    <x v="0"/>
    <s v="O-"/>
    <x v="5"/>
    <x v="1"/>
    <x v="742"/>
    <d v="2020-08-01T00:00:00"/>
    <n v="11"/>
    <s v="Federal Medical Centre Birnin Kebbi"/>
    <x v="2"/>
    <s v="Dr. Fatima Al-Hassan"/>
    <x v="0"/>
    <n v="42406.57"/>
    <s v="Warfarin"/>
    <n v="7"/>
    <n v="112"/>
    <n v="31.6"/>
    <s v="Abnormal"/>
    <x v="0"/>
  </r>
  <r>
    <x v="1167"/>
    <s v="Emeka Taylor"/>
    <n v="42"/>
    <x v="5"/>
    <x v="0"/>
    <s v="B+"/>
    <x v="5"/>
    <x v="0"/>
    <x v="23"/>
    <d v="2021-02-17T00:00:00"/>
    <n v="10"/>
    <s v="National Hospital Abuja"/>
    <x v="4"/>
    <s v="Dr. Adewale Ogundimu"/>
    <x v="0"/>
    <n v="88340.42"/>
    <s v="Furosemide"/>
    <n v="10"/>
    <n v="321"/>
    <n v="27.5"/>
    <s v="Normal"/>
    <x v="0"/>
  </r>
  <r>
    <x v="1168"/>
    <s v="Gbenga Aliyu"/>
    <n v="62"/>
    <x v="3"/>
    <x v="0"/>
    <s v="A-"/>
    <x v="1"/>
    <x v="1"/>
    <x v="878"/>
    <d v="2023-12-11T00:00:00"/>
    <n v="5"/>
    <s v="National Hospital Abuja"/>
    <x v="4"/>
    <s v="Dr. Ibrahim Musa"/>
    <x v="0"/>
    <n v="15135.01"/>
    <s v="Metformin"/>
    <n v="8"/>
    <n v="157"/>
    <m/>
    <s v="Abnormal"/>
    <x v="0"/>
  </r>
  <r>
    <x v="1169"/>
    <s v="Ifeoma Hassan"/>
    <n v="68"/>
    <x v="4"/>
    <x v="1"/>
    <s v="A+"/>
    <x v="0"/>
    <x v="1"/>
    <x v="879"/>
    <d v="2020-02-04T00:00:00"/>
    <n v="7"/>
    <s v="Aminu Kano Teaching Hospital"/>
    <x v="2"/>
    <s v="Dr. Amara Osei"/>
    <x v="2"/>
    <n v="52581.73"/>
    <s v="Carboplatin"/>
    <n v="12"/>
    <n v="141"/>
    <n v="18.899999999999999"/>
    <s v="Abnormal"/>
    <x v="0"/>
  </r>
  <r>
    <x v="1170"/>
    <s v="Rebecca Adeyemi"/>
    <n v="38"/>
    <x v="5"/>
    <x v="1"/>
    <s v="B-"/>
    <x v="5"/>
    <x v="0"/>
    <x v="880"/>
    <d v="2020-07-24T00:00:00"/>
    <n v="12"/>
    <s v="University College Hospital Ibadan"/>
    <x v="1"/>
    <s v="Dr. Adewale Ogundimu"/>
    <x v="1"/>
    <n v="53365.3"/>
    <s v="Aspirin"/>
    <n v="10"/>
    <n v="302"/>
    <n v="23.5"/>
    <s v="Abnormal"/>
    <x v="1"/>
  </r>
  <r>
    <x v="1171"/>
    <s v="Kunle Nwosu"/>
    <n v="87"/>
    <x v="1"/>
    <x v="0"/>
    <s v="B-"/>
    <x v="5"/>
    <x v="2"/>
    <x v="881"/>
    <d v="2022-09-30T00:00:00"/>
    <n v="7"/>
    <s v="National Hospital Abuja"/>
    <x v="4"/>
    <s v="Dr. Fatima Al-Hassan"/>
    <x v="1"/>
    <n v="71068.22"/>
    <s v="Digoxin"/>
    <n v="10"/>
    <n v="114"/>
    <n v="32"/>
    <s v="Abnormal"/>
    <x v="1"/>
  </r>
  <r>
    <x v="1172"/>
    <s v="Josephine Ajala"/>
    <n v="84"/>
    <x v="1"/>
    <x v="1"/>
    <s v="A+"/>
    <x v="4"/>
    <x v="0"/>
    <x v="882"/>
    <d v="2022-01-17T00:00:00"/>
    <n v="5"/>
    <s v="Aminu Kano Teaching Hospital"/>
    <x v="2"/>
    <s v="Dr. Nnamdi Okafor"/>
    <x v="0"/>
    <n v="24780.27"/>
    <s v="Ciprofloxacin"/>
    <n v="5"/>
    <n v="296"/>
    <n v="23.7"/>
    <s v="Abnormal"/>
    <x v="0"/>
  </r>
  <r>
    <x v="1173"/>
    <s v="Fatima Davis"/>
    <n v="16"/>
    <x v="0"/>
    <x v="1"/>
    <s v="A-"/>
    <x v="5"/>
    <x v="0"/>
    <x v="571"/>
    <d v="2024-12-17T00:00:00"/>
    <n v="6"/>
    <s v="University of Calabar Teaching Hospital"/>
    <x v="0"/>
    <s v="Dr. Emeka Okorie"/>
    <x v="2"/>
    <n v="90904.88"/>
    <s v="Furosemide"/>
    <n v="10"/>
    <n v="323"/>
    <n v="26.9"/>
    <s v="Abnormal"/>
    <x v="0"/>
  </r>
  <r>
    <x v="1174"/>
    <s v="Josephine Martin"/>
    <n v="56"/>
    <x v="3"/>
    <x v="1"/>
    <s v="A+"/>
    <x v="3"/>
    <x v="0"/>
    <x v="549"/>
    <d v="2020-12-25T00:00:00"/>
    <n v="11"/>
    <s v="Federal Medical Centre Asaba"/>
    <x v="0"/>
    <s v="Dr. Lanre Ogundele"/>
    <x v="4"/>
    <n v="31509.99"/>
    <s v="Paracetamol"/>
    <n v="5"/>
    <n v="239"/>
    <n v="25.6"/>
    <s v="Inconclusive"/>
    <x v="0"/>
  </r>
  <r>
    <x v="1175"/>
    <s v="Fatima Adeyemi"/>
    <n v="19"/>
    <x v="2"/>
    <x v="1"/>
    <s v="A+"/>
    <x v="5"/>
    <x v="1"/>
    <x v="883"/>
    <d v="2021-05-25T00:00:00"/>
    <n v="11"/>
    <s v="Federal Medical Centre Asaba"/>
    <x v="0"/>
    <s v="Dr. Fatima Al-Hassan"/>
    <x v="0"/>
    <n v="24694.37"/>
    <s v="Digoxin"/>
    <n v="9"/>
    <n v="110"/>
    <n v="32.799999999999997"/>
    <s v="Abnormal"/>
    <x v="1"/>
  </r>
  <r>
    <x v="1176"/>
    <s v="Chukwudi Eze"/>
    <n v="71"/>
    <x v="4"/>
    <x v="0"/>
    <s v="A-"/>
    <x v="4"/>
    <x v="0"/>
    <x v="884"/>
    <d v="2021-09-15T00:00:00"/>
    <n v="4"/>
    <s v="National Hospital Abuja"/>
    <x v="4"/>
    <s v="Dr. Segun Banke"/>
    <x v="4"/>
    <n v="25699.06"/>
    <s v="Mesalazine"/>
    <n v="2"/>
    <n v="217"/>
    <n v="19.5"/>
    <s v="Inconclusive"/>
    <x v="0"/>
  </r>
  <r>
    <x v="1177"/>
    <s v="Gbenga Ogbonna"/>
    <n v="55"/>
    <x v="3"/>
    <x v="0"/>
    <s v="A-"/>
    <x v="0"/>
    <x v="1"/>
    <x v="885"/>
    <d v="2023-09-20T00:00:00"/>
    <n v="6"/>
    <s v="University of Calabar Teaching Hospital"/>
    <x v="0"/>
    <s v="Dr. Amara Osei"/>
    <x v="0"/>
    <n v="67218"/>
    <s v="Tamoxifen"/>
    <n v="10"/>
    <n v="180"/>
    <n v="34"/>
    <s v="Abnormal"/>
    <x v="0"/>
  </r>
  <r>
    <x v="1178"/>
    <s v="Taiwo Brown"/>
    <n v="64"/>
    <x v="3"/>
    <x v="1"/>
    <s v="O-"/>
    <x v="6"/>
    <x v="2"/>
    <x v="792"/>
    <d v="2022-05-15T00:00:00"/>
    <n v="4"/>
    <s v="Bowen University Teaching Hospital"/>
    <x v="1"/>
    <s v="Dr. Ngozi Eze-Williams"/>
    <x v="3"/>
    <n v="18987.29"/>
    <s v="Tiotropium"/>
    <n v="5"/>
    <n v="344"/>
    <n v="20.9"/>
    <s v="Abnormal"/>
    <x v="0"/>
  </r>
  <r>
    <x v="1179"/>
    <s v="Ruth Aliyu"/>
    <n v="59"/>
    <x v="3"/>
    <x v="1"/>
    <s v="A+"/>
    <x v="7"/>
    <x v="0"/>
    <x v="886"/>
    <d v="2020-04-09T00:00:00"/>
    <n v="8"/>
    <s v="Lagos University Teaching Hospital"/>
    <x v="1"/>
    <s v="Dr. Musa Aliyu"/>
    <x v="0"/>
    <n v="30608.55"/>
    <s v="Celecoxib"/>
    <n v="4"/>
    <n v="401"/>
    <n v="33.1"/>
    <s v="Normal"/>
    <x v="0"/>
  </r>
  <r>
    <x v="1180"/>
    <s v="Hauwa Lawal"/>
    <n v="45"/>
    <x v="5"/>
    <x v="1"/>
    <s v="AB+"/>
    <x v="6"/>
    <x v="0"/>
    <x v="782"/>
    <d v="2023-09-28T00:00:00"/>
    <n v="9"/>
    <s v="Federal Medical Centre Birnin Kebbi"/>
    <x v="2"/>
    <s v="Dr. Halima Usman"/>
    <x v="4"/>
    <n v="30260.21"/>
    <s v="Theophylline"/>
    <n v="7"/>
    <n v="361"/>
    <n v="34.799999999999997"/>
    <s v="Normal"/>
    <x v="0"/>
  </r>
  <r>
    <x v="1181"/>
    <s v="Kemi Obi"/>
    <n v="62"/>
    <x v="3"/>
    <x v="1"/>
    <s v="AB+"/>
    <x v="6"/>
    <x v="3"/>
    <x v="887"/>
    <d v="2019-11-29T00:00:00"/>
    <n v="8"/>
    <s v="Lagos University Teaching Hospital"/>
    <x v="1"/>
    <s v="Dr. Ngozi Eze-Williams"/>
    <x v="1"/>
    <n v="24217.07"/>
    <s v="Prednisolone"/>
    <n v="3"/>
    <n v="272"/>
    <n v="41.6"/>
    <s v="Normal"/>
    <x v="0"/>
  </r>
  <r>
    <x v="1182"/>
    <s v="Femi Martin"/>
    <n v="71"/>
    <x v="4"/>
    <x v="0"/>
    <s v="AB+"/>
    <x v="2"/>
    <x v="0"/>
    <x v="331"/>
    <d v="2022-11-14T00:00:00"/>
    <n v="15"/>
    <s v="University College Hospital Ibadan"/>
    <x v="1"/>
    <s v="Dr. Olumide Abiodun"/>
    <x v="0"/>
    <n v="120582.64"/>
    <s v="Donepezil"/>
    <n v="8"/>
    <n v="394"/>
    <n v="14"/>
    <s v="Normal"/>
    <x v="0"/>
  </r>
  <r>
    <x v="1183"/>
    <s v="Rachel Adeyemi"/>
    <n v="61"/>
    <x v="3"/>
    <x v="1"/>
    <s v="O-"/>
    <x v="5"/>
    <x v="2"/>
    <x v="71"/>
    <d v="2024-05-11T00:00:00"/>
    <n v="11"/>
    <s v="University College Hospital Ibadan"/>
    <x v="1"/>
    <s v="Dr. Emeka Okorie"/>
    <x v="1"/>
    <n v="40751"/>
    <s v="Lisinopril"/>
    <n v="7"/>
    <n v="351"/>
    <n v="32.1"/>
    <s v="Abnormal"/>
    <x v="0"/>
  </r>
  <r>
    <x v="1184"/>
    <s v="Mary Brown"/>
    <n v="41"/>
    <x v="5"/>
    <x v="1"/>
    <s v="A+"/>
    <x v="5"/>
    <x v="0"/>
    <x v="710"/>
    <d v="2023-11-10T00:00:00"/>
    <n v="7"/>
    <s v="Aminu Kano Teaching Hospital"/>
    <x v="2"/>
    <s v="Dr. Emeka Okorie"/>
    <x v="2"/>
    <n v="49395"/>
    <s v="Amlodipine"/>
    <n v="10"/>
    <n v="322"/>
    <n v="33.9"/>
    <s v="Abnormal"/>
    <x v="0"/>
  </r>
  <r>
    <x v="1185"/>
    <s v="Chukwuemeka Nwosu"/>
    <n v="74"/>
    <x v="4"/>
    <x v="0"/>
    <s v="A+"/>
    <x v="5"/>
    <x v="1"/>
    <x v="888"/>
    <d v="2020-12-27T00:00:00"/>
    <n v="8"/>
    <s v="Federal Medical Centre Birnin Kebbi"/>
    <x v="2"/>
    <s v="Dr. Adewale Ogundimu"/>
    <x v="1"/>
    <n v="60758.47"/>
    <s v="Aspirin"/>
    <n v="10"/>
    <n v="195"/>
    <n v="27.2"/>
    <s v="Abnormal"/>
    <x v="1"/>
  </r>
  <r>
    <x v="1186"/>
    <s v="Chiamaka Danjuma"/>
    <n v="61"/>
    <x v="3"/>
    <x v="1"/>
    <s v="O-"/>
    <x v="6"/>
    <x v="0"/>
    <x v="306"/>
    <d v="2022-03-30T00:00:00"/>
    <n v="9"/>
    <s v="Federal Medical Centre Owerri"/>
    <x v="3"/>
    <s v="Dr. Ngozi Eze-Williams"/>
    <x v="2"/>
    <n v="22676.02"/>
    <s v="Azithromycin"/>
    <n v="7"/>
    <n v="310"/>
    <n v="32"/>
    <s v="Abnormal"/>
    <x v="0"/>
  </r>
  <r>
    <x v="1187"/>
    <s v="Kayode Garba"/>
    <n v="60"/>
    <x v="3"/>
    <x v="0"/>
    <s v="AB+"/>
    <x v="1"/>
    <x v="1"/>
    <x v="889"/>
    <d v="2022-09-06T00:00:00"/>
    <n v="5"/>
    <s v="Federal Medical Centre Birnin Kebbi"/>
    <x v="2"/>
    <s v="Dr. Ibrahim Musa"/>
    <x v="0"/>
    <n v="12326.9"/>
    <s v="Empagliflozin"/>
    <n v="5"/>
    <n v="121"/>
    <n v="34"/>
    <s v="Normal"/>
    <x v="0"/>
  </r>
  <r>
    <x v="1188"/>
    <s v="Mariam Davis"/>
    <n v="62"/>
    <x v="3"/>
    <x v="1"/>
    <s v="A+"/>
    <x v="1"/>
    <x v="2"/>
    <x v="890"/>
    <d v="2020-11-16T00:00:00"/>
    <n v="8"/>
    <s v="Federal Medical Centre Owerri"/>
    <x v="3"/>
    <s v="Dr. Ibrahim Musa"/>
    <x v="0"/>
    <n v="17411.47"/>
    <s v="Empagliflozin"/>
    <n v="8"/>
    <n v="390"/>
    <n v="34.9"/>
    <s v="Abnormal"/>
    <x v="0"/>
  </r>
  <r>
    <x v="1189"/>
    <s v="Segun Garba"/>
    <n v="72"/>
    <x v="4"/>
    <x v="0"/>
    <s v="A-"/>
    <x v="6"/>
    <x v="0"/>
    <x v="891"/>
    <d v="2022-07-27T00:00:00"/>
    <n v="2"/>
    <s v="University of Calabar Teaching Hospital"/>
    <x v="0"/>
    <s v="Dr. Ngozi Eze-Williams"/>
    <x v="3"/>
    <n v="45613.5"/>
    <s v="Salbutamol"/>
    <n v="7"/>
    <n v="359"/>
    <n v="15.3"/>
    <s v="Normal"/>
    <x v="0"/>
  </r>
  <r>
    <x v="1190"/>
    <s v="Bukola Okafor"/>
    <n v="55"/>
    <x v="3"/>
    <x v="1"/>
    <s v="B+"/>
    <x v="1"/>
    <x v="3"/>
    <x v="892"/>
    <d v="2024-01-01T00:00:00"/>
    <n v="3"/>
    <s v="National Hospital Abuja"/>
    <x v="4"/>
    <s v="Dr. Chioma Nwankwo"/>
    <x v="1"/>
    <n v="26648.6"/>
    <s v="Glibenclamide"/>
    <n v="6"/>
    <n v="233"/>
    <n v="18.8"/>
    <s v="Abnormal"/>
    <x v="0"/>
  </r>
  <r>
    <x v="1191"/>
    <s v="James Eze"/>
    <n v="64"/>
    <x v="3"/>
    <x v="0"/>
    <s v="AB-"/>
    <x v="1"/>
    <x v="0"/>
    <x v="331"/>
    <d v="2022-04-11T00:00:00"/>
    <n v="5"/>
    <s v="Bowen University Teaching Hospital"/>
    <x v="1"/>
    <s v="Dr. Ibrahim Musa"/>
    <x v="2"/>
    <n v="29033.3"/>
    <s v="Metformin"/>
    <n v="8"/>
    <n v="462"/>
    <n v="14.1"/>
    <s v="Inconclusive"/>
    <x v="0"/>
  </r>
  <r>
    <x v="1192"/>
    <s v="Chidi Onuoha"/>
    <n v="88"/>
    <x v="1"/>
    <x v="0"/>
    <s v="AB+"/>
    <x v="4"/>
    <x v="0"/>
    <x v="893"/>
    <d v="2024-07-21T00:00:00"/>
    <n v="3"/>
    <s v="Ahmadu Bello University Teaching Hospital"/>
    <x v="2"/>
    <s v="Dr. Segun Banke"/>
    <x v="2"/>
    <n v="28722.65"/>
    <s v="Ciprofloxacin"/>
    <n v="5"/>
    <n v="356"/>
    <n v="30.7"/>
    <s v="Abnormal"/>
    <x v="0"/>
  </r>
  <r>
    <x v="1193"/>
    <s v="Taiwo Dauda"/>
    <n v="78"/>
    <x v="1"/>
    <x v="1"/>
    <s v="O+"/>
    <x v="1"/>
    <x v="1"/>
    <x v="894"/>
    <d v="2020-04-02T00:00:00"/>
    <n v="2"/>
    <s v="National Hospital Abuja"/>
    <x v="4"/>
    <s v="Dr. Taiwo Adeleke"/>
    <x v="2"/>
    <n v="37886"/>
    <s v="Liraglutide"/>
    <n v="8"/>
    <n v="105"/>
    <n v="25.6"/>
    <s v="Abnormal"/>
    <x v="1"/>
  </r>
  <r>
    <x v="1194"/>
    <s v="Chiamaka Danjuma"/>
    <n v="79"/>
    <x v="1"/>
    <x v="1"/>
    <s v="A-"/>
    <x v="6"/>
    <x v="0"/>
    <x v="895"/>
    <d v="2019-01-07T00:00:00"/>
    <n v="3"/>
    <s v="Aminu Kano Teaching Hospital"/>
    <x v="2"/>
    <s v="Dr. Yusuf Danjuma"/>
    <x v="2"/>
    <n v="41979.3"/>
    <s v="Tiotropium"/>
    <n v="3"/>
    <n v="356"/>
    <n v="36"/>
    <s v="Abnormal"/>
    <x v="1"/>
  </r>
  <r>
    <x v="1195"/>
    <s v="Bukola Garba"/>
    <n v="20"/>
    <x v="2"/>
    <x v="1"/>
    <s v="O-"/>
    <x v="0"/>
    <x v="1"/>
    <x v="896"/>
    <d v="2024-04-07T00:00:00"/>
    <n v="9"/>
    <s v="Aminu Kano Teaching Hospital"/>
    <x v="2"/>
    <s v="Dr. Amara Osei"/>
    <x v="0"/>
    <n v="24084.53"/>
    <s v="Bevacizumab"/>
    <n v="12"/>
    <n v="168"/>
    <n v="23.8"/>
    <s v="Abnormal"/>
    <x v="1"/>
  </r>
  <r>
    <x v="1196"/>
    <s v="Chukwudi Adebayo"/>
    <n v="51"/>
    <x v="5"/>
    <x v="0"/>
    <s v="B+"/>
    <x v="1"/>
    <x v="1"/>
    <x v="897"/>
    <d v="2019-07-10T00:00:00"/>
    <n v="3"/>
    <s v="National Hospital Abuja"/>
    <x v="4"/>
    <s v="Dr. Ibrahim Musa"/>
    <x v="1"/>
    <n v="21784.61"/>
    <s v="Insulin Glargine"/>
    <n v="6"/>
    <n v="195"/>
    <n v="23.4"/>
    <s v="Abnormal"/>
    <x v="1"/>
  </r>
  <r>
    <x v="1197"/>
    <s v="Kemi Ajala"/>
    <n v="83"/>
    <x v="1"/>
    <x v="1"/>
    <s v="O+"/>
    <x v="1"/>
    <x v="1"/>
    <x v="898"/>
    <d v="2022-01-08T00:00:00"/>
    <n v="7"/>
    <s v="National Hospital Abuja"/>
    <x v="4"/>
    <s v="Dr. Ibrahim Musa"/>
    <x v="0"/>
    <n v="24225.200000000001"/>
    <s v="Insulin Glargine"/>
    <n v="8"/>
    <n v="168"/>
    <n v="29.9"/>
    <s v="Abnormal"/>
    <x v="0"/>
  </r>
  <r>
    <x v="1198"/>
    <s v="Fatima Ibrahim"/>
    <n v="29"/>
    <x v="2"/>
    <x v="1"/>
    <s v="AB-"/>
    <x v="0"/>
    <x v="1"/>
    <x v="899"/>
    <d v="2021-09-21T00:00:00"/>
    <n v="8"/>
    <s v="University College Hospital Ibadan"/>
    <x v="1"/>
    <s v="Dr. Babatunde Fashola"/>
    <x v="1"/>
    <n v="21872.76"/>
    <s v="Paclitaxel"/>
    <n v="12"/>
    <n v="195"/>
    <n v="28.1"/>
    <s v="Abnormal"/>
    <x v="0"/>
  </r>
  <r>
    <x v="1199"/>
    <s v="Ifeoma Danjuma"/>
    <n v="47"/>
    <x v="5"/>
    <x v="1"/>
    <s v="B-"/>
    <x v="2"/>
    <x v="0"/>
    <x v="900"/>
    <d v="2019-07-26T00:00:00"/>
    <n v="18"/>
    <s v="Federal Medical Centre Birnin Kebbi"/>
    <x v="2"/>
    <s v="Dr. Zainab Sule"/>
    <x v="0"/>
    <n v="54178.99"/>
    <s v="Valproate"/>
    <n v="9"/>
    <n v="315"/>
    <n v="17.3"/>
    <s v="Normal"/>
    <x v="1"/>
  </r>
  <r>
    <x v="1200"/>
    <s v="Ifeanyi Thompson"/>
    <n v="59"/>
    <x v="3"/>
    <x v="0"/>
    <s v="AB-"/>
    <x v="1"/>
    <x v="0"/>
    <x v="573"/>
    <m/>
    <m/>
    <s v="Federal Medical Centre Birnin Kebbi"/>
    <x v="2"/>
    <s v="Dr. Ibrahim Musa"/>
    <x v="0"/>
    <n v="24968.23"/>
    <s v="Liraglutide"/>
    <n v="6"/>
    <n v="245"/>
    <n v="19.3"/>
    <s v="Inconclusive"/>
    <x v="0"/>
  </r>
  <r>
    <x v="1201"/>
    <s v="Funke Eze"/>
    <n v="70"/>
    <x v="4"/>
    <x v="1"/>
    <s v="AB+"/>
    <x v="3"/>
    <x v="1"/>
    <x v="563"/>
    <d v="2020-10-24T00:00:00"/>
    <n v="8"/>
    <s v="Lagos University Teaching Hospital"/>
    <x v="1"/>
    <s v="Dr. Lanre Ogundele"/>
    <x v="0"/>
    <n v="77593.72"/>
    <s v="Metronidazole"/>
    <n v="4"/>
    <n v="103"/>
    <m/>
    <s v="Inconclusive"/>
    <x v="0"/>
  </r>
  <r>
    <x v="1202"/>
    <s v="Segun Okafor"/>
    <n v="60"/>
    <x v="3"/>
    <x v="0"/>
    <s v="AB+"/>
    <x v="2"/>
    <x v="0"/>
    <x v="901"/>
    <d v="2023-03-01T00:00:00"/>
    <n v="6"/>
    <s v="University College Hospital Ibadan"/>
    <x v="1"/>
    <s v="Dr. Olumide Abiodun"/>
    <x v="3"/>
    <n v="80857.06"/>
    <s v="Levetiracetam"/>
    <n v="9"/>
    <n v="345"/>
    <n v="33.9"/>
    <s v="Normal"/>
    <x v="1"/>
  </r>
  <r>
    <x v="1203"/>
    <s v="Oluwaseun Adeleke"/>
    <n v="65"/>
    <x v="4"/>
    <x v="0"/>
    <s v="A+"/>
    <x v="5"/>
    <x v="1"/>
    <x v="566"/>
    <d v="2021-06-15T00:00:00"/>
    <n v="11"/>
    <s v="Bowen University Teaching Hospital"/>
    <x v="1"/>
    <s v="Dr. Fatima Al-Hassan"/>
    <x v="0"/>
    <n v="64585.440000000002"/>
    <s v="Furosemide"/>
    <n v="6"/>
    <n v="126"/>
    <n v="24.8"/>
    <s v="Abnormal"/>
    <x v="0"/>
  </r>
  <r>
    <x v="1204"/>
    <s v="Chidi Bello"/>
    <n v="55"/>
    <x v="3"/>
    <x v="0"/>
    <s v="AB+"/>
    <x v="1"/>
    <x v="2"/>
    <x v="902"/>
    <d v="2019-12-25T00:00:00"/>
    <n v="4"/>
    <s v="National Hospital Abuja"/>
    <x v="4"/>
    <s v="Dr. Taiwo Adeleke"/>
    <x v="0"/>
    <n v="13449.97"/>
    <s v="Dapagliflozin"/>
    <n v="8"/>
    <n v="454"/>
    <n v="25.3"/>
    <s v="Abnormal"/>
    <x v="0"/>
  </r>
  <r>
    <x v="1205"/>
    <s v="Suleiman Fashola"/>
    <n v="66"/>
    <x v="4"/>
    <x v="0"/>
    <s v="B-"/>
    <x v="3"/>
    <x v="2"/>
    <x v="481"/>
    <d v="2020-03-22T00:00:00"/>
    <n v="5"/>
    <s v="Federal Medical Centre Asaba"/>
    <x v="0"/>
    <s v="Dr. Precious Obi"/>
    <x v="1"/>
    <n v="26578"/>
    <s v="Metronidazole"/>
    <n v="6"/>
    <n v="297"/>
    <n v="30.4"/>
    <s v="Abnormal"/>
    <x v="0"/>
  </r>
  <r>
    <x v="1206"/>
    <s v="Chukwuemeka Adeyemi"/>
    <n v="72"/>
    <x v="4"/>
    <x v="0"/>
    <s v="A+"/>
    <x v="7"/>
    <x v="1"/>
    <x v="579"/>
    <d v="2023-04-07T00:00:00"/>
    <n v="3"/>
    <s v="Ahmadu Bello University Teaching Hospital"/>
    <x v="2"/>
    <s v="Dr. Sarah Adeyemi"/>
    <x v="1"/>
    <n v="23211.1"/>
    <s v="Celecoxib"/>
    <n v="6"/>
    <n v="118"/>
    <n v="17.7"/>
    <s v="Abnormal"/>
    <x v="0"/>
  </r>
  <r>
    <x v="1207"/>
    <s v="Daniel Eze"/>
    <n v="23"/>
    <x v="2"/>
    <x v="0"/>
    <s v="AB+"/>
    <x v="1"/>
    <x v="2"/>
    <x v="903"/>
    <d v="2020-07-25T00:00:00"/>
    <n v="4"/>
    <s v="Aminu Kano Teaching Hospital"/>
    <x v="2"/>
    <s v="Dr. Taiwo Adeleke"/>
    <x v="4"/>
    <n v="15308.12"/>
    <s v="Glibenclamide"/>
    <n v="8"/>
    <n v="358"/>
    <n v="25.5"/>
    <s v="Abnormal"/>
    <x v="0"/>
  </r>
  <r>
    <x v="1208"/>
    <s v="Taiwo Adebayo"/>
    <n v="69"/>
    <x v="4"/>
    <x v="1"/>
    <s v="A+"/>
    <x v="5"/>
    <x v="0"/>
    <x v="431"/>
    <d v="2019-11-19T00:00:00"/>
    <n v="15"/>
    <s v="Federal Medical Centre Owerri"/>
    <x v="3"/>
    <s v="Dr. Emeka Okorie"/>
    <x v="4"/>
    <n v="81721.17"/>
    <s v="Metoprolol"/>
    <n v="10"/>
    <n v="333"/>
    <n v="33.799999999999997"/>
    <s v="Abnormal"/>
    <x v="1"/>
  </r>
  <r>
    <x v="1209"/>
    <s v="Rachel Chukwu"/>
    <n v="83"/>
    <x v="1"/>
    <x v="1"/>
    <s v="AB-"/>
    <x v="0"/>
    <x v="1"/>
    <x v="863"/>
    <d v="2024-08-03T00:00:00"/>
    <n v="18"/>
    <s v="Federal Medical Centre Asaba"/>
    <x v="0"/>
    <s v="Dr. Grace Oduya"/>
    <x v="2"/>
    <n v="54975.88"/>
    <s v="Trastuzumab"/>
    <n v="12"/>
    <n v="173"/>
    <n v="22.4"/>
    <s v="Abnormal"/>
    <x v="0"/>
  </r>
  <r>
    <x v="1210"/>
    <s v="Biodun Hassan"/>
    <n v="63"/>
    <x v="3"/>
    <x v="0"/>
    <s v="O-"/>
    <x v="5"/>
    <x v="0"/>
    <x v="298"/>
    <d v="2023-12-27T00:00:00"/>
    <n v="10"/>
    <s v="Bowen University Teaching Hospital"/>
    <x v="1"/>
    <s v="Dr. Emeka Okorie"/>
    <x v="1"/>
    <n v="74150"/>
    <s v="Digoxin"/>
    <n v="9"/>
    <n v="334"/>
    <n v="37.799999999999997"/>
    <s v="Abnormal"/>
    <x v="1"/>
  </r>
  <r>
    <x v="1211"/>
    <s v="Kayode Hassan"/>
    <n v="38"/>
    <x v="5"/>
    <x v="0"/>
    <s v="O+"/>
    <x v="6"/>
    <x v="1"/>
    <x v="904"/>
    <d v="2019-05-15T00:00:00"/>
    <n v="3"/>
    <s v="Lagos University Teaching Hospital"/>
    <x v="1"/>
    <s v="Dr. Ngozi Eze-Williams"/>
    <x v="4"/>
    <n v="10902.27"/>
    <s v="Salbutamol"/>
    <n v="7"/>
    <n v="178"/>
    <n v="29.2"/>
    <s v="Abnormal"/>
    <x v="0"/>
  </r>
  <r>
    <x v="1212"/>
    <s v="Rukayat Danjuma"/>
    <n v="70"/>
    <x v="4"/>
    <x v="1"/>
    <s v="B-"/>
    <x v="1"/>
    <x v="0"/>
    <x v="905"/>
    <d v="2021-06-01T00:00:00"/>
    <n v="5"/>
    <s v="University of Calabar Teaching Hospital"/>
    <x v="0"/>
    <s v="Dr. Chioma Nwankwo"/>
    <x v="2"/>
    <n v="33812.92"/>
    <s v="Metformin"/>
    <n v="8"/>
    <n v="375"/>
    <n v="30.2"/>
    <s v="Abnormal"/>
    <x v="0"/>
  </r>
  <r>
    <x v="1213"/>
    <s v="Chidi Igwe"/>
    <n v="91"/>
    <x v="1"/>
    <x v="0"/>
    <s v="O+"/>
    <x v="2"/>
    <x v="0"/>
    <x v="346"/>
    <d v="2023-08-23T00:00:00"/>
    <n v="7"/>
    <s v="Federal Medical Centre Owerri"/>
    <x v="3"/>
    <s v="Dr. Olumide Abiodun"/>
    <x v="4"/>
    <n v="42128.21"/>
    <s v="Phenytoin"/>
    <n v="8"/>
    <n v="380"/>
    <n v="31.4"/>
    <s v="Normal"/>
    <x v="0"/>
  </r>
  <r>
    <x v="1214"/>
    <s v="Uche Ogbonna"/>
    <n v="48"/>
    <x v="5"/>
    <x v="0"/>
    <s v="AB+"/>
    <x v="7"/>
    <x v="1"/>
    <x v="906"/>
    <d v="2019-06-02T00:00:00"/>
    <n v="4"/>
    <s v="Lagos University Teaching Hospital"/>
    <x v="1"/>
    <s v="Dr. Musa Aliyu"/>
    <x v="1"/>
    <n v="19214.740000000002"/>
    <s v="Enoxaparin"/>
    <n v="5"/>
    <n v="183"/>
    <n v="27.3"/>
    <s v="Normal"/>
    <x v="0"/>
  </r>
  <r>
    <x v="1215"/>
    <s v="Stella Usman"/>
    <n v="65"/>
    <x v="4"/>
    <x v="1"/>
    <s v="A+"/>
    <x v="7"/>
    <x v="1"/>
    <x v="907"/>
    <d v="2024-02-25T00:00:00"/>
    <n v="7"/>
    <s v="University College Hospital Ibadan"/>
    <x v="1"/>
    <s v="Dr. Sarah Adeyemi"/>
    <x v="0"/>
    <n v="29755"/>
    <s v="Celecoxib"/>
    <n v="6"/>
    <n v="185"/>
    <n v="27.3"/>
    <s v="Normal"/>
    <x v="1"/>
  </r>
  <r>
    <x v="1216"/>
    <s v="Chidi Igwe"/>
    <n v="26"/>
    <x v="2"/>
    <x v="0"/>
    <s v="AB+"/>
    <x v="2"/>
    <x v="2"/>
    <x v="782"/>
    <d v="2023-09-29T00:00:00"/>
    <n v="10"/>
    <s v="Lagos University Teaching Hospital"/>
    <x v="1"/>
    <s v="Dr. Zainab Sule"/>
    <x v="4"/>
    <n v="22153.03"/>
    <s v="Donepezil"/>
    <n v="9"/>
    <n v="107"/>
    <n v="28.6"/>
    <s v="Abnormal"/>
    <x v="0"/>
  </r>
  <r>
    <x v="1217"/>
    <s v="Deborah Salami"/>
    <n v="73"/>
    <x v="4"/>
    <x v="1"/>
    <s v="AB+"/>
    <x v="6"/>
    <x v="2"/>
    <x v="908"/>
    <d v="2024-11-16T00:00:00"/>
    <n v="13"/>
    <s v="University of Calabar Teaching Hospital"/>
    <x v="0"/>
    <s v="Dr. Yusuf Danjuma"/>
    <x v="4"/>
    <n v="27137.65"/>
    <s v="Salbutamol"/>
    <n v="7"/>
    <n v="437"/>
    <n v="22.4"/>
    <s v="Normal"/>
    <x v="1"/>
  </r>
  <r>
    <x v="1218"/>
    <s v="Uche Akintola"/>
    <n v="59"/>
    <x v="3"/>
    <x v="0"/>
    <s v="O-"/>
    <x v="3"/>
    <x v="1"/>
    <x v="909"/>
    <d v="2024-11-23T00:00:00"/>
    <n v="2"/>
    <s v="University College Hospital Ibadan"/>
    <x v="1"/>
    <s v="Dr. Precious Obi"/>
    <x v="1"/>
    <n v="37577.4"/>
    <s v="Morphine"/>
    <n v="6"/>
    <n v="165"/>
    <n v="20.7"/>
    <s v="Inconclusive"/>
    <x v="0"/>
  </r>
  <r>
    <x v="1219"/>
    <s v="Emmanuel Williams"/>
    <n v="56"/>
    <x v="3"/>
    <x v="0"/>
    <s v=""/>
    <x v="2"/>
    <x v="1"/>
    <x v="910"/>
    <d v="2019-03-10T00:00:00"/>
    <n v="5"/>
    <s v="University College Hospital Ibadan"/>
    <x v="1"/>
    <s v="Dr. Zainab Sule"/>
    <x v="1"/>
    <n v="38215.32"/>
    <s v="Levetiracetam"/>
    <n v="9"/>
    <n v="160"/>
    <n v="24.9"/>
    <s v="Inconclusive"/>
    <x v="0"/>
  </r>
  <r>
    <x v="1220"/>
    <s v="Lanre Ogbonna"/>
    <n v="59"/>
    <x v="3"/>
    <x v="0"/>
    <s v="O-"/>
    <x v="2"/>
    <x v="0"/>
    <x v="231"/>
    <m/>
    <m/>
    <s v="National Hospital Abuja"/>
    <x v="4"/>
    <s v="Dr. Rotimi Fashola"/>
    <x v="1"/>
    <n v="97851.57"/>
    <s v="Phenytoin"/>
    <n v="7"/>
    <n v="334"/>
    <n v="22.7"/>
    <s v="Inconclusive"/>
    <x v="0"/>
  </r>
  <r>
    <x v="1221"/>
    <s v="Kayode Ibrahim"/>
    <n v="38"/>
    <x v="5"/>
    <x v="0"/>
    <s v="A+"/>
    <x v="7"/>
    <x v="0"/>
    <x v="911"/>
    <d v="2024-09-29T00:00:00"/>
    <n v="6"/>
    <s v="National Hospital Abuja"/>
    <x v="4"/>
    <s v="Dr. Sarah Adeyemi"/>
    <x v="0"/>
    <n v="54073.52"/>
    <s v="Ibuprofen"/>
    <n v="1"/>
    <n v="469"/>
    <m/>
    <s v="Normal"/>
    <x v="0"/>
  </r>
  <r>
    <x v="1222"/>
    <s v="Nnamdi Thompson"/>
    <n v="47"/>
    <x v="5"/>
    <x v="0"/>
    <s v="O+"/>
    <x v="7"/>
    <x v="0"/>
    <x v="912"/>
    <d v="2024-07-31T00:00:00"/>
    <n v="7"/>
    <s v="Ahmadu Bello University Teaching Hospital"/>
    <x v="2"/>
    <s v="Dr. Musa Aliyu"/>
    <x v="0"/>
    <n v="37864.629999999997"/>
    <s v="Celecoxib"/>
    <n v="4"/>
    <n v="299"/>
    <n v="25.1"/>
    <s v="Normal"/>
    <x v="0"/>
  </r>
  <r>
    <x v="1223"/>
    <s v="Bukola Lawan"/>
    <n v="53"/>
    <x v="5"/>
    <x v="1"/>
    <s v="O-"/>
    <x v="6"/>
    <x v="0"/>
    <x v="48"/>
    <d v="2024-10-22T00:00:00"/>
    <n v="2"/>
    <s v="Aminu Kano Teaching Hospital"/>
    <x v="2"/>
    <s v="Dr. Halima Usman"/>
    <x v="3"/>
    <n v="20693.099999999999"/>
    <s v="Tiotropium"/>
    <n v="7"/>
    <n v="382"/>
    <n v="39.700000000000003"/>
    <s v="Inconclusive"/>
    <x v="0"/>
  </r>
  <r>
    <x v="1224"/>
    <s v="Bukola Ibrahim"/>
    <n v="74"/>
    <x v="4"/>
    <x v="1"/>
    <s v="O-"/>
    <x v="5"/>
    <x v="0"/>
    <x v="417"/>
    <d v="2019-09-29T00:00:00"/>
    <n v="11"/>
    <s v="Ahmadu Bello University Teaching Hospital"/>
    <x v="2"/>
    <s v="Dr. Adewale Ogundimu"/>
    <x v="1"/>
    <n v="55679.53"/>
    <s v="Spironolactone"/>
    <n v="10"/>
    <n v="381"/>
    <n v="32.9"/>
    <s v="Normal"/>
    <x v="0"/>
  </r>
  <r>
    <x v="1225"/>
    <s v="Chukwuemeka Salami"/>
    <n v="88"/>
    <x v="1"/>
    <x v="0"/>
    <s v="O-"/>
    <x v="0"/>
    <x v="1"/>
    <x v="913"/>
    <d v="2020-12-10T00:00:00"/>
    <n v="11"/>
    <s v="Aminu Kano Teaching Hospital"/>
    <x v="2"/>
    <s v="Dr. Amara Osei"/>
    <x v="2"/>
    <n v="105050.39"/>
    <s v="Cyclophosphamide"/>
    <n v="12"/>
    <n v="144"/>
    <n v="21.3"/>
    <s v="Normal"/>
    <x v="1"/>
  </r>
  <r>
    <x v="1226"/>
    <s v="Emmanuel Smith"/>
    <n v="35"/>
    <x v="5"/>
    <x v="0"/>
    <s v="O-"/>
    <x v="1"/>
    <x v="0"/>
    <x v="898"/>
    <d v="2022-01-09T00:00:00"/>
    <n v="8"/>
    <s v="National Hospital Abuja"/>
    <x v="4"/>
    <s v="Dr. Chioma Nwankwo"/>
    <x v="0"/>
    <n v="22080.9"/>
    <s v="Empagliflozin"/>
    <n v="7"/>
    <n v="138"/>
    <n v="17.3"/>
    <s v="Normal"/>
    <x v="1"/>
  </r>
  <r>
    <x v="1227"/>
    <s v="Emmanuel Eze"/>
    <n v="60"/>
    <x v="3"/>
    <x v="0"/>
    <s v="O+"/>
    <x v="7"/>
    <x v="0"/>
    <x v="914"/>
    <d v="2020-02-05T00:00:00"/>
    <n v="2"/>
    <s v="National Hospital Abuja"/>
    <x v="4"/>
    <s v="Dr. Musa Aliyu"/>
    <x v="2"/>
    <n v="52517.83"/>
    <s v="Ibuprofen"/>
    <n v="4"/>
    <n v="468"/>
    <n v="31.8"/>
    <s v="Normal"/>
    <x v="0"/>
  </r>
  <r>
    <x v="1228"/>
    <s v="Adenike Moore"/>
    <n v="65"/>
    <x v="4"/>
    <x v="1"/>
    <s v="B+"/>
    <x v="3"/>
    <x v="1"/>
    <x v="429"/>
    <d v="2023-06-10T00:00:00"/>
    <n v="4"/>
    <s v="Aminu Kano Teaching Hospital"/>
    <x v="2"/>
    <s v="Dr. Kemi Adeyemi"/>
    <x v="4"/>
    <n v="24625.439999999999"/>
    <s v="Paracetamol"/>
    <n v="6"/>
    <n v="178"/>
    <n v="19.399999999999999"/>
    <s v="Abnormal"/>
    <x v="0"/>
  </r>
  <r>
    <x v="1229"/>
    <s v="Sarah Fashola"/>
    <n v="50"/>
    <x v="5"/>
    <x v="1"/>
    <s v="O+"/>
    <x v="7"/>
    <x v="1"/>
    <x v="624"/>
    <d v="2019-02-23T00:00:00"/>
    <n v="2"/>
    <s v="Bowen University Teaching Hospital"/>
    <x v="1"/>
    <s v="Dr. Musa Aliyu"/>
    <x v="0"/>
    <n v="11951.04"/>
    <s v="Celecoxib"/>
    <n v="5"/>
    <n v="161"/>
    <n v="25.6"/>
    <s v="Abnormal"/>
    <x v="0"/>
  </r>
  <r>
    <x v="1230"/>
    <s v="Samuel Eze"/>
    <n v="68"/>
    <x v="4"/>
    <x v="0"/>
    <s v="B+"/>
    <x v="5"/>
    <x v="1"/>
    <x v="662"/>
    <d v="2024-04-15T00:00:00"/>
    <n v="9"/>
    <s v="Lagos University Teaching Hospital"/>
    <x v="1"/>
    <s v="Dr. Fatima Al-Hassan"/>
    <x v="0"/>
    <n v="40619.629999999997"/>
    <s v="Amiodarone"/>
    <n v="10"/>
    <n v="165"/>
    <m/>
    <s v="Abnormal"/>
    <x v="0"/>
  </r>
  <r>
    <x v="1231"/>
    <s v="Peter Danjuma"/>
    <n v="64"/>
    <x v="3"/>
    <x v="0"/>
    <s v="AB-"/>
    <x v="7"/>
    <x v="2"/>
    <x v="915"/>
    <d v="2023-05-29T00:00:00"/>
    <n v="5"/>
    <s v="Ahmadu Bello University Teaching Hospital"/>
    <x v="2"/>
    <s v="Dr. Chukwuemeka Nwosu"/>
    <x v="4"/>
    <n v="13279"/>
    <s v="Vitamin D"/>
    <n v="5"/>
    <n v="108"/>
    <n v="26.1"/>
    <s v="Normal"/>
    <x v="0"/>
  </r>
  <r>
    <x v="1232"/>
    <s v="Halima Ibrahim"/>
    <n v="49"/>
    <x v="5"/>
    <x v="1"/>
    <s v="B+"/>
    <x v="2"/>
    <x v="3"/>
    <x v="916"/>
    <d v="2022-02-19T00:00:00"/>
    <n v="11"/>
    <s v="Federal Medical Centre Asaba"/>
    <x v="0"/>
    <s v="Dr. Olumide Abiodun"/>
    <x v="4"/>
    <n v="47169.1"/>
    <s v="Phenytoin"/>
    <n v="7"/>
    <n v="438"/>
    <n v="22.2"/>
    <s v="Normal"/>
    <x v="0"/>
  </r>
  <r>
    <x v="1233"/>
    <s v="Blessing Moore"/>
    <n v="77"/>
    <x v="1"/>
    <x v="1"/>
    <s v="AB+"/>
    <x v="5"/>
    <x v="0"/>
    <x v="725"/>
    <d v="2019-10-12T00:00:00"/>
    <n v="9"/>
    <s v="National Hospital Abuja"/>
    <x v="4"/>
    <s v="Dr. Emeka Okorie"/>
    <x v="4"/>
    <n v="73186.720000000001"/>
    <s v="Amlodipine"/>
    <n v="10"/>
    <n v="311"/>
    <n v="32"/>
    <s v="Abnormal"/>
    <x v="1"/>
  </r>
  <r>
    <x v="1234"/>
    <s v="Rachel Smith"/>
    <n v="71"/>
    <x v="4"/>
    <x v="1"/>
    <s v="AB+"/>
    <x v="0"/>
    <x v="3"/>
    <x v="917"/>
    <d v="2019-12-08T00:00:00"/>
    <n v="19"/>
    <s v="Federal Medical Centre Birnin Kebbi"/>
    <x v="2"/>
    <s v="Dr. Amara Osei"/>
    <x v="4"/>
    <n v="48200.35"/>
    <s v="Cyclophosphamide"/>
    <n v="11"/>
    <n v="340"/>
    <n v="29"/>
    <s v="Inconclusive"/>
    <x v="0"/>
  </r>
  <r>
    <x v="1235"/>
    <s v="Chukwuemeka Sule"/>
    <n v="92"/>
    <x v="1"/>
    <x v="0"/>
    <s v="AB+"/>
    <x v="1"/>
    <x v="2"/>
    <x v="918"/>
    <d v="2022-08-18T00:00:00"/>
    <n v="5"/>
    <s v="Aminu Kano Teaching Hospital"/>
    <x v="2"/>
    <s v="Dr. Ibrahim Musa"/>
    <x v="4"/>
    <n v="11859.34"/>
    <s v="Sitagliptin"/>
    <n v="5"/>
    <n v="412"/>
    <n v="35.1"/>
    <s v="Abnormal"/>
    <x v="0"/>
  </r>
  <r>
    <x v="1236"/>
    <s v="Oluwaseun Nwosu"/>
    <n v="46"/>
    <x v="5"/>
    <x v="0"/>
    <s v="AB+"/>
    <x v="1"/>
    <x v="1"/>
    <x v="919"/>
    <d v="2020-07-10T00:00:00"/>
    <n v="8"/>
    <s v="Federal Medical Centre Asaba"/>
    <x v="0"/>
    <s v="Dr. Taiwo Adeleke"/>
    <x v="0"/>
    <n v="11275.38"/>
    <s v="Glibenclamide"/>
    <n v="5"/>
    <n v="132"/>
    <n v="23.1"/>
    <s v="Abnormal"/>
    <x v="0"/>
  </r>
  <r>
    <x v="1237"/>
    <s v="Miriam Onuoha"/>
    <n v="45"/>
    <x v="5"/>
    <x v="1"/>
    <s v="B+"/>
    <x v="0"/>
    <x v="1"/>
    <x v="920"/>
    <d v="2020-03-02T00:00:00"/>
    <n v="6"/>
    <s v="Federal Medical Centre Owerri"/>
    <x v="3"/>
    <s v="Dr. Grace Oduya"/>
    <x v="1"/>
    <n v="35958.15"/>
    <s v="Paclitaxel"/>
    <n v="12"/>
    <n v="128"/>
    <n v="28.7"/>
    <s v="Abnormal"/>
    <x v="0"/>
  </r>
  <r>
    <x v="1238"/>
    <s v="Ruth Johnson"/>
    <n v="46"/>
    <x v="5"/>
    <x v="1"/>
    <s v="AB-"/>
    <x v="5"/>
    <x v="0"/>
    <x v="921"/>
    <d v="2021-10-10T00:00:00"/>
    <n v="9"/>
    <s v="Bowen University Teaching Hospital"/>
    <x v="1"/>
    <s v="Dr. Fatima Al-Hassan"/>
    <x v="3"/>
    <n v="71541.490000000005"/>
    <s v="Furosemide"/>
    <n v="10"/>
    <n v="324"/>
    <n v="23.5"/>
    <s v="Abnormal"/>
    <x v="0"/>
  </r>
  <r>
    <x v="1239"/>
    <s v="Esther Aliyu"/>
    <n v="70"/>
    <x v="4"/>
    <x v="1"/>
    <s v="B-"/>
    <x v="1"/>
    <x v="0"/>
    <x v="922"/>
    <d v="2020-07-16T00:00:00"/>
    <n v="6"/>
    <s v="University of Calabar Teaching Hospital"/>
    <x v="0"/>
    <s v="Dr. Ibrahim Musa"/>
    <x v="0"/>
    <n v="43328"/>
    <s v="Glibenclamide"/>
    <n v="8"/>
    <n v="246"/>
    <m/>
    <s v="Abnormal"/>
    <x v="0"/>
  </r>
  <r>
    <x v="1240"/>
    <s v="Michael Aliyu"/>
    <n v="92"/>
    <x v="1"/>
    <x v="0"/>
    <s v="O+"/>
    <x v="7"/>
    <x v="1"/>
    <x v="923"/>
    <d v="2024-04-21T00:00:00"/>
    <n v="2"/>
    <s v="National Hospital Abuja"/>
    <x v="4"/>
    <s v="Dr. Chukwuemeka Nwosu"/>
    <x v="0"/>
    <n v="18331.38"/>
    <s v="Enoxaparin"/>
    <n v="4"/>
    <n v="142"/>
    <n v="32"/>
    <s v="Normal"/>
    <x v="0"/>
  </r>
  <r>
    <x v="1241"/>
    <s v="Biodun Adeleke"/>
    <n v="35"/>
    <x v="5"/>
    <x v="0"/>
    <s v="AB-"/>
    <x v="5"/>
    <x v="0"/>
    <x v="924"/>
    <d v="2023-08-05T00:00:00"/>
    <n v="5"/>
    <s v="Federal Medical Centre Owerri"/>
    <x v="3"/>
    <s v="Dr. Emeka Okorie"/>
    <x v="1"/>
    <n v="107159.02"/>
    <s v="Spironolactone"/>
    <n v="10"/>
    <n v="367"/>
    <n v="27.5"/>
    <s v="Normal"/>
    <x v="0"/>
  </r>
  <r>
    <x v="1242"/>
    <s v="Bashir Okafor"/>
    <n v="53"/>
    <x v="5"/>
    <x v="0"/>
    <s v="B-"/>
    <x v="5"/>
    <x v="0"/>
    <x v="526"/>
    <d v="2019-08-30T00:00:00"/>
    <n v="7"/>
    <s v="University College Hospital Ibadan"/>
    <x v="1"/>
    <s v="Dr. Fatima Al-Hassan"/>
    <x v="4"/>
    <n v="69491.45"/>
    <s v="Atorvastatin"/>
    <n v="9"/>
    <n v="378"/>
    <m/>
    <s v="Abnormal"/>
    <x v="1"/>
  </r>
  <r>
    <x v="1243"/>
    <s v="Lydia Ogbonna"/>
    <n v="73"/>
    <x v="4"/>
    <x v="1"/>
    <s v="AB+"/>
    <x v="3"/>
    <x v="0"/>
    <x v="425"/>
    <d v="2020-02-17T00:00:00"/>
    <n v="5"/>
    <s v="University of Calabar Teaching Hospital"/>
    <x v="0"/>
    <s v="Dr. Lanre Ogundele"/>
    <x v="0"/>
    <n v="38298.67"/>
    <s v="Ondansetron"/>
    <n v="6"/>
    <n v="207"/>
    <n v="25"/>
    <s v="Normal"/>
    <x v="0"/>
  </r>
  <r>
    <x v="1244"/>
    <s v="Sarah Aliyu"/>
    <n v="50"/>
    <x v="5"/>
    <x v="1"/>
    <s v="A+"/>
    <x v="2"/>
    <x v="0"/>
    <x v="453"/>
    <d v="2024-09-01T00:00:00"/>
    <n v="5"/>
    <s v="Ahmadu Bello University Teaching Hospital"/>
    <x v="2"/>
    <s v="Dr. Rotimi Fashola"/>
    <x v="1"/>
    <n v="65445.14"/>
    <s v="Gabapentin"/>
    <n v="9"/>
    <n v="395"/>
    <n v="29.5"/>
    <s v="Normal"/>
    <x v="0"/>
  </r>
  <r>
    <x v="1245"/>
    <s v="Kayode Ogbonna"/>
    <n v="68"/>
    <x v="4"/>
    <x v="0"/>
    <s v="A+"/>
    <x v="7"/>
    <x v="0"/>
    <x v="235"/>
    <d v="2021-05-28T00:00:00"/>
    <n v="8"/>
    <s v="Aminu Kano Teaching Hospital"/>
    <x v="2"/>
    <s v="Dr. Musa Aliyu"/>
    <x v="0"/>
    <n v="33253.15"/>
    <s v="Calcium"/>
    <n v="3"/>
    <n v="233"/>
    <n v="27"/>
    <s v="Normal"/>
    <x v="0"/>
  </r>
  <r>
    <x v="1246"/>
    <s v="Amaka Okafor"/>
    <n v="63"/>
    <x v="3"/>
    <x v="1"/>
    <s v="A-"/>
    <x v="5"/>
    <x v="0"/>
    <x v="925"/>
    <d v="2021-01-26T00:00:00"/>
    <n v="16"/>
    <s v="Ahmadu Bello University Teaching Hospital"/>
    <x v="2"/>
    <s v="Dr. Emeka Okorie"/>
    <x v="0"/>
    <n v="70031.75"/>
    <s v="Digoxin"/>
    <n v="10"/>
    <n v="396"/>
    <n v="36.1"/>
    <s v="Inconclusive"/>
    <x v="1"/>
  </r>
  <r>
    <x v="1247"/>
    <s v="Deborah Danjuma"/>
    <n v="76"/>
    <x v="1"/>
    <x v="1"/>
    <s v="AB-"/>
    <x v="7"/>
    <x v="1"/>
    <x v="926"/>
    <d v="2019-01-02T00:00:00"/>
    <n v="2"/>
    <s v="University College Hospital Ibadan"/>
    <x v="1"/>
    <s v="Dr. Musa Aliyu"/>
    <x v="0"/>
    <n v="62101.65"/>
    <s v="Ibuprofen"/>
    <n v="6"/>
    <n v="139"/>
    <n v="25.5"/>
    <s v="Inconclusive"/>
    <x v="0"/>
  </r>
  <r>
    <x v="1248"/>
    <s v="Miriam Fashola"/>
    <n v="46"/>
    <x v="5"/>
    <x v="1"/>
    <s v="AB+"/>
    <x v="5"/>
    <x v="0"/>
    <x v="927"/>
    <d v="2020-09-15T00:00:00"/>
    <n v="10"/>
    <s v="University College Hospital Ibadan"/>
    <x v="1"/>
    <s v="Dr. Fatima Al-Hassan"/>
    <x v="0"/>
    <n v="53285.71"/>
    <s v="Warfarin"/>
    <n v="10"/>
    <n v="340"/>
    <n v="46.2"/>
    <s v="Normal"/>
    <x v="0"/>
  </r>
  <r>
    <x v="1249"/>
    <s v="Bashir Dauda"/>
    <n v="61"/>
    <x v="3"/>
    <x v="0"/>
    <s v="AB+"/>
    <x v="2"/>
    <x v="0"/>
    <x v="50"/>
    <d v="2020-05-17T00:00:00"/>
    <n v="6"/>
    <s v="National Hospital Abuja"/>
    <x v="4"/>
    <s v="Dr. Rotimi Fashola"/>
    <x v="1"/>
    <n v="90947.46"/>
    <s v="Donepezil"/>
    <n v="5"/>
    <n v="336"/>
    <n v="14.7"/>
    <s v="Normal"/>
    <x v="0"/>
  </r>
  <r>
    <x v="1250"/>
    <s v="Kayode Okafor"/>
    <n v="75"/>
    <x v="1"/>
    <x v="0"/>
    <s v="B+"/>
    <x v="2"/>
    <x v="2"/>
    <x v="928"/>
    <d v="2019-05-02T00:00:00"/>
    <n v="7"/>
    <s v="Bowen University Teaching Hospital"/>
    <x v="1"/>
    <s v="Dr. Rotimi Fashola"/>
    <x v="0"/>
    <n v="46377.39"/>
    <s v="Topiramate"/>
    <n v="7"/>
    <n v="426"/>
    <n v="31"/>
    <s v="Abnormal"/>
    <x v="1"/>
  </r>
  <r>
    <x v="1251"/>
    <s v="Daniel Bankole"/>
    <n v="71"/>
    <x v="4"/>
    <x v="0"/>
    <s v="A-"/>
    <x v="5"/>
    <x v="0"/>
    <x v="929"/>
    <d v="2019-05-23T00:00:00"/>
    <n v="20"/>
    <s v="Lagos University Teaching Hospital"/>
    <x v="1"/>
    <s v="Dr. Fatima Al-Hassan"/>
    <x v="0"/>
    <n v="54988.73"/>
    <s v="Atorvastatin"/>
    <n v="10"/>
    <n v="337"/>
    <n v="32.6"/>
    <s v="Abnormal"/>
    <x v="0"/>
  </r>
  <r>
    <x v="1252"/>
    <s v="Kemi Danjuma"/>
    <n v="63"/>
    <x v="3"/>
    <x v="1"/>
    <s v="AB+"/>
    <x v="0"/>
    <x v="1"/>
    <x v="632"/>
    <d v="2024-04-16T00:00:00"/>
    <n v="5"/>
    <s v="Lagos University Teaching Hospital"/>
    <x v="1"/>
    <s v="Dr. Grace Oduya"/>
    <x v="3"/>
    <n v="112215.22"/>
    <s v="Rituximab"/>
    <n v="11"/>
    <n v="166"/>
    <n v="18.2"/>
    <s v="Abnormal"/>
    <x v="0"/>
  </r>
  <r>
    <x v="1253"/>
    <s v="Emmanuel Okonkwo"/>
    <n v="41"/>
    <x v="5"/>
    <x v="0"/>
    <s v="A+"/>
    <x v="1"/>
    <x v="1"/>
    <x v="930"/>
    <d v="2022-10-09T00:00:00"/>
    <n v="3"/>
    <s v="Lagos University Teaching Hospital"/>
    <x v="1"/>
    <s v="Dr. Ibrahim Musa"/>
    <x v="2"/>
    <n v="9051.82"/>
    <s v="Linagliptin"/>
    <n v="4"/>
    <n v="157"/>
    <n v="27.2"/>
    <s v="Abnormal"/>
    <x v="1"/>
  </r>
  <r>
    <x v="1254"/>
    <s v="Biodun Aliyu"/>
    <n v="72"/>
    <x v="4"/>
    <x v="0"/>
    <s v="AB-"/>
    <x v="0"/>
    <x v="2"/>
    <x v="34"/>
    <d v="2019-05-05T00:00:00"/>
    <n v="17"/>
    <s v="Federal Medical Centre Birnin Kebbi"/>
    <x v="2"/>
    <s v="Dr. Babatunde Fashola"/>
    <x v="1"/>
    <n v="131286.74"/>
    <s v="Trastuzumab"/>
    <n v="10"/>
    <n v="384"/>
    <n v="18.600000000000001"/>
    <s v="Abnormal"/>
    <x v="0"/>
  </r>
  <r>
    <x v="1255"/>
    <s v="Chidi Igwe"/>
    <n v="84"/>
    <x v="1"/>
    <x v="0"/>
    <s v="O+"/>
    <x v="5"/>
    <x v="0"/>
    <x v="931"/>
    <d v="2019-02-10T00:00:00"/>
    <n v="7"/>
    <s v="Lagos University Teaching Hospital"/>
    <x v="1"/>
    <s v="Dr. Fatima Al-Hassan"/>
    <x v="2"/>
    <n v="150266.15"/>
    <s v="Aspirin"/>
    <n v="10"/>
    <n v="397"/>
    <n v="25.6"/>
    <s v="Abnormal"/>
    <x v="1"/>
  </r>
  <r>
    <x v="1256"/>
    <s v="Biodun Smith"/>
    <n v="29"/>
    <x v="2"/>
    <x v="0"/>
    <s v="A-"/>
    <x v="4"/>
    <x v="0"/>
    <x v="184"/>
    <d v="2023-11-12T00:00:00"/>
    <n v="3"/>
    <s v="Lagos University Teaching Hospital"/>
    <x v="1"/>
    <s v="Dr. Aisha Bello"/>
    <x v="2"/>
    <n v="13209.05"/>
    <s v="Mesalazine"/>
    <n v="3"/>
    <n v="106"/>
    <m/>
    <s v="Normal"/>
    <x v="0"/>
  </r>
  <r>
    <x v="1257"/>
    <s v="Gbenga Igwe"/>
    <n v="62"/>
    <x v="3"/>
    <x v="0"/>
    <s v="AB-"/>
    <x v="5"/>
    <x v="2"/>
    <x v="693"/>
    <d v="2022-06-29T00:00:00"/>
    <n v="8"/>
    <s v="Federal Medical Centre Owerri"/>
    <x v="3"/>
    <s v="Dr. Emeka Okorie"/>
    <x v="0"/>
    <n v="24367.98"/>
    <s v="Aspirin"/>
    <n v="10"/>
    <n v="388"/>
    <n v="16.8"/>
    <s v="Normal"/>
    <x v="0"/>
  </r>
  <r>
    <x v="1258"/>
    <s v="Deborah Musa"/>
    <n v="43"/>
    <x v="5"/>
    <x v="1"/>
    <s v="O-"/>
    <x v="7"/>
    <x v="0"/>
    <x v="932"/>
    <d v="2023-09-08T00:00:00"/>
    <n v="6"/>
    <s v="Federal Medical Centre Birnin Kebbi"/>
    <x v="2"/>
    <s v="Dr. Sarah Adeyemi"/>
    <x v="0"/>
    <n v="25027.5"/>
    <s v="Celecoxib"/>
    <n v="4"/>
    <n v="380"/>
    <n v="29.2"/>
    <s v="Normal"/>
    <x v="0"/>
  </r>
  <r>
    <x v="1259"/>
    <s v="Ruth Okafor"/>
    <n v="77"/>
    <x v="1"/>
    <x v="1"/>
    <s v="A-"/>
    <x v="3"/>
    <x v="2"/>
    <x v="557"/>
    <d v="2023-12-20T00:00:00"/>
    <n v="6"/>
    <s v="Federal Medical Centre Owerri"/>
    <x v="3"/>
    <s v="Dr. Precious Obi"/>
    <x v="0"/>
    <n v="36662.5"/>
    <s v="Paracetamol"/>
    <n v="5"/>
    <n v="387"/>
    <n v="25.4"/>
    <s v="Abnormal"/>
    <x v="0"/>
  </r>
  <r>
    <x v="1260"/>
    <s v="Biodun Sule"/>
    <n v="57"/>
    <x v="3"/>
    <x v="0"/>
    <s v="AB+"/>
    <x v="3"/>
    <x v="2"/>
    <x v="642"/>
    <d v="2022-07-07T00:00:00"/>
    <n v="5"/>
    <s v="Aminu Kano Teaching Hospital"/>
    <x v="2"/>
    <s v="Dr. Kemi Adeyemi"/>
    <x v="2"/>
    <n v="53030.68"/>
    <s v="Paracetamol"/>
    <n v="5"/>
    <n v="123"/>
    <m/>
    <s v="Normal"/>
    <x v="0"/>
  </r>
  <r>
    <x v="1261"/>
    <s v="David Okafor"/>
    <n v="78"/>
    <x v="1"/>
    <x v="0"/>
    <s v=""/>
    <x v="1"/>
    <x v="0"/>
    <x v="933"/>
    <d v="2019-10-14T00:00:00"/>
    <n v="6"/>
    <s v="Lagos University Teaching Hospital"/>
    <x v="1"/>
    <s v="Dr. Chioma Nwankwo"/>
    <x v="2"/>
    <n v="43749.68"/>
    <s v="Glibenclamide"/>
    <n v="8"/>
    <n v="334"/>
    <n v="26.4"/>
    <s v="Abnormal"/>
    <x v="0"/>
  </r>
  <r>
    <x v="1262"/>
    <s v="Rotimi Hassan"/>
    <n v="66"/>
    <x v="4"/>
    <x v="0"/>
    <s v="O+"/>
    <x v="5"/>
    <x v="1"/>
    <x v="887"/>
    <d v="2019-11-24T00:00:00"/>
    <n v="3"/>
    <s v="University College Hospital Ibadan"/>
    <x v="1"/>
    <s v="Dr. Adewale Ogundimu"/>
    <x v="1"/>
    <n v="65153.79"/>
    <s v="Digoxin"/>
    <n v="8"/>
    <n v="129"/>
    <n v="29.2"/>
    <s v="Abnormal"/>
    <x v="0"/>
  </r>
  <r>
    <x v="1263"/>
    <s v="Yusuf Adebayo"/>
    <n v="73"/>
    <x v="4"/>
    <x v="0"/>
    <s v="AB+"/>
    <x v="7"/>
    <x v="1"/>
    <x v="934"/>
    <d v="2025-02-01T00:00:00"/>
    <n v="2"/>
    <s v="Ahmadu Bello University Teaching Hospital"/>
    <x v="2"/>
    <s v="Dr. Musa Aliyu"/>
    <x v="1"/>
    <n v="24501.9"/>
    <s v="Calcium"/>
    <n v="6"/>
    <n v="160"/>
    <n v="30.7"/>
    <s v="Normal"/>
    <x v="1"/>
  </r>
  <r>
    <x v="1264"/>
    <s v="Funke Brown"/>
    <n v="28"/>
    <x v="2"/>
    <x v="1"/>
    <s v="AB+"/>
    <x v="1"/>
    <x v="1"/>
    <x v="121"/>
    <d v="2021-09-25T00:00:00"/>
    <n v="2"/>
    <s v="Aminu Kano Teaching Hospital"/>
    <x v="2"/>
    <s v="Dr. Taiwo Adeleke"/>
    <x v="1"/>
    <n v="20071.990000000002"/>
    <s v="Glibenclamide"/>
    <n v="7"/>
    <n v="131"/>
    <n v="33.700000000000003"/>
    <s v="Inconclusive"/>
    <x v="0"/>
  </r>
  <r>
    <x v="1265"/>
    <s v="Zainab Musa"/>
    <n v="68"/>
    <x v="4"/>
    <x v="1"/>
    <s v="O+"/>
    <x v="0"/>
    <x v="2"/>
    <x v="43"/>
    <d v="2019-12-22T00:00:00"/>
    <n v="5"/>
    <s v="Federal Medical Centre Owerri"/>
    <x v="3"/>
    <s v="Dr. Amara Osei"/>
    <x v="2"/>
    <n v="206909.06"/>
    <s v="Bevacizumab"/>
    <n v="12"/>
    <n v="139"/>
    <n v="24.8"/>
    <s v="Abnormal"/>
    <x v="1"/>
  </r>
  <r>
    <x v="1266"/>
    <s v="Rotimi Osagie"/>
    <n v="57"/>
    <x v="3"/>
    <x v="0"/>
    <s v="A-"/>
    <x v="6"/>
    <x v="0"/>
    <x v="935"/>
    <d v="2023-04-12T00:00:00"/>
    <n v="13"/>
    <s v="University of Calabar Teaching Hospital"/>
    <x v="0"/>
    <s v="Dr. Halima Usman"/>
    <x v="4"/>
    <n v="16261.62"/>
    <s v="Salbutamol"/>
    <n v="7"/>
    <n v="371"/>
    <n v="32.700000000000003"/>
    <s v="Normal"/>
    <x v="0"/>
  </r>
  <r>
    <x v="1267"/>
    <s v="Chiamaka Moore"/>
    <n v="61"/>
    <x v="3"/>
    <x v="1"/>
    <s v="AB-"/>
    <x v="2"/>
    <x v="1"/>
    <x v="936"/>
    <d v="2024-05-19T00:00:00"/>
    <n v="17"/>
    <s v="Federal Medical Centre Asaba"/>
    <x v="0"/>
    <s v="Dr. Zainab Sule"/>
    <x v="4"/>
    <n v="20970.22"/>
    <s v="Valproate"/>
    <n v="7"/>
    <n v="109"/>
    <n v="27.1"/>
    <s v="Abnormal"/>
    <x v="1"/>
  </r>
  <r>
    <x v="1268"/>
    <s v="Kayode Okeke"/>
    <n v="44"/>
    <x v="5"/>
    <x v="0"/>
    <s v="B-"/>
    <x v="4"/>
    <x v="0"/>
    <x v="937"/>
    <d v="2019-01-23T00:00:00"/>
    <n v="5"/>
    <s v="Federal Medical Centre Asaba"/>
    <x v="0"/>
    <s v="Dr. Aisha Bello"/>
    <x v="0"/>
    <n v="12618.33"/>
    <s v="Loperamide"/>
    <n v="5"/>
    <n v="206"/>
    <m/>
    <s v="Normal"/>
    <x v="1"/>
  </r>
  <r>
    <x v="1269"/>
    <s v="Daniel Sule"/>
    <n v="55"/>
    <x v="3"/>
    <x v="0"/>
    <s v="B-"/>
    <x v="2"/>
    <x v="1"/>
    <x v="313"/>
    <d v="2019-02-15T00:00:00"/>
    <n v="6"/>
    <s v="University College Hospital Ibadan"/>
    <x v="1"/>
    <s v="Dr. Olumide Abiodun"/>
    <x v="4"/>
    <n v="14558.12"/>
    <s v="Topiramate"/>
    <n v="9"/>
    <n v="186"/>
    <n v="32.4"/>
    <s v="Inconclusive"/>
    <x v="1"/>
  </r>
  <r>
    <x v="1270"/>
    <s v="Segun Igwe"/>
    <n v="60"/>
    <x v="3"/>
    <x v="0"/>
    <s v="B-"/>
    <x v="5"/>
    <x v="0"/>
    <x v="506"/>
    <d v="2024-05-05T00:00:00"/>
    <n v="7"/>
    <s v="National Hospital Abuja"/>
    <x v="4"/>
    <s v="Dr. Fatima Al-Hassan"/>
    <x v="2"/>
    <n v="126025.78"/>
    <s v="Metoprolol"/>
    <n v="8"/>
    <n v="336"/>
    <n v="34.700000000000003"/>
    <s v="Normal"/>
    <x v="0"/>
  </r>
  <r>
    <x v="1271"/>
    <s v="Sarah Anderson"/>
    <n v="61"/>
    <x v="3"/>
    <x v="1"/>
    <s v="AB-"/>
    <x v="5"/>
    <x v="0"/>
    <x v="838"/>
    <d v="2020-11-12T00:00:00"/>
    <n v="8"/>
    <s v="Bowen University Teaching Hospital"/>
    <x v="1"/>
    <s v="Dr. Emeka Okorie"/>
    <x v="0"/>
    <n v="63826.85"/>
    <s v="Amiodarone"/>
    <n v="10"/>
    <n v="302"/>
    <n v="35.1"/>
    <s v="Inconclusive"/>
    <x v="0"/>
  </r>
  <r>
    <x v="1272"/>
    <s v="John Oni"/>
    <n v="8"/>
    <x v="0"/>
    <x v="0"/>
    <s v="O-"/>
    <x v="5"/>
    <x v="0"/>
    <x v="819"/>
    <d v="2019-08-05T00:00:00"/>
    <n v="11"/>
    <s v="Federal Medical Centre Owerri"/>
    <x v="3"/>
    <s v="Dr. Adewale Ogundimu"/>
    <x v="1"/>
    <n v="52699.59"/>
    <s v="Furosemide"/>
    <n v="9"/>
    <n v="395"/>
    <n v="36.9"/>
    <s v="Abnormal"/>
    <x v="0"/>
  </r>
  <r>
    <x v="1273"/>
    <s v="Biodun Adeyemi"/>
    <n v="67"/>
    <x v="4"/>
    <x v="0"/>
    <s v="O-"/>
    <x v="4"/>
    <x v="0"/>
    <x v="938"/>
    <d v="2020-11-04T00:00:00"/>
    <n v="5"/>
    <s v="Federal Medical Centre Owerri"/>
    <x v="3"/>
    <s v="Dr. Nnamdi Okafor"/>
    <x v="0"/>
    <n v="27192.97"/>
    <s v="Omeprazole"/>
    <n v="5"/>
    <n v="129"/>
    <n v="24.2"/>
    <s v="Normal"/>
    <x v="0"/>
  </r>
  <r>
    <x v="1274"/>
    <s v="Yusuf Moore"/>
    <n v="58"/>
    <x v="3"/>
    <x v="0"/>
    <s v="O-"/>
    <x v="1"/>
    <x v="0"/>
    <x v="147"/>
    <d v="2024-06-16T00:00:00"/>
    <n v="4"/>
    <s v="National Hospital Abuja"/>
    <x v="4"/>
    <s v="Dr. Taiwo Adeleke"/>
    <x v="5"/>
    <n v="49728.66"/>
    <s v="Glibenclamide"/>
    <n v="8"/>
    <n v="398"/>
    <n v="23.8"/>
    <s v="Abnormal"/>
    <x v="0"/>
  </r>
  <r>
    <x v="1275"/>
    <s v="Rachel Thompson"/>
    <n v="55"/>
    <x v="3"/>
    <x v="1"/>
    <s v="A+"/>
    <x v="0"/>
    <x v="3"/>
    <x v="939"/>
    <d v="2024-12-13T00:00:00"/>
    <n v="9"/>
    <s v="Federal Medical Centre Owerri"/>
    <x v="3"/>
    <s v="Dr. Babatunde Fashola"/>
    <x v="2"/>
    <n v="48524.94"/>
    <s v="Tamoxifen"/>
    <n v="12"/>
    <n v="218"/>
    <n v="17.2"/>
    <s v="Normal"/>
    <x v="0"/>
  </r>
  <r>
    <x v="1276"/>
    <s v="Uche Davis"/>
    <n v="70"/>
    <x v="4"/>
    <x v="0"/>
    <s v="B-"/>
    <x v="5"/>
    <x v="0"/>
    <x v="757"/>
    <d v="2024-05-02T00:00:00"/>
    <n v="7"/>
    <s v="Federal Medical Centre Owerri"/>
    <x v="3"/>
    <s v="Dr. Emeka Okorie"/>
    <x v="2"/>
    <n v="47067.91"/>
    <s v="Atorvastatin"/>
    <n v="10"/>
    <n v="300"/>
    <n v="35"/>
    <s v="Abnormal"/>
    <x v="1"/>
  </r>
  <r>
    <x v="1277"/>
    <s v="Tunde Anderson"/>
    <n v="28"/>
    <x v="2"/>
    <x v="0"/>
    <s v="O-"/>
    <x v="3"/>
    <x v="1"/>
    <x v="741"/>
    <d v="2024-02-27T00:00:00"/>
    <n v="3"/>
    <s v="University of Calabar Teaching Hospital"/>
    <x v="0"/>
    <s v="Dr. Lanre Ogundele"/>
    <x v="1"/>
    <n v="21929.09"/>
    <s v="Morphine"/>
    <n v="2"/>
    <n v="198"/>
    <n v="15.2"/>
    <s v="Inconclusive"/>
    <x v="0"/>
  </r>
  <r>
    <x v="1278"/>
    <s v="James Usman"/>
    <n v="62"/>
    <x v="3"/>
    <x v="0"/>
    <s v="O+"/>
    <x v="2"/>
    <x v="0"/>
    <x v="940"/>
    <m/>
    <m/>
    <s v="Aminu Kano Teaching Hospital"/>
    <x v="2"/>
    <s v="Dr. Zainab Sule"/>
    <x v="1"/>
    <n v="29831.99"/>
    <s v="Memantine"/>
    <n v="8"/>
    <n v="372"/>
    <n v="25.3"/>
    <s v="Normal"/>
    <x v="0"/>
  </r>
  <r>
    <x v="1279"/>
    <s v="Funke Sule"/>
    <n v="59"/>
    <x v="3"/>
    <x v="1"/>
    <s v="B+"/>
    <x v="6"/>
    <x v="1"/>
    <x v="717"/>
    <d v="2019-07-29T00:00:00"/>
    <n v="11"/>
    <s v="Bowen University Teaching Hospital"/>
    <x v="1"/>
    <s v="Dr. Halima Usman"/>
    <x v="0"/>
    <n v="38361.35"/>
    <s v="Prednisolone"/>
    <n v="7"/>
    <n v="131"/>
    <n v="20.399999999999999"/>
    <s v="Normal"/>
    <x v="0"/>
  </r>
  <r>
    <x v="1280"/>
    <s v="Oluwaseun Musa"/>
    <n v="64"/>
    <x v="3"/>
    <x v="0"/>
    <s v="B-"/>
    <x v="6"/>
    <x v="0"/>
    <x v="941"/>
    <d v="2020-07-04T00:00:00"/>
    <n v="6"/>
    <s v="Federal Medical Centre Birnin Kebbi"/>
    <x v="2"/>
    <s v="Dr. Yusuf Danjuma"/>
    <x v="0"/>
    <n v="19843.39"/>
    <s v="Prednisolone"/>
    <n v="6"/>
    <n v="330"/>
    <n v="26.7"/>
    <s v="Normal"/>
    <x v="0"/>
  </r>
  <r>
    <x v="1281"/>
    <s v="Chiamaka Abubakar"/>
    <n v="37"/>
    <x v="5"/>
    <x v="1"/>
    <s v="AB-"/>
    <x v="6"/>
    <x v="1"/>
    <x v="265"/>
    <d v="2023-02-02T00:00:00"/>
    <n v="3"/>
    <s v="Federal Medical Centre Asaba"/>
    <x v="0"/>
    <s v="Dr. Yusuf Danjuma"/>
    <x v="0"/>
    <n v="8709"/>
    <s v="Tiotropium"/>
    <n v="5"/>
    <n v="132"/>
    <n v="18.5"/>
    <s v="Inconclusive"/>
    <x v="0"/>
  </r>
  <r>
    <x v="1282"/>
    <s v="Ibrahim Akintola"/>
    <n v="56"/>
    <x v="3"/>
    <x v="0"/>
    <s v="B-"/>
    <x v="4"/>
    <x v="1"/>
    <x v="6"/>
    <d v="2020-12-15T00:00:00"/>
    <n v="4"/>
    <s v="University of Calabar Teaching Hospital"/>
    <x v="0"/>
    <s v="Dr. Segun Banke"/>
    <x v="0"/>
    <n v="15312.34"/>
    <s v="Loperamide"/>
    <n v="5"/>
    <n v="133"/>
    <n v="24.7"/>
    <s v="Inconclusive"/>
    <x v="0"/>
  </r>
  <r>
    <x v="1283"/>
    <s v="Mary Moore"/>
    <n v="52"/>
    <x v="5"/>
    <x v="1"/>
    <s v="A+"/>
    <x v="2"/>
    <x v="1"/>
    <x v="433"/>
    <d v="2024-09-12T00:00:00"/>
    <n v="6"/>
    <s v="University of Calabar Teaching Hospital"/>
    <x v="0"/>
    <s v="Dr. Rotimi Fashola"/>
    <x v="0"/>
    <n v="34167.64"/>
    <s v="Memantine"/>
    <n v="9"/>
    <n v="117"/>
    <n v="20.399999999999999"/>
    <s v="Normal"/>
    <x v="0"/>
  </r>
  <r>
    <x v="1284"/>
    <s v="Chioma Obi"/>
    <n v="71"/>
    <x v="4"/>
    <x v="1"/>
    <s v="AB+"/>
    <x v="3"/>
    <x v="1"/>
    <x v="879"/>
    <d v="2020-02-05T00:00:00"/>
    <n v="8"/>
    <s v="Federal Medical Centre Birnin Kebbi"/>
    <x v="2"/>
    <s v="Dr. Kemi Adeyemi"/>
    <x v="0"/>
    <n v="26538.13"/>
    <s v="Metronidazole"/>
    <n v="6"/>
    <n v="170"/>
    <n v="23.2"/>
    <s v="Abnormal"/>
    <x v="0"/>
  </r>
  <r>
    <x v="1285"/>
    <s v="Lanre Eze"/>
    <n v="81"/>
    <x v="1"/>
    <x v="0"/>
    <s v="O+"/>
    <x v="5"/>
    <x v="1"/>
    <x v="942"/>
    <d v="2019-12-06T00:00:00"/>
    <n v="7"/>
    <s v="University of Calabar Teaching Hospital"/>
    <x v="0"/>
    <s v="Dr. Fatima Al-Hassan"/>
    <x v="4"/>
    <n v="52170.66"/>
    <s v="Aspirin"/>
    <n v="10"/>
    <n v="163"/>
    <n v="30.7"/>
    <s v="Normal"/>
    <x v="0"/>
  </r>
  <r>
    <x v="1286"/>
    <s v="Tolulope Aliyu"/>
    <n v="68"/>
    <x v="4"/>
    <x v="1"/>
    <s v="O+"/>
    <x v="1"/>
    <x v="1"/>
    <x v="943"/>
    <d v="2022-12-23T00:00:00"/>
    <n v="5"/>
    <s v="Federal Medical Centre Birnin Kebbi"/>
    <x v="2"/>
    <s v="Dr. Chioma Nwankwo"/>
    <x v="1"/>
    <n v="26625.83"/>
    <s v="Empagliflozin"/>
    <n v="8"/>
    <n v="182"/>
    <n v="43.8"/>
    <s v="Abnormal"/>
    <x v="0"/>
  </r>
  <r>
    <x v="1287"/>
    <s v="Tolulope Salami"/>
    <n v="65"/>
    <x v="4"/>
    <x v="1"/>
    <s v="AB+"/>
    <x v="1"/>
    <x v="1"/>
    <x v="944"/>
    <d v="2024-03-04T00:00:00"/>
    <n v="4"/>
    <s v="University College Hospital Ibadan"/>
    <x v="1"/>
    <s v="Dr. Chioma Nwankwo"/>
    <x v="1"/>
    <n v="20963"/>
    <s v="Glibenclamide"/>
    <n v="5"/>
    <n v="106"/>
    <n v="24.8"/>
    <s v="Abnormal"/>
    <x v="0"/>
  </r>
  <r>
    <x v="1288"/>
    <s v="Chiamaka Onuoha"/>
    <n v="59"/>
    <x v="3"/>
    <x v="1"/>
    <s v="A-"/>
    <x v="5"/>
    <x v="1"/>
    <x v="945"/>
    <d v="2019-11-28T00:00:00"/>
    <n v="6"/>
    <s v="Ahmadu Bello University Teaching Hospital"/>
    <x v="2"/>
    <s v="Dr. Fatima Al-Hassan"/>
    <x v="1"/>
    <n v="63240"/>
    <s v="Atorvastatin"/>
    <n v="10"/>
    <n v="132"/>
    <n v="19.899999999999999"/>
    <s v="Abnormal"/>
    <x v="0"/>
  </r>
  <r>
    <x v="1289"/>
    <s v="Aisha Onuoha"/>
    <n v="88"/>
    <x v="1"/>
    <x v="1"/>
    <s v="A-"/>
    <x v="0"/>
    <x v="1"/>
    <x v="946"/>
    <d v="2023-12-30T00:00:00"/>
    <n v="10"/>
    <s v="Lagos University Teaching Hospital"/>
    <x v="1"/>
    <s v="Dr. Grace Oduya"/>
    <x v="4"/>
    <n v="78119"/>
    <s v="Ondansetron"/>
    <n v="10"/>
    <n v="128"/>
    <n v="14"/>
    <s v="Abnormal"/>
    <x v="1"/>
  </r>
  <r>
    <x v="1290"/>
    <s v="Bashir Ogbonna"/>
    <n v="33"/>
    <x v="2"/>
    <x v="0"/>
    <s v="B-"/>
    <x v="3"/>
    <x v="0"/>
    <x v="947"/>
    <d v="2022-07-05T00:00:00"/>
    <n v="7"/>
    <s v="Federal Medical Centre Owerri"/>
    <x v="3"/>
    <s v="Dr. Lanre Ogundele"/>
    <x v="0"/>
    <n v="20466.02"/>
    <s v="Morphine"/>
    <n v="6"/>
    <n v="370"/>
    <n v="27.4"/>
    <s v="Abnormal"/>
    <x v="0"/>
  </r>
  <r>
    <x v="1291"/>
    <s v="Babatunde Lawan"/>
    <n v="36"/>
    <x v="5"/>
    <x v="0"/>
    <s v="B-"/>
    <x v="5"/>
    <x v="0"/>
    <x v="673"/>
    <d v="2024-10-12T00:00:00"/>
    <n v="8"/>
    <s v="Aminu Kano Teaching Hospital"/>
    <x v="2"/>
    <s v="Dr. Adewale Ogundimu"/>
    <x v="1"/>
    <n v="48968.19"/>
    <s v="Aspirin"/>
    <n v="10"/>
    <n v="359"/>
    <n v="23.1"/>
    <s v="Abnormal"/>
    <x v="0"/>
  </r>
  <r>
    <x v="1292"/>
    <s v="Halima Adeyemi"/>
    <n v="50"/>
    <x v="5"/>
    <x v="1"/>
    <s v="A+"/>
    <x v="7"/>
    <x v="1"/>
    <x v="948"/>
    <d v="2024-06-04T00:00:00"/>
    <n v="3"/>
    <s v="Federal Medical Centre Birnin Kebbi"/>
    <x v="2"/>
    <s v="Dr. Chukwuemeka Nwosu"/>
    <x v="1"/>
    <n v="21229.08"/>
    <s v="Tramadol"/>
    <n v="4"/>
    <n v="198"/>
    <n v="26.4"/>
    <s v="Abnormal"/>
    <x v="0"/>
  </r>
  <r>
    <x v="1293"/>
    <s v="Uche Thompson"/>
    <n v="74"/>
    <x v="4"/>
    <x v="0"/>
    <s v="A+"/>
    <x v="5"/>
    <x v="0"/>
    <x v="486"/>
    <d v="2020-08-24T00:00:00"/>
    <n v="24"/>
    <s v="Federal Medical Centre Asaba"/>
    <x v="0"/>
    <s v="Dr. Fatima Al-Hassan"/>
    <x v="0"/>
    <n v="114325.53"/>
    <s v="Amiodarone"/>
    <n v="6"/>
    <n v="370"/>
    <n v="32.299999999999997"/>
    <s v="Inconclusive"/>
    <x v="0"/>
  </r>
  <r>
    <x v="1294"/>
    <s v="Halima Fashola"/>
    <n v="63"/>
    <x v="3"/>
    <x v="1"/>
    <s v="O+"/>
    <x v="0"/>
    <x v="2"/>
    <x v="949"/>
    <d v="2021-08-26T00:00:00"/>
    <n v="20"/>
    <s v="Bowen University Teaching Hospital"/>
    <x v="1"/>
    <s v="Dr. Amara Osei"/>
    <x v="4"/>
    <n v="42040.800000000003"/>
    <s v="Carboplatin"/>
    <n v="12"/>
    <n v="165"/>
    <n v="32.4"/>
    <s v="Abnormal"/>
    <x v="0"/>
  </r>
  <r>
    <x v="1295"/>
    <s v="Emmanuel Okafor"/>
    <n v="66"/>
    <x v="4"/>
    <x v="0"/>
    <s v="O-"/>
    <x v="5"/>
    <x v="0"/>
    <x v="950"/>
    <d v="2022-06-19T00:00:00"/>
    <n v="7"/>
    <s v="University of Calabar Teaching Hospital"/>
    <x v="0"/>
    <s v="Dr. Adewale Ogundimu"/>
    <x v="4"/>
    <n v="63297.42"/>
    <s v="Aspirin"/>
    <n v="5"/>
    <n v="373"/>
    <n v="33.4"/>
    <s v="Abnormal"/>
    <x v="0"/>
  </r>
  <r>
    <x v="1296"/>
    <s v="Ngozi Fashola"/>
    <n v="68"/>
    <x v="4"/>
    <x v="1"/>
    <s v="AB-"/>
    <x v="5"/>
    <x v="1"/>
    <x v="530"/>
    <d v="2024-06-12T00:00:00"/>
    <n v="10"/>
    <s v="Lagos University Teaching Hospital"/>
    <x v="1"/>
    <s v="Dr. Fatima Al-Hassan"/>
    <x v="2"/>
    <n v="42662.14"/>
    <s v="Digoxin"/>
    <n v="9"/>
    <n v="190"/>
    <n v="28.6"/>
    <s v="Inconclusive"/>
    <x v="1"/>
  </r>
  <r>
    <x v="1297"/>
    <s v="Adewale Anderson"/>
    <n v="69"/>
    <x v="4"/>
    <x v="0"/>
    <s v="O+"/>
    <x v="5"/>
    <x v="1"/>
    <x v="951"/>
    <d v="2024-12-31T00:00:00"/>
    <n v="7"/>
    <s v="Lagos University Teaching Hospital"/>
    <x v="1"/>
    <s v="Dr. Emeka Okorie"/>
    <x v="4"/>
    <n v="73362.649999999994"/>
    <s v="Furosemide"/>
    <n v="10"/>
    <n v="188"/>
    <n v="33.700000000000003"/>
    <s v="Inconclusive"/>
    <x v="0"/>
  </r>
  <r>
    <x v="1298"/>
    <s v="Chidi Okonkwo"/>
    <n v="68"/>
    <x v="4"/>
    <x v="0"/>
    <s v="B+"/>
    <x v="0"/>
    <x v="1"/>
    <x v="952"/>
    <d v="2020-09-02T00:00:00"/>
    <n v="18"/>
    <s v="Federal Medical Centre Owerri"/>
    <x v="3"/>
    <s v="Dr. Babatunde Fashola"/>
    <x v="0"/>
    <n v="54847.199999999997"/>
    <s v="Dexamethasone"/>
    <n v="12"/>
    <n v="186"/>
    <n v="20.6"/>
    <s v="Abnormal"/>
    <x v="0"/>
  </r>
  <r>
    <x v="1299"/>
    <s v="Emmanuel Onuoha"/>
    <n v="39"/>
    <x v="5"/>
    <x v="0"/>
    <s v="B+"/>
    <x v="6"/>
    <x v="0"/>
    <x v="13"/>
    <d v="2023-12-23T00:00:00"/>
    <n v="8"/>
    <s v="Ahmadu Bello University Teaching Hospital"/>
    <x v="2"/>
    <s v="Dr. Ngozi Eze-Williams"/>
    <x v="0"/>
    <n v="19856.16"/>
    <s v="Tiotropium"/>
    <n v="7"/>
    <n v="351"/>
    <n v="24.9"/>
    <s v="Abnormal"/>
    <x v="0"/>
  </r>
  <r>
    <x v="1300"/>
    <s v="Samuel Fashola"/>
    <n v="50"/>
    <x v="5"/>
    <x v="0"/>
    <s v="B-"/>
    <x v="1"/>
    <x v="0"/>
    <x v="953"/>
    <d v="2024-07-02T00:00:00"/>
    <n v="3"/>
    <s v="University College Hospital Ibadan"/>
    <x v="1"/>
    <s v="Dr. Taiwo Adeleke"/>
    <x v="1"/>
    <n v="21233"/>
    <s v="Dapagliflozin"/>
    <n v="8"/>
    <n v="323"/>
    <n v="28.1"/>
    <s v="Abnormal"/>
    <x v="0"/>
  </r>
  <r>
    <x v="1301"/>
    <s v="Grace Sule"/>
    <n v="57"/>
    <x v="3"/>
    <x v="1"/>
    <s v="O-"/>
    <x v="6"/>
    <x v="1"/>
    <x v="845"/>
    <d v="2024-10-11T00:00:00"/>
    <n v="4"/>
    <s v="Federal Medical Centre Owerri"/>
    <x v="3"/>
    <s v="Dr. Ngozi Eze-Williams"/>
    <x v="2"/>
    <n v="16354.51"/>
    <s v="Montelukast"/>
    <n v="7"/>
    <n v="182"/>
    <n v="33"/>
    <s v="Normal"/>
    <x v="1"/>
  </r>
  <r>
    <x v="1302"/>
    <s v="Stella Ajala"/>
    <n v="58"/>
    <x v="3"/>
    <x v="1"/>
    <s v="AB+"/>
    <x v="2"/>
    <x v="1"/>
    <x v="93"/>
    <d v="2020-10-07T00:00:00"/>
    <n v="5"/>
    <s v="University of Calabar Teaching Hospital"/>
    <x v="0"/>
    <s v="Dr. Rotimi Fashola"/>
    <x v="3"/>
    <n v="77439.850000000006"/>
    <s v="Donepezil"/>
    <n v="6"/>
    <n v="132"/>
    <n v="33.6"/>
    <s v="Abnormal"/>
    <x v="0"/>
  </r>
  <r>
    <x v="1303"/>
    <s v="Kayode Bankole"/>
    <n v="73"/>
    <x v="4"/>
    <x v="0"/>
    <s v="B+"/>
    <x v="5"/>
    <x v="0"/>
    <x v="224"/>
    <d v="2023-05-20T00:00:00"/>
    <n v="7"/>
    <s v="Lagos University Teaching Hospital"/>
    <x v="1"/>
    <s v="Dr. Emeka Okorie"/>
    <x v="2"/>
    <n v="119927.77"/>
    <s v="Aspirin"/>
    <n v="9"/>
    <n v="322"/>
    <n v="40.200000000000003"/>
    <s v="Abnormal"/>
    <x v="0"/>
  </r>
  <r>
    <x v="1304"/>
    <s v="Blessing Ajala"/>
    <n v="65"/>
    <x v="4"/>
    <x v="1"/>
    <s v="A-"/>
    <x v="5"/>
    <x v="0"/>
    <x v="954"/>
    <d v="2021-03-24T00:00:00"/>
    <n v="14"/>
    <s v="University of Calabar Teaching Hospital"/>
    <x v="0"/>
    <s v="Dr. Emeka Okorie"/>
    <x v="0"/>
    <n v="120770.11"/>
    <s v="Atorvastatin"/>
    <n v="9"/>
    <n v="321"/>
    <m/>
    <s v="Abnormal"/>
    <x v="0"/>
  </r>
  <r>
    <x v="1305"/>
    <s v="Chukwudi Adeleke"/>
    <n v="87"/>
    <x v="1"/>
    <x v="0"/>
    <s v="B-"/>
    <x v="1"/>
    <x v="0"/>
    <x v="955"/>
    <d v="2019-01-17T00:00:00"/>
    <n v="6"/>
    <s v="National Hospital Abuja"/>
    <x v="4"/>
    <s v="Dr. Ibrahim Musa"/>
    <x v="3"/>
    <n v="70970.17"/>
    <s v="Glibenclamide"/>
    <n v="8"/>
    <n v="460"/>
    <n v="22.2"/>
    <s v="Abnormal"/>
    <x v="1"/>
  </r>
  <r>
    <x v="1306"/>
    <s v="Aisha Davis"/>
    <n v="90"/>
    <x v="1"/>
    <x v="1"/>
    <s v="AB-"/>
    <x v="4"/>
    <x v="2"/>
    <x v="956"/>
    <d v="2021-08-04T00:00:00"/>
    <n v="6"/>
    <s v="Federal Medical Centre Birnin Kebbi"/>
    <x v="2"/>
    <s v="Dr. Segun Banke"/>
    <x v="0"/>
    <n v="17787.95"/>
    <s v="Loperamide"/>
    <n v="3"/>
    <n v="349"/>
    <m/>
    <s v="Normal"/>
    <x v="1"/>
  </r>
  <r>
    <x v="1307"/>
    <s v="Rukayat Ibrahim"/>
    <n v="19"/>
    <x v="2"/>
    <x v="1"/>
    <s v="A-"/>
    <x v="0"/>
    <x v="1"/>
    <x v="671"/>
    <d v="2021-02-16T00:00:00"/>
    <n v="11"/>
    <s v="Federal Medical Centre Birnin Kebbi"/>
    <x v="2"/>
    <s v="Dr. Amara Osei"/>
    <x v="0"/>
    <n v="46068.03"/>
    <s v="Paclitaxel"/>
    <n v="12"/>
    <n v="143"/>
    <n v="14.2"/>
    <s v="Normal"/>
    <x v="0"/>
  </r>
  <r>
    <x v="1308"/>
    <s v="Zainab Osagie"/>
    <n v="36"/>
    <x v="5"/>
    <x v="1"/>
    <s v="B+"/>
    <x v="6"/>
    <x v="1"/>
    <x v="957"/>
    <d v="2024-08-11T00:00:00"/>
    <n v="2"/>
    <s v="University of Calabar Teaching Hospital"/>
    <x v="0"/>
    <s v="Dr. Ngozi Eze-Williams"/>
    <x v="3"/>
    <n v="30114.94"/>
    <s v="Ipratropium"/>
    <n v="7"/>
    <n v="197"/>
    <n v="19.899999999999999"/>
    <s v="Normal"/>
    <x v="0"/>
  </r>
  <r>
    <x v="1309"/>
    <s v="Adaeze Okafor"/>
    <n v="71"/>
    <x v="4"/>
    <x v="1"/>
    <s v="O-"/>
    <x v="7"/>
    <x v="1"/>
    <x v="249"/>
    <d v="2020-09-19T00:00:00"/>
    <n v="3"/>
    <s v="University of Calabar Teaching Hospital"/>
    <x v="0"/>
    <s v="Dr. Chukwuemeka Nwosu"/>
    <x v="0"/>
    <n v="35169.96"/>
    <s v="Enoxaparin"/>
    <n v="6"/>
    <n v="188"/>
    <n v="27.5"/>
    <s v="Abnormal"/>
    <x v="0"/>
  </r>
  <r>
    <x v="1310"/>
    <s v="Tolulope Oni"/>
    <n v="90"/>
    <x v="1"/>
    <x v="1"/>
    <s v="A-"/>
    <x v="6"/>
    <x v="2"/>
    <x v="958"/>
    <d v="2023-11-12T00:00:00"/>
    <n v="4"/>
    <s v="Federal Medical Centre Owerri"/>
    <x v="3"/>
    <s v="Dr. Halima Usman"/>
    <x v="4"/>
    <n v="40608"/>
    <s v="Theophylline"/>
    <n v="7"/>
    <n v="496"/>
    <n v="24.2"/>
    <s v="Inconclusive"/>
    <x v="0"/>
  </r>
  <r>
    <x v="1311"/>
    <s v="Lanre Abiodun"/>
    <n v="74"/>
    <x v="4"/>
    <x v="0"/>
    <s v="O-"/>
    <x v="5"/>
    <x v="1"/>
    <x v="959"/>
    <d v="2024-05-24T00:00:00"/>
    <n v="4"/>
    <s v="Federal Medical Centre Asaba"/>
    <x v="0"/>
    <s v="Dr. Fatima Al-Hassan"/>
    <x v="3"/>
    <n v="72122.09"/>
    <s v="Amiodarone"/>
    <n v="10"/>
    <n v="165"/>
    <n v="25.8"/>
    <s v="Abnormal"/>
    <x v="1"/>
  </r>
  <r>
    <x v="1312"/>
    <s v="Miriam Chukwu"/>
    <n v="61"/>
    <x v="3"/>
    <x v="1"/>
    <s v="A-"/>
    <x v="5"/>
    <x v="1"/>
    <x v="689"/>
    <d v="2024-09-19T00:00:00"/>
    <n v="5"/>
    <s v="Aminu Kano Teaching Hospital"/>
    <x v="2"/>
    <s v="Dr. Fatima Al-Hassan"/>
    <x v="1"/>
    <n v="42635.519999999997"/>
    <s v="Warfarin"/>
    <n v="10"/>
    <n v="115"/>
    <n v="18.600000000000001"/>
    <s v="Normal"/>
    <x v="0"/>
  </r>
  <r>
    <x v="1313"/>
    <s v="Taiwo Usman"/>
    <n v="70"/>
    <x v="4"/>
    <x v="1"/>
    <s v="B-"/>
    <x v="6"/>
    <x v="2"/>
    <x v="960"/>
    <d v="2023-10-29T00:00:00"/>
    <n v="7"/>
    <s v="National Hospital Abuja"/>
    <x v="4"/>
    <s v="Dr. Halima Usman"/>
    <x v="1"/>
    <n v="31474"/>
    <s v="Tiotropium"/>
    <n v="7"/>
    <n v="379"/>
    <n v="33"/>
    <s v="Normal"/>
    <x v="0"/>
  </r>
  <r>
    <x v="1314"/>
    <s v="Bukola Anderson"/>
    <n v="38"/>
    <x v="5"/>
    <x v="1"/>
    <s v="O+"/>
    <x v="6"/>
    <x v="0"/>
    <x v="798"/>
    <d v="2024-05-26T00:00:00"/>
    <n v="7"/>
    <s v="Federal Medical Centre Owerri"/>
    <x v="3"/>
    <s v="Dr. Yusuf Danjuma"/>
    <x v="4"/>
    <n v="35996.19"/>
    <s v="Theophylline"/>
    <n v="7"/>
    <n v="392"/>
    <n v="24.6"/>
    <s v="Abnormal"/>
    <x v="0"/>
  </r>
  <r>
    <x v="1315"/>
    <s v="Ifeoma Taylor"/>
    <n v="65"/>
    <x v="4"/>
    <x v="1"/>
    <s v="B-"/>
    <x v="7"/>
    <x v="2"/>
    <x v="52"/>
    <d v="2022-05-15T00:00:00"/>
    <n v="5"/>
    <s v="Federal Medical Centre Asaba"/>
    <x v="0"/>
    <s v="Dr. Musa Aliyu"/>
    <x v="0"/>
    <n v="27199.67"/>
    <s v="Tramadol"/>
    <n v="6"/>
    <n v="155"/>
    <m/>
    <s v="Normal"/>
    <x v="1"/>
  </r>
  <r>
    <x v="1316"/>
    <s v="Chiamaka Abubakar"/>
    <n v="57"/>
    <x v="3"/>
    <x v="1"/>
    <s v="B-"/>
    <x v="0"/>
    <x v="2"/>
    <x v="441"/>
    <d v="2019-08-25T00:00:00"/>
    <n v="8"/>
    <s v="University College Hospital Ibadan"/>
    <x v="1"/>
    <s v="Dr. Grace Oduya"/>
    <x v="0"/>
    <n v="22962.43"/>
    <s v="Ondansetron"/>
    <n v="12"/>
    <n v="128"/>
    <n v="22.6"/>
    <s v="Abnormal"/>
    <x v="0"/>
  </r>
  <r>
    <x v="1317"/>
    <s v="Fatima Ogbonna"/>
    <n v="34"/>
    <x v="2"/>
    <x v="1"/>
    <s v="B+"/>
    <x v="4"/>
    <x v="0"/>
    <x v="584"/>
    <d v="2021-05-03T00:00:00"/>
    <n v="3"/>
    <s v="Aminu Kano Teaching Hospital"/>
    <x v="2"/>
    <s v="Dr. Nnamdi Okafor"/>
    <x v="4"/>
    <n v="8535.32"/>
    <s v="Loperamide"/>
    <n v="4"/>
    <n v="284"/>
    <n v="18.8"/>
    <s v="Normal"/>
    <x v="0"/>
  </r>
  <r>
    <x v="1318"/>
    <s v="Amaka Onuoha"/>
    <n v="70"/>
    <x v="4"/>
    <x v="1"/>
    <s v="AB-"/>
    <x v="0"/>
    <x v="1"/>
    <x v="92"/>
    <d v="2021-12-31T00:00:00"/>
    <n v="17"/>
    <s v="Ahmadu Bello University Teaching Hospital"/>
    <x v="2"/>
    <s v="Dr. Babatunde Fashola"/>
    <x v="1"/>
    <n v="111493.7"/>
    <s v="Ondansetron"/>
    <n v="12"/>
    <n v="130"/>
    <m/>
    <s v="Abnormal"/>
    <x v="0"/>
  </r>
  <r>
    <x v="1319"/>
    <s v="Chukwudi Moore"/>
    <n v="35"/>
    <x v="5"/>
    <x v="0"/>
    <s v="AB+"/>
    <x v="5"/>
    <x v="1"/>
    <x v="61"/>
    <d v="2023-10-22T00:00:00"/>
    <n v="6"/>
    <s v="Federal Medical Centre Birnin Kebbi"/>
    <x v="2"/>
    <s v="Dr. Fatima Al-Hassan"/>
    <x v="0"/>
    <n v="23559.35"/>
    <s v="Spironolactone"/>
    <n v="8"/>
    <n v="156"/>
    <n v="35.1"/>
    <s v="Abnormal"/>
    <x v="0"/>
  </r>
  <r>
    <x v="1320"/>
    <s v="Biodun Okeke"/>
    <n v="86"/>
    <x v="1"/>
    <x v="0"/>
    <s v="AB-"/>
    <x v="5"/>
    <x v="2"/>
    <x v="869"/>
    <m/>
    <m/>
    <s v="Lagos University Teaching Hospital"/>
    <x v="1"/>
    <s v="Dr. Emeka Okorie"/>
    <x v="4"/>
    <n v="34030.400000000001"/>
    <s v="Aspirin"/>
    <n v="10"/>
    <n v="354"/>
    <n v="23"/>
    <s v="Abnormal"/>
    <x v="0"/>
  </r>
  <r>
    <x v="1321"/>
    <s v="Oluwaseun Sule"/>
    <n v="40"/>
    <x v="5"/>
    <x v="0"/>
    <s v="A+"/>
    <x v="7"/>
    <x v="1"/>
    <x v="961"/>
    <d v="2019-06-04T00:00:00"/>
    <n v="2"/>
    <s v="Lagos University Teaching Hospital"/>
    <x v="1"/>
    <s v="Dr. Musa Aliyu"/>
    <x v="4"/>
    <n v="9563.0300000000007"/>
    <s v="Ibuprofen"/>
    <n v="6"/>
    <n v="170"/>
    <n v="31.5"/>
    <s v="Inconclusive"/>
    <x v="0"/>
  </r>
  <r>
    <x v="1322"/>
    <s v="Adewale Wilson"/>
    <n v="56"/>
    <x v="3"/>
    <x v="0"/>
    <s v="O-"/>
    <x v="5"/>
    <x v="1"/>
    <x v="962"/>
    <m/>
    <m/>
    <s v="Bowen University Teaching Hospital"/>
    <x v="1"/>
    <s v="Dr. Fatima Al-Hassan"/>
    <x v="0"/>
    <n v="25105.52"/>
    <s v="Atorvastatin"/>
    <n v="9"/>
    <n v="142"/>
    <m/>
    <s v="Abnormal"/>
    <x v="0"/>
  </r>
  <r>
    <x v="1323"/>
    <s v="Zainab Brown"/>
    <n v="62"/>
    <x v="3"/>
    <x v="1"/>
    <s v="B-"/>
    <x v="6"/>
    <x v="2"/>
    <x v="348"/>
    <d v="2024-01-03T00:00:00"/>
    <n v="6"/>
    <s v="University of Calabar Teaching Hospital"/>
    <x v="0"/>
    <s v="Dr. Yusuf Danjuma"/>
    <x v="0"/>
    <n v="7726"/>
    <s v="Salbutamol"/>
    <n v="7"/>
    <n v="348"/>
    <n v="35.9"/>
    <s v="Normal"/>
    <x v="0"/>
  </r>
  <r>
    <x v="1324"/>
    <s v="Daniel Okeke"/>
    <n v="57"/>
    <x v="3"/>
    <x v="0"/>
    <s v="A-"/>
    <x v="6"/>
    <x v="1"/>
    <x v="963"/>
    <d v="2024-04-25T00:00:00"/>
    <n v="14"/>
    <s v="Federal Medical Centre Birnin Kebbi"/>
    <x v="2"/>
    <s v="Dr. Halima Usman"/>
    <x v="0"/>
    <n v="11209.43"/>
    <s v="Prednisolone"/>
    <n v="7"/>
    <n v="122"/>
    <n v="38.9"/>
    <s v="Abnormal"/>
    <x v="0"/>
  </r>
  <r>
    <x v="1325"/>
    <s v="Tolulope Musa"/>
    <n v="35"/>
    <x v="5"/>
    <x v="1"/>
    <s v="B-"/>
    <x v="5"/>
    <x v="0"/>
    <x v="964"/>
    <d v="2020-10-24T00:00:00"/>
    <n v="5"/>
    <s v="National Hospital Abuja"/>
    <x v="4"/>
    <s v="Dr. Emeka Okorie"/>
    <x v="3"/>
    <n v="107687.09"/>
    <s v="Aspirin"/>
    <n v="10"/>
    <n v="345"/>
    <n v="25.4"/>
    <s v="Abnormal"/>
    <x v="0"/>
  </r>
  <r>
    <x v="1326"/>
    <s v="John Hassan"/>
    <n v="82"/>
    <x v="1"/>
    <x v="0"/>
    <s v="AB+"/>
    <x v="2"/>
    <x v="1"/>
    <x v="239"/>
    <d v="2019-04-02T00:00:00"/>
    <n v="3"/>
    <s v="Federal Medical Centre Birnin Kebbi"/>
    <x v="2"/>
    <s v="Dr. Olumide Abiodun"/>
    <x v="4"/>
    <n v="32377"/>
    <s v="Aspirin"/>
    <n v="8"/>
    <n v="171"/>
    <n v="28"/>
    <s v="Abnormal"/>
    <x v="0"/>
  </r>
  <r>
    <x v="1327"/>
    <s v="Samuel Okonkwo"/>
    <n v="59"/>
    <x v="3"/>
    <x v="0"/>
    <s v="AB-"/>
    <x v="0"/>
    <x v="1"/>
    <x v="965"/>
    <d v="2021-10-30T00:00:00"/>
    <n v="11"/>
    <s v="Bowen University Teaching Hospital"/>
    <x v="1"/>
    <s v="Dr. Grace Oduya"/>
    <x v="0"/>
    <n v="78316.86"/>
    <s v="Rituximab"/>
    <n v="12"/>
    <n v="185"/>
    <n v="30.4"/>
    <s v="Abnormal"/>
    <x v="1"/>
  </r>
  <r>
    <x v="1328"/>
    <s v="Michael Usman"/>
    <n v="70"/>
    <x v="4"/>
    <x v="0"/>
    <s v="B+"/>
    <x v="5"/>
    <x v="0"/>
    <x v="966"/>
    <d v="2024-09-24T00:00:00"/>
    <n v="15"/>
    <s v="National Hospital Abuja"/>
    <x v="4"/>
    <s v="Dr. Emeka Okorie"/>
    <x v="0"/>
    <n v="78276.679999999993"/>
    <s v="Furosemide"/>
    <n v="10"/>
    <n v="393"/>
    <n v="30.9"/>
    <s v="Abnormal"/>
    <x v="1"/>
  </r>
  <r>
    <x v="1329"/>
    <s v="Hauwa Onuoha"/>
    <n v="36"/>
    <x v="5"/>
    <x v="1"/>
    <s v="O-"/>
    <x v="6"/>
    <x v="0"/>
    <x v="967"/>
    <d v="2019-12-17T00:00:00"/>
    <n v="6"/>
    <s v="University College Hospital Ibadan"/>
    <x v="1"/>
    <s v="Dr. Ngozi Eze-Williams"/>
    <x v="2"/>
    <n v="21341.54"/>
    <s v="Tiotropium"/>
    <n v="7"/>
    <n v="348"/>
    <m/>
    <s v="Abnormal"/>
    <x v="0"/>
  </r>
  <r>
    <x v="1330"/>
    <s v="Ngozi Abiodun"/>
    <n v="49"/>
    <x v="5"/>
    <x v="1"/>
    <s v="A+"/>
    <x v="3"/>
    <x v="0"/>
    <x v="449"/>
    <d v="2022-04-26T00:00:00"/>
    <n v="6"/>
    <s v="Lagos University Teaching Hospital"/>
    <x v="1"/>
    <s v="Dr. Precious Obi"/>
    <x v="1"/>
    <n v="47264.36"/>
    <s v="Amoxicillin"/>
    <n v="6"/>
    <n v="198"/>
    <n v="30.7"/>
    <s v="Abnormal"/>
    <x v="0"/>
  </r>
  <r>
    <x v="1331"/>
    <s v="Biodun Adeyemi"/>
    <n v="35"/>
    <x v="5"/>
    <x v="0"/>
    <s v="AB+"/>
    <x v="4"/>
    <x v="0"/>
    <x v="968"/>
    <d v="2019-11-06T00:00:00"/>
    <n v="9"/>
    <s v="Federal Medical Centre Asaba"/>
    <x v="0"/>
    <s v="Dr. Aisha Bello"/>
    <x v="0"/>
    <n v="11102.7"/>
    <s v="Loperamide"/>
    <n v="5"/>
    <n v="283"/>
    <m/>
    <s v="Normal"/>
    <x v="0"/>
  </r>
  <r>
    <x v="1332"/>
    <s v="Lanre Lawal"/>
    <n v="85"/>
    <x v="1"/>
    <x v="0"/>
    <s v="O-"/>
    <x v="5"/>
    <x v="1"/>
    <x v="32"/>
    <d v="2023-10-18T00:00:00"/>
    <n v="5"/>
    <s v="University College Hospital Ibadan"/>
    <x v="1"/>
    <s v="Dr. Emeka Okorie"/>
    <x v="3"/>
    <n v="123241.28"/>
    <s v="Metoprolol"/>
    <n v="7"/>
    <n v="115"/>
    <n v="25"/>
    <s v="Abnormal"/>
    <x v="0"/>
  </r>
  <r>
    <x v="1333"/>
    <s v="Suleiman Musa"/>
    <n v="35"/>
    <x v="5"/>
    <x v="0"/>
    <s v="B-"/>
    <x v="4"/>
    <x v="0"/>
    <x v="969"/>
    <d v="2019-03-29T00:00:00"/>
    <n v="6"/>
    <s v="Federal Medical Centre Owerri"/>
    <x v="3"/>
    <s v="Dr. Segun Banke"/>
    <x v="0"/>
    <n v="20838.12"/>
    <s v="Metronidazole"/>
    <n v="3"/>
    <n v="150"/>
    <m/>
    <s v="Normal"/>
    <x v="0"/>
  </r>
  <r>
    <x v="1334"/>
    <s v="Emmanuel Thompson"/>
    <n v="91"/>
    <x v="1"/>
    <x v="0"/>
    <s v="O+"/>
    <x v="5"/>
    <x v="1"/>
    <x v="970"/>
    <d v="2023-01-04T00:00:00"/>
    <n v="7"/>
    <s v="Federal Medical Centre Birnin Kebbi"/>
    <x v="2"/>
    <s v="Dr. Emeka Okorie"/>
    <x v="0"/>
    <n v="38945.449999999997"/>
    <s v="Metoprolol"/>
    <n v="9"/>
    <n v="135"/>
    <n v="25.5"/>
    <s v="Abnormal"/>
    <x v="0"/>
  </r>
  <r>
    <x v="1335"/>
    <s v="Grace Martin"/>
    <n v="74"/>
    <x v="4"/>
    <x v="1"/>
    <s v="AB-"/>
    <x v="5"/>
    <x v="1"/>
    <x v="564"/>
    <d v="2024-07-08T00:00:00"/>
    <n v="7"/>
    <s v="University College Hospital Ibadan"/>
    <x v="1"/>
    <s v="Dr. Fatima Al-Hassan"/>
    <x v="2"/>
    <n v="52979.73"/>
    <s v="Furosemide"/>
    <n v="6"/>
    <n v="128"/>
    <n v="29"/>
    <s v="Inconclusive"/>
    <x v="0"/>
  </r>
  <r>
    <x v="1336"/>
    <s v="Ifeanyi Garba"/>
    <n v="52"/>
    <x v="5"/>
    <x v="0"/>
    <s v="B-"/>
    <x v="1"/>
    <x v="2"/>
    <x v="971"/>
    <d v="2020-09-15T00:00:00"/>
    <n v="5"/>
    <s v="Federal Medical Centre Asaba"/>
    <x v="0"/>
    <s v="Dr. Chioma Nwankwo"/>
    <x v="1"/>
    <n v="27462.3"/>
    <s v="Dapagliflozin"/>
    <n v="8"/>
    <n v="390"/>
    <n v="32.200000000000003"/>
    <s v="Normal"/>
    <x v="0"/>
  </r>
  <r>
    <x v="1337"/>
    <s v="Ngozi Ajala"/>
    <n v="81"/>
    <x v="1"/>
    <x v="1"/>
    <s v="A+"/>
    <x v="1"/>
    <x v="1"/>
    <x v="972"/>
    <d v="2022-11-23T00:00:00"/>
    <n v="3"/>
    <s v="Ahmadu Bello University Teaching Hospital"/>
    <x v="2"/>
    <s v="Dr. Ibrahim Musa"/>
    <x v="0"/>
    <n v="27252.53"/>
    <s v="Metformin"/>
    <n v="8"/>
    <n v="153"/>
    <n v="31.6"/>
    <s v="Abnormal"/>
    <x v="1"/>
  </r>
  <r>
    <x v="1338"/>
    <s v="Chukwudi Garba"/>
    <n v="65"/>
    <x v="4"/>
    <x v="0"/>
    <s v="A-"/>
    <x v="7"/>
    <x v="2"/>
    <x v="973"/>
    <d v="2019-10-08T00:00:00"/>
    <n v="4"/>
    <s v="Federal Medical Centre Owerri"/>
    <x v="3"/>
    <s v="Dr. Chukwuemeka Nwosu"/>
    <x v="2"/>
    <n v="47175.77"/>
    <s v="Calcium"/>
    <n v="6"/>
    <n v="412"/>
    <n v="21.8"/>
    <s v="Normal"/>
    <x v="1"/>
  </r>
  <r>
    <x v="1339"/>
    <s v="Halima Hassan"/>
    <n v="6"/>
    <x v="0"/>
    <x v="1"/>
    <s v="B+"/>
    <x v="6"/>
    <x v="3"/>
    <x v="119"/>
    <d v="2023-11-24T00:00:00"/>
    <n v="5"/>
    <s v="Federal Medical Centre Birnin Kebbi"/>
    <x v="2"/>
    <s v="Dr. Ngozi Eze-Williams"/>
    <x v="2"/>
    <n v="6104.65"/>
    <s v="Salbutamol"/>
    <n v="7"/>
    <n v="264"/>
    <n v="21.3"/>
    <s v="Abnormal"/>
    <x v="0"/>
  </r>
  <r>
    <x v="1340"/>
    <s v="Daniel Okonkwo"/>
    <n v="76"/>
    <x v="1"/>
    <x v="0"/>
    <s v="A+"/>
    <x v="6"/>
    <x v="1"/>
    <x v="524"/>
    <d v="2021-04-18T00:00:00"/>
    <n v="5"/>
    <s v="Aminu Kano Teaching Hospital"/>
    <x v="2"/>
    <s v="Dr. Ngozi Eze-Williams"/>
    <x v="2"/>
    <n v="17566"/>
    <s v="Salbutamol"/>
    <n v="7"/>
    <n v="111"/>
    <n v="25.7"/>
    <s v="Abnormal"/>
    <x v="1"/>
  </r>
  <r>
    <x v="1341"/>
    <s v="Ifeanyi Sule"/>
    <n v="91"/>
    <x v="1"/>
    <x v="0"/>
    <s v="B-"/>
    <x v="5"/>
    <x v="0"/>
    <x v="974"/>
    <d v="2024-07-15T00:00:00"/>
    <n v="19"/>
    <s v="Federal Medical Centre Asaba"/>
    <x v="0"/>
    <s v="Dr. Emeka Okorie"/>
    <x v="0"/>
    <n v="56047"/>
    <s v="Furosemide"/>
    <n v="10"/>
    <n v="390"/>
    <m/>
    <s v="Abnormal"/>
    <x v="0"/>
  </r>
  <r>
    <x v="1342"/>
    <s v="Elizabeth Obi"/>
    <n v="40"/>
    <x v="5"/>
    <x v="1"/>
    <s v="O+"/>
    <x v="3"/>
    <x v="2"/>
    <x v="975"/>
    <d v="2019-06-08T00:00:00"/>
    <n v="4"/>
    <s v="Lagos University Teaching Hospital"/>
    <x v="1"/>
    <s v="Dr. Precious Obi"/>
    <x v="4"/>
    <n v="30204.81"/>
    <s v="Ondansetron"/>
    <n v="5"/>
    <n v="394"/>
    <n v="22.1"/>
    <s v="Abnormal"/>
    <x v="0"/>
  </r>
  <r>
    <x v="1343"/>
    <s v="Chioma Oni"/>
    <n v="41"/>
    <x v="5"/>
    <x v="1"/>
    <s v="O-"/>
    <x v="1"/>
    <x v="1"/>
    <x v="20"/>
    <d v="2022-06-01T00:00:00"/>
    <n v="3"/>
    <s v="Ahmadu Bello University Teaching Hospital"/>
    <x v="2"/>
    <s v="Dr. Chioma Nwankwo"/>
    <x v="1"/>
    <n v="8654.82"/>
    <s v="Metformin"/>
    <n v="8"/>
    <n v="159"/>
    <n v="43"/>
    <s v="Normal"/>
    <x v="0"/>
  </r>
  <r>
    <x v="1344"/>
    <s v="Babatunde Okafor"/>
    <n v="69"/>
    <x v="4"/>
    <x v="0"/>
    <s v="AB+"/>
    <x v="5"/>
    <x v="2"/>
    <x v="615"/>
    <d v="2021-04-16T00:00:00"/>
    <n v="6"/>
    <s v="Federal Medical Centre Birnin Kebbi"/>
    <x v="2"/>
    <s v="Dr. Emeka Okorie"/>
    <x v="0"/>
    <n v="69736.75"/>
    <s v="Amiodarone"/>
    <n v="9"/>
    <n v="418"/>
    <n v="36"/>
    <s v="Abnormal"/>
    <x v="0"/>
  </r>
  <r>
    <x v="1345"/>
    <s v="Adewale Johnson"/>
    <n v="61"/>
    <x v="3"/>
    <x v="0"/>
    <s v="A+"/>
    <x v="5"/>
    <x v="0"/>
    <x v="976"/>
    <d v="2022-05-04T00:00:00"/>
    <n v="13"/>
    <s v="Bowen University Teaching Hospital"/>
    <x v="1"/>
    <s v="Dr. Emeka Okorie"/>
    <x v="0"/>
    <n v="73996.149999999994"/>
    <s v="Amiodarone"/>
    <n v="10"/>
    <n v="367"/>
    <n v="25"/>
    <s v="Inconclusive"/>
    <x v="0"/>
  </r>
  <r>
    <x v="1346"/>
    <s v="Kunle Ibrahim"/>
    <n v="58"/>
    <x v="3"/>
    <x v="0"/>
    <s v="AB+"/>
    <x v="1"/>
    <x v="1"/>
    <x v="821"/>
    <d v="2022-04-14T00:00:00"/>
    <n v="6"/>
    <s v="Ahmadu Bello University Teaching Hospital"/>
    <x v="2"/>
    <s v="Dr. Ibrahim Musa"/>
    <x v="0"/>
    <n v="14127.08"/>
    <s v="Sitagliptin"/>
    <n v="8"/>
    <n v="165"/>
    <n v="28.4"/>
    <s v="Normal"/>
    <x v="1"/>
  </r>
  <r>
    <x v="1347"/>
    <s v="Lanre Adeyemi"/>
    <n v="69"/>
    <x v="4"/>
    <x v="0"/>
    <s v="O+"/>
    <x v="5"/>
    <x v="0"/>
    <x v="169"/>
    <d v="2024-11-24T00:00:00"/>
    <n v="22"/>
    <s v="Federal Medical Centre Owerri"/>
    <x v="3"/>
    <s v="Dr. Fatima Al-Hassan"/>
    <x v="0"/>
    <n v="72595.27"/>
    <s v="Warfarin"/>
    <n v="10"/>
    <n v="357"/>
    <n v="29.9"/>
    <s v="Inconclusive"/>
    <x v="0"/>
  </r>
  <r>
    <x v="1348"/>
    <s v="Lanre Nwosu"/>
    <n v="43"/>
    <x v="5"/>
    <x v="0"/>
    <s v="O+"/>
    <x v="5"/>
    <x v="0"/>
    <x v="126"/>
    <d v="2023-12-21T00:00:00"/>
    <n v="26"/>
    <s v="Ahmadu Bello University Teaching Hospital"/>
    <x v="2"/>
    <s v="Dr. Emeka Okorie"/>
    <x v="0"/>
    <n v="46742.13"/>
    <s v="Atorvastatin"/>
    <n v="10"/>
    <n v="363"/>
    <m/>
    <s v="Normal"/>
    <x v="0"/>
  </r>
  <r>
    <x v="1349"/>
    <s v="Chidi Abubakar"/>
    <n v="76"/>
    <x v="1"/>
    <x v="0"/>
    <s v="A-"/>
    <x v="6"/>
    <x v="1"/>
    <x v="665"/>
    <d v="2023-10-19T00:00:00"/>
    <n v="5"/>
    <s v="University of Calabar Teaching Hospital"/>
    <x v="0"/>
    <s v="Dr. Yusuf Danjuma"/>
    <x v="2"/>
    <n v="38125.08"/>
    <s v="Prednisolone"/>
    <n v="6"/>
    <n v="124"/>
    <n v="30.4"/>
    <s v="Abnormal"/>
    <x v="0"/>
  </r>
  <r>
    <x v="1350"/>
    <s v="Lanre Moore"/>
    <n v="67"/>
    <x v="4"/>
    <x v="0"/>
    <s v="AB-"/>
    <x v="5"/>
    <x v="1"/>
    <x v="229"/>
    <d v="2023-05-17T00:00:00"/>
    <n v="6"/>
    <s v="Bowen University Teaching Hospital"/>
    <x v="1"/>
    <s v="Dr. Fatima Al-Hassan"/>
    <x v="0"/>
    <n v="33200.769999999997"/>
    <s v="Amlodipine"/>
    <n v="10"/>
    <n v="121"/>
    <n v="30"/>
    <s v="Abnormal"/>
    <x v="0"/>
  </r>
  <r>
    <x v="1351"/>
    <s v="James Igwe"/>
    <n v="59"/>
    <x v="3"/>
    <x v="0"/>
    <s v="O-"/>
    <x v="1"/>
    <x v="1"/>
    <x v="977"/>
    <d v="2019-02-17T00:00:00"/>
    <n v="2"/>
    <s v="Ahmadu Bello University Teaching Hospital"/>
    <x v="2"/>
    <s v="Dr. Taiwo Adeleke"/>
    <x v="1"/>
    <n v="13491.78"/>
    <s v="Empagliflozin"/>
    <n v="8"/>
    <n v="198"/>
    <n v="29.3"/>
    <s v="Abnormal"/>
    <x v="0"/>
  </r>
  <r>
    <x v="1352"/>
    <s v="Samuel Thompson"/>
    <n v="35"/>
    <x v="5"/>
    <x v="0"/>
    <s v="AB+"/>
    <x v="0"/>
    <x v="0"/>
    <x v="395"/>
    <d v="2022-03-07T00:00:00"/>
    <n v="13"/>
    <s v="Bowen University Teaching Hospital"/>
    <x v="1"/>
    <s v="Dr. Babatunde Fashola"/>
    <x v="0"/>
    <n v="82004.39"/>
    <s v="Cyclophosphamide"/>
    <n v="12"/>
    <n v="279"/>
    <n v="22.9"/>
    <s v="Abnormal"/>
    <x v="0"/>
  </r>
  <r>
    <x v="1353"/>
    <s v="James Bankole"/>
    <n v="31"/>
    <x v="2"/>
    <x v="0"/>
    <s v="A-"/>
    <x v="3"/>
    <x v="2"/>
    <x v="978"/>
    <d v="2021-08-30T00:00:00"/>
    <n v="12"/>
    <s v="Aminu Kano Teaching Hospital"/>
    <x v="2"/>
    <s v="Dr. Lanre Ogundele"/>
    <x v="0"/>
    <n v="11231.7"/>
    <s v="Amoxicillin"/>
    <n v="6"/>
    <n v="482"/>
    <n v="22.8"/>
    <s v="Normal"/>
    <x v="0"/>
  </r>
  <r>
    <x v="1354"/>
    <s v="James Usman"/>
    <n v="71"/>
    <x v="4"/>
    <x v="0"/>
    <s v="AB-"/>
    <x v="1"/>
    <x v="1"/>
    <x v="979"/>
    <d v="2021-01-14T00:00:00"/>
    <n v="2"/>
    <s v="National Hospital Abuja"/>
    <x v="4"/>
    <s v="Dr. Ibrahim Musa"/>
    <x v="4"/>
    <n v="12776.9"/>
    <s v="Sitagliptin"/>
    <n v="5"/>
    <n v="140"/>
    <n v="26.8"/>
    <s v="Abnormal"/>
    <x v="0"/>
  </r>
  <r>
    <x v="1355"/>
    <s v="Yusuf Akintola"/>
    <n v="68"/>
    <x v="4"/>
    <x v="0"/>
    <s v="O+"/>
    <x v="3"/>
    <x v="2"/>
    <x v="713"/>
    <d v="2024-05-23T00:00:00"/>
    <n v="10"/>
    <s v="Ahmadu Bello University Teaching Hospital"/>
    <x v="2"/>
    <s v="Dr. Precious Obi"/>
    <x v="0"/>
    <n v="19103"/>
    <s v="Amoxicillin"/>
    <n v="6"/>
    <n v="201"/>
    <n v="30.3"/>
    <s v="Normal"/>
    <x v="1"/>
  </r>
  <r>
    <x v="1356"/>
    <s v="Rotimi Okeke"/>
    <n v="84"/>
    <x v="1"/>
    <x v="0"/>
    <s v="A-"/>
    <x v="2"/>
    <x v="0"/>
    <x v="23"/>
    <d v="2021-07-20T00:00:00"/>
    <n v="18"/>
    <s v="Federal Medical Centre Owerri"/>
    <x v="3"/>
    <s v="Dr. Rotimi Fashola"/>
    <x v="0"/>
    <n v="28464"/>
    <s v="Aspirin"/>
    <n v="6"/>
    <n v="385"/>
    <n v="21.7"/>
    <s v="Abnormal"/>
    <x v="1"/>
  </r>
  <r>
    <x v="1357"/>
    <s v="Joseph Okafor"/>
    <n v="58"/>
    <x v="3"/>
    <x v="0"/>
    <s v="O+"/>
    <x v="7"/>
    <x v="1"/>
    <x v="980"/>
    <d v="2021-02-06T00:00:00"/>
    <n v="3"/>
    <s v="University of Calabar Teaching Hospital"/>
    <x v="0"/>
    <s v="Dr. Musa Aliyu"/>
    <x v="1"/>
    <n v="14610.73"/>
    <s v="Calcium"/>
    <n v="3"/>
    <n v="153"/>
    <n v="31.4"/>
    <s v="Normal"/>
    <x v="0"/>
  </r>
  <r>
    <x v="1358"/>
    <s v="Blessing Adeyemi"/>
    <n v="64"/>
    <x v="3"/>
    <x v="1"/>
    <s v="AB-"/>
    <x v="6"/>
    <x v="2"/>
    <x v="513"/>
    <d v="2020-07-30T00:00:00"/>
    <n v="5"/>
    <s v="Ahmadu Bello University Teaching Hospital"/>
    <x v="2"/>
    <s v="Dr. Ngozi Eze-Williams"/>
    <x v="1"/>
    <n v="39609.839999999997"/>
    <s v="Salbutamol"/>
    <n v="7"/>
    <n v="439"/>
    <n v="14.5"/>
    <s v="Normal"/>
    <x v="0"/>
  </r>
  <r>
    <x v="1359"/>
    <s v="Tunde Fashola"/>
    <n v="50"/>
    <x v="5"/>
    <x v="0"/>
    <s v="O+"/>
    <x v="0"/>
    <x v="1"/>
    <x v="981"/>
    <d v="2024-09-07T00:00:00"/>
    <n v="7"/>
    <s v="Lagos University Teaching Hospital"/>
    <x v="1"/>
    <s v="Dr Amara Osei"/>
    <x v="0"/>
    <n v="49908.9"/>
    <s v="Paclitaxel"/>
    <n v="10"/>
    <n v="193"/>
    <m/>
    <s v="Abnormal"/>
    <x v="0"/>
  </r>
  <r>
    <x v="1360"/>
    <s v="Lydia Adeyemi"/>
    <n v="83"/>
    <x v="1"/>
    <x v="1"/>
    <s v="A-"/>
    <x v="6"/>
    <x v="0"/>
    <x v="982"/>
    <d v="2023-09-10T00:00:00"/>
    <n v="8"/>
    <s v="Ahmadu Bello University Teaching Hospital"/>
    <x v="2"/>
    <s v="Dr. Ngozi Eze-Williams"/>
    <x v="0"/>
    <n v="28443.97"/>
    <s v="Theophylline"/>
    <n v="6"/>
    <n v="384"/>
    <n v="18.7"/>
    <s v="Normal"/>
    <x v="0"/>
  </r>
  <r>
    <x v="1361"/>
    <s v="Adewale Adeyemi"/>
    <n v="61"/>
    <x v="3"/>
    <x v="0"/>
    <s v="B-"/>
    <x v="6"/>
    <x v="1"/>
    <x v="983"/>
    <d v="2019-04-15T00:00:00"/>
    <n v="2"/>
    <s v="Bowen University Teaching Hospital"/>
    <x v="1"/>
    <s v="Dr. Ngozi Eze-Williams"/>
    <x v="3"/>
    <n v="32319.49"/>
    <s v="Prednisolone"/>
    <n v="7"/>
    <n v="163"/>
    <n v="28.8"/>
    <s v="Normal"/>
    <x v="0"/>
  </r>
  <r>
    <x v="1362"/>
    <s v="Rotimi Wilson"/>
    <n v="86"/>
    <x v="1"/>
    <x v="0"/>
    <s v="B+"/>
    <x v="1"/>
    <x v="2"/>
    <x v="780"/>
    <d v="2023-09-11T00:00:00"/>
    <n v="4"/>
    <s v="Lagos University Teaching Hospital"/>
    <x v="1"/>
    <s v="Dr. Ibrahim Musa"/>
    <x v="4"/>
    <n v="14124.19"/>
    <s v="Linagliptin"/>
    <n v="6"/>
    <n v="270"/>
    <n v="36.1"/>
    <s v="Abnormal"/>
    <x v="0"/>
  </r>
  <r>
    <x v="1363"/>
    <s v="Biodun Adebayo"/>
    <n v="84"/>
    <x v="1"/>
    <x v="0"/>
    <s v="O+"/>
    <x v="2"/>
    <x v="1"/>
    <x v="984"/>
    <d v="2019-08-11T00:00:00"/>
    <n v="10"/>
    <s v="National Hospital Abuja"/>
    <x v="4"/>
    <s v="Dr. Rotimi Fashola"/>
    <x v="1"/>
    <n v="46943.32"/>
    <s v="Valproate"/>
    <n v="9"/>
    <n v="105"/>
    <n v="25.3"/>
    <s v="Inconclusive"/>
    <x v="0"/>
  </r>
  <r>
    <x v="1364"/>
    <s v="Suleiman Onuoha"/>
    <n v="6"/>
    <x v="0"/>
    <x v="0"/>
    <s v="A-"/>
    <x v="5"/>
    <x v="0"/>
    <x v="985"/>
    <d v="2020-10-24T00:00:00"/>
    <n v="9"/>
    <s v="Ahmadu Bello University Teaching Hospital"/>
    <x v="2"/>
    <s v="Dr. Emeka Okorie"/>
    <x v="1"/>
    <n v="59542.400000000001"/>
    <s v="Amlodipine"/>
    <n v="10"/>
    <n v="392"/>
    <n v="23.6"/>
    <s v="Abnormal"/>
    <x v="0"/>
  </r>
  <r>
    <x v="1365"/>
    <s v="Funke Thompson"/>
    <n v="56"/>
    <x v="3"/>
    <x v="1"/>
    <s v="AB+"/>
    <x v="6"/>
    <x v="0"/>
    <x v="986"/>
    <d v="2024-10-21T00:00:00"/>
    <n v="12"/>
    <s v="Federal Medical Centre Asaba"/>
    <x v="0"/>
    <s v="Dr. Yusuf Danjuma"/>
    <x v="0"/>
    <n v="51471.8"/>
    <s v="Montelukast"/>
    <n v="6"/>
    <n v="340"/>
    <n v="20.399999999999999"/>
    <s v="Inconclusive"/>
    <x v="1"/>
  </r>
  <r>
    <x v="1366"/>
    <s v="Abdullahi Fashola"/>
    <n v="88"/>
    <x v="1"/>
    <x v="0"/>
    <s v="A-"/>
    <x v="5"/>
    <x v="1"/>
    <x v="50"/>
    <d v="2020-05-17T00:00:00"/>
    <n v="6"/>
    <s v="Federal Medical Centre Birnin Kebbi"/>
    <x v="2"/>
    <s v="Dr. Emeka Okorie"/>
    <x v="1"/>
    <n v="63531.86"/>
    <s v="Metoprolol"/>
    <n v="10"/>
    <n v="152"/>
    <n v="32.9"/>
    <s v="Abnormal"/>
    <x v="0"/>
  </r>
  <r>
    <x v="1367"/>
    <s v="Yusuf Bankole"/>
    <n v="76"/>
    <x v="1"/>
    <x v="0"/>
    <s v="AB+"/>
    <x v="4"/>
    <x v="1"/>
    <x v="987"/>
    <d v="2023-04-13T00:00:00"/>
    <n v="1"/>
    <s v="Ahmadu Bello University Teaching Hospital"/>
    <x v="2"/>
    <s v="Dr. Nnamdi Okafor"/>
    <x v="3"/>
    <n v="54262.879999999997"/>
    <s v="Metronidazole"/>
    <n v="3"/>
    <n v="122"/>
    <n v="22.8"/>
    <s v="Normal"/>
    <x v="0"/>
  </r>
  <r>
    <x v="1368"/>
    <s v="Rebecca Anderson"/>
    <n v="70"/>
    <x v="4"/>
    <x v="1"/>
    <s v="O-"/>
    <x v="7"/>
    <x v="1"/>
    <x v="797"/>
    <d v="2019-02-05T00:00:00"/>
    <n v="5"/>
    <s v="Federal Medical Centre Birnin Kebbi"/>
    <x v="2"/>
    <s v="Dr. Musa Aliyu"/>
    <x v="1"/>
    <n v="20486.11"/>
    <s v="Enoxaparin"/>
    <n v="4"/>
    <n v="106"/>
    <n v="34.1"/>
    <s v="Inconclusive"/>
    <x v="0"/>
  </r>
  <r>
    <x v="1369"/>
    <s v="Rebecca Nwosu"/>
    <n v="62"/>
    <x v="3"/>
    <x v="1"/>
    <s v="B+"/>
    <x v="3"/>
    <x v="1"/>
    <x v="988"/>
    <d v="2023-02-21T00:00:00"/>
    <n v="5"/>
    <s v="Bowen University Teaching Hospital"/>
    <x v="1"/>
    <s v="Dr. Kemi Adeyemi"/>
    <x v="0"/>
    <n v="21094.92"/>
    <s v="Paracetamol"/>
    <n v="6"/>
    <n v="184"/>
    <n v="30.3"/>
    <s v="Normal"/>
    <x v="0"/>
  </r>
  <r>
    <x v="1370"/>
    <s v="Emeka Moore"/>
    <n v="57"/>
    <x v="3"/>
    <x v="0"/>
    <s v="A+"/>
    <x v="0"/>
    <x v="1"/>
    <x v="989"/>
    <d v="2024-07-14T00:00:00"/>
    <n v="12"/>
    <s v="Federal Medical Centre Owerri"/>
    <x v="3"/>
    <s v="Dr Amara Osei"/>
    <x v="0"/>
    <n v="66059.58"/>
    <s v="Ondansetron"/>
    <n v="12"/>
    <n v="154"/>
    <n v="29.3"/>
    <s v="Abnormal"/>
    <x v="1"/>
  </r>
  <r>
    <x v="1371"/>
    <s v="Ngozi Adebayo"/>
    <n v="73"/>
    <x v="4"/>
    <x v="1"/>
    <s v="O+"/>
    <x v="6"/>
    <x v="1"/>
    <x v="990"/>
    <d v="2020-06-08T00:00:00"/>
    <n v="5"/>
    <s v="Federal Medical Centre Birnin Kebbi"/>
    <x v="2"/>
    <s v="Dr. Halima Usman"/>
    <x v="0"/>
    <n v="6681.18"/>
    <s v="Tiotropium"/>
    <n v="3"/>
    <n v="109"/>
    <n v="19.8"/>
    <s v="Normal"/>
    <x v="0"/>
  </r>
  <r>
    <x v="1372"/>
    <s v="Elizabeth Bankole"/>
    <n v="74"/>
    <x v="4"/>
    <x v="1"/>
    <s v="A+"/>
    <x v="7"/>
    <x v="1"/>
    <x v="22"/>
    <d v="2019-06-17T00:00:00"/>
    <n v="3"/>
    <s v="Federal Medical Centre Asaba"/>
    <x v="0"/>
    <s v="Dr. Musa Aliyu"/>
    <x v="0"/>
    <n v="36039.730000000003"/>
    <s v="Tramadol"/>
    <n v="4"/>
    <n v="116"/>
    <n v="34"/>
    <s v="Abnormal"/>
    <x v="1"/>
  </r>
  <r>
    <x v="1373"/>
    <s v="Musa Bello"/>
    <n v="67"/>
    <x v="4"/>
    <x v="0"/>
    <s v="AB-"/>
    <x v="5"/>
    <x v="0"/>
    <x v="638"/>
    <d v="2024-04-24T00:00:00"/>
    <n v="9"/>
    <s v="National Hospital Abuja"/>
    <x v="4"/>
    <s v="Dr. Emeka Okorie"/>
    <x v="4"/>
    <n v="75419"/>
    <s v="Spironolactone"/>
    <n v="8"/>
    <n v="374"/>
    <n v="25.3"/>
    <s v="Abnormal"/>
    <x v="1"/>
  </r>
  <r>
    <x v="1374"/>
    <s v="Segun Yakubu"/>
    <n v="91"/>
    <x v="1"/>
    <x v="0"/>
    <s v="O-"/>
    <x v="0"/>
    <x v="2"/>
    <x v="556"/>
    <d v="2022-08-11T00:00:00"/>
    <n v="19"/>
    <s v="Ahmadu Bello University Teaching Hospital"/>
    <x v="2"/>
    <s v="Dr. Amara Osei"/>
    <x v="4"/>
    <n v="104996.64"/>
    <s v="Bevacizumab"/>
    <n v="12"/>
    <n v="354"/>
    <m/>
    <s v="Abnormal"/>
    <x v="0"/>
  </r>
  <r>
    <x v="1375"/>
    <s v="Chiamaka Bankole"/>
    <n v="69"/>
    <x v="4"/>
    <x v="1"/>
    <s v="AB+"/>
    <x v="5"/>
    <x v="0"/>
    <x v="189"/>
    <d v="2019-10-08T00:00:00"/>
    <n v="8"/>
    <s v="Ahmadu Bello University Teaching Hospital"/>
    <x v="2"/>
    <s v="Dr. Emeka Okorie"/>
    <x v="4"/>
    <n v="40900.29"/>
    <s v="Digoxin"/>
    <n v="7"/>
    <n v="394"/>
    <n v="28.2"/>
    <s v="Abnormal"/>
    <x v="1"/>
  </r>
  <r>
    <x v="1376"/>
    <s v="Lydia Fashola"/>
    <n v="78"/>
    <x v="1"/>
    <x v="1"/>
    <s v="AB-"/>
    <x v="5"/>
    <x v="1"/>
    <x v="991"/>
    <d v="2022-02-26T00:00:00"/>
    <n v="17"/>
    <s v="Aminu Kano Teaching Hospital"/>
    <x v="2"/>
    <s v="Dr. Adewale Ogundimu"/>
    <x v="0"/>
    <n v="52507.39"/>
    <s v="Metoprolol"/>
    <n v="10"/>
    <n v="109"/>
    <n v="34.9"/>
    <s v="Abnormal"/>
    <x v="0"/>
  </r>
  <r>
    <x v="1377"/>
    <s v="Emeka Wilson"/>
    <n v="60"/>
    <x v="3"/>
    <x v="0"/>
    <s v="AB+"/>
    <x v="5"/>
    <x v="0"/>
    <x v="992"/>
    <d v="2021-12-11T00:00:00"/>
    <n v="15"/>
    <s v="University of Calabar Teaching Hospital"/>
    <x v="0"/>
    <s v="Dr. Emeka Okorie"/>
    <x v="4"/>
    <n v="96849.75"/>
    <s v="Atorvastatin"/>
    <n v="8"/>
    <n v="395"/>
    <n v="29.5"/>
    <s v="Inconclusive"/>
    <x v="0"/>
  </r>
  <r>
    <x v="1378"/>
    <s v="James Musa"/>
    <n v="31"/>
    <x v="2"/>
    <x v="0"/>
    <s v="B-"/>
    <x v="5"/>
    <x v="2"/>
    <x v="993"/>
    <d v="2020-03-24T00:00:00"/>
    <n v="11"/>
    <s v="Federal Medical Centre Asaba"/>
    <x v="0"/>
    <s v="Dr. Adewale Ogundimu"/>
    <x v="4"/>
    <n v="18773"/>
    <s v="Spironolactone"/>
    <n v="10"/>
    <n v="100"/>
    <n v="36.799999999999997"/>
    <s v="Abnormal"/>
    <x v="0"/>
  </r>
  <r>
    <x v="1379"/>
    <s v="Miriam Oni"/>
    <n v="78"/>
    <x v="1"/>
    <x v="1"/>
    <s v="A-"/>
    <x v="0"/>
    <x v="1"/>
    <x v="618"/>
    <d v="2021-12-30T00:00:00"/>
    <n v="12"/>
    <s v="Federal Medical Centre Owerri"/>
    <x v="3"/>
    <s v="Dr. Babatunde Fashola"/>
    <x v="1"/>
    <n v="67107"/>
    <s v="Dexamethasone"/>
    <n v="12"/>
    <n v="177"/>
    <n v="25.5"/>
    <s v="Abnormal"/>
    <x v="1"/>
  </r>
  <r>
    <x v="1380"/>
    <s v="Musa Adeleke"/>
    <n v="15"/>
    <x v="0"/>
    <x v="0"/>
    <s v="O+"/>
    <x v="0"/>
    <x v="0"/>
    <x v="546"/>
    <d v="2019-08-06T00:00:00"/>
    <n v="26"/>
    <s v="Ahmadu Bello University Teaching Hospital"/>
    <x v="2"/>
    <s v="Dr. Babatunde Fashola"/>
    <x v="0"/>
    <n v="38424"/>
    <s v="Letrozole"/>
    <n v="11"/>
    <n v="472"/>
    <n v="20.2"/>
    <s v="Inconclusive"/>
    <x v="0"/>
  </r>
  <r>
    <x v="1381"/>
    <s v="Lydia Hassan"/>
    <n v="72"/>
    <x v="4"/>
    <x v="1"/>
    <s v="A+"/>
    <x v="3"/>
    <x v="0"/>
    <x v="805"/>
    <d v="2019-09-24T00:00:00"/>
    <n v="5"/>
    <s v="University of Calabar Teaching Hospital"/>
    <x v="0"/>
    <s v="Dr. Kemi Adeyemi"/>
    <x v="1"/>
    <n v="119298.81"/>
    <s v="Morphine"/>
    <n v="6"/>
    <n v="422"/>
    <n v="25.4"/>
    <s v="Normal"/>
    <x v="1"/>
  </r>
  <r>
    <x v="1382"/>
    <s v="Tunde Thompson"/>
    <n v="36"/>
    <x v="5"/>
    <x v="0"/>
    <s v="A-"/>
    <x v="6"/>
    <x v="0"/>
    <x v="445"/>
    <d v="2024-04-04T00:00:00"/>
    <n v="7"/>
    <s v="National Hospital Abuja"/>
    <x v="4"/>
    <s v="Dr. Ngozi Eze-Williams"/>
    <x v="4"/>
    <n v="29872.57"/>
    <s v="Theophylline"/>
    <n v="6"/>
    <n v="354"/>
    <n v="28.4"/>
    <s v="Abnormal"/>
    <x v="0"/>
  </r>
  <r>
    <x v="1383"/>
    <s v="Chiamaka Okeke"/>
    <n v="19"/>
    <x v="2"/>
    <x v="1"/>
    <s v="O-"/>
    <x v="6"/>
    <x v="1"/>
    <x v="55"/>
    <d v="2022-09-17T00:00:00"/>
    <n v="3"/>
    <s v="Lagos University Teaching Hospital"/>
    <x v="1"/>
    <s v="Dr. Halima Usman"/>
    <x v="0"/>
    <n v="12154.69"/>
    <s v="Tiotropium"/>
    <n v="7"/>
    <n v="111"/>
    <n v="37.1"/>
    <s v="Normal"/>
    <x v="0"/>
  </r>
  <r>
    <x v="1384"/>
    <s v="Segun Anderson"/>
    <n v="58"/>
    <x v="3"/>
    <x v="0"/>
    <s v="AB+"/>
    <x v="6"/>
    <x v="2"/>
    <x v="415"/>
    <d v="2020-04-16T00:00:00"/>
    <n v="4"/>
    <s v="Federal Medical Centre Birnin Kebbi"/>
    <x v="2"/>
    <s v="Dr. Halima Usman"/>
    <x v="0"/>
    <n v="19197.009999999998"/>
    <s v="Prednisolone"/>
    <n v="7"/>
    <n v="269"/>
    <n v="30.1"/>
    <s v="Normal"/>
    <x v="1"/>
  </r>
  <r>
    <x v="1385"/>
    <s v="Nnamdi Adebayo"/>
    <n v="62"/>
    <x v="3"/>
    <x v="0"/>
    <s v="O+"/>
    <x v="5"/>
    <x v="0"/>
    <x v="958"/>
    <d v="2023-12-11T00:00:00"/>
    <n v="4"/>
    <s v="University of Calabar Teaching Hospital"/>
    <x v="0"/>
    <s v="Dr. Adewale Ogundimu"/>
    <x v="3"/>
    <n v="72522.92"/>
    <s v="Spironolactone"/>
    <n v="9"/>
    <n v="302"/>
    <n v="26.5"/>
    <s v="Abnormal"/>
    <x v="0"/>
  </r>
  <r>
    <x v="1386"/>
    <s v="Chukwudi Okafor"/>
    <n v="22"/>
    <x v="2"/>
    <x v="0"/>
    <s v="AB+"/>
    <x v="5"/>
    <x v="2"/>
    <x v="994"/>
    <d v="2019-02-06T00:00:00"/>
    <n v="6"/>
    <s v="Federal Medical Centre Asaba"/>
    <x v="0"/>
    <s v="Dr. Emeka Okorie"/>
    <x v="1"/>
    <n v="23790.59"/>
    <s v="Atorvastatin"/>
    <n v="9"/>
    <n v="355"/>
    <n v="23.1"/>
    <s v="Abnormal"/>
    <x v="0"/>
  </r>
  <r>
    <x v="1387"/>
    <s v="Rebecca Aliyu"/>
    <n v="68"/>
    <x v="4"/>
    <x v="1"/>
    <s v="A+"/>
    <x v="6"/>
    <x v="2"/>
    <x v="250"/>
    <d v="2022-11-22T00:00:00"/>
    <n v="6"/>
    <s v="Federal Medical Centre Owerri"/>
    <x v="3"/>
    <s v="Dr. Yusuf Danjuma"/>
    <x v="0"/>
    <n v="19449.09"/>
    <s v="Ipratropium"/>
    <n v="5"/>
    <n v="301"/>
    <n v="23.7"/>
    <s v="Abnormal"/>
    <x v="0"/>
  </r>
  <r>
    <x v="1388"/>
    <s v="Chukwudi Smith"/>
    <n v="57"/>
    <x v="3"/>
    <x v="0"/>
    <s v="O+"/>
    <x v="2"/>
    <x v="1"/>
    <x v="731"/>
    <d v="2024-06-11T00:00:00"/>
    <n v="5"/>
    <s v="Federal Medical Centre Asaba"/>
    <x v="0"/>
    <s v="Dr. Rotimi Fashola"/>
    <x v="4"/>
    <n v="12067.21"/>
    <s v="Aspirin"/>
    <n v="9"/>
    <n v="199"/>
    <n v="26.3"/>
    <s v="Normal"/>
    <x v="0"/>
  </r>
  <r>
    <x v="1389"/>
    <s v="Bukola Okeke"/>
    <n v="85"/>
    <x v="1"/>
    <x v="1"/>
    <s v="A-"/>
    <x v="5"/>
    <x v="3"/>
    <x v="493"/>
    <d v="2022-09-01T00:00:00"/>
    <n v="14"/>
    <s v="Federal Medical Centre Asaba"/>
    <x v="0"/>
    <s v="Dr. Adewale Ogundimu"/>
    <x v="2"/>
    <n v="37932"/>
    <s v="Atorvastatin"/>
    <n v="10"/>
    <n v="304"/>
    <n v="36.9"/>
    <s v="Abnormal"/>
    <x v="0"/>
  </r>
  <r>
    <x v="1390"/>
    <s v="Rebecca Salami"/>
    <n v="53"/>
    <x v="5"/>
    <x v="1"/>
    <s v="AB+"/>
    <x v="1"/>
    <x v="2"/>
    <x v="782"/>
    <d v="2023-09-21T00:00:00"/>
    <n v="2"/>
    <s v="National Hospital Abuja"/>
    <x v="4"/>
    <s v="Dr. Chioma Nwankwo"/>
    <x v="3"/>
    <n v="39112.080000000002"/>
    <s v="Dapagliflozin"/>
    <n v="5"/>
    <n v="277"/>
    <n v="31.2"/>
    <s v="Normal"/>
    <x v="0"/>
  </r>
  <r>
    <x v="1391"/>
    <s v="Chiamaka Danjuma"/>
    <n v="68"/>
    <x v="4"/>
    <x v="1"/>
    <s v="O-"/>
    <x v="7"/>
    <x v="0"/>
    <x v="995"/>
    <d v="2024-08-03T00:00:00"/>
    <n v="4"/>
    <s v="National Hospital Abuja"/>
    <x v="4"/>
    <s v="Dr. Sarah Adeyemi"/>
    <x v="2"/>
    <n v="50579"/>
    <s v="Vitamin D"/>
    <n v="6"/>
    <n v="147"/>
    <n v="31.1"/>
    <s v="Abnormal"/>
    <x v="0"/>
  </r>
  <r>
    <x v="1392"/>
    <s v="Samuel Abubakar"/>
    <n v="49"/>
    <x v="5"/>
    <x v="0"/>
    <s v="A-"/>
    <x v="5"/>
    <x v="0"/>
    <x v="931"/>
    <d v="2019-12-03T00:00:00"/>
    <n v="10"/>
    <s v="University College Hospital Ibadan"/>
    <x v="1"/>
    <s v="Dr. Fatima Al-Hassan"/>
    <x v="1"/>
    <n v="52612.639999999999"/>
    <s v="Warfarin"/>
    <n v="10"/>
    <n v="348"/>
    <n v="33.1"/>
    <s v="Inconclusive"/>
    <x v="0"/>
  </r>
  <r>
    <x v="1393"/>
    <s v="Hauwa Chukwu"/>
    <n v="70"/>
    <x v="4"/>
    <x v="1"/>
    <s v="B+"/>
    <x v="6"/>
    <x v="0"/>
    <x v="185"/>
    <d v="2023-08-17T00:00:00"/>
    <n v="9"/>
    <s v="University of Calabar Teaching Hospital"/>
    <x v="0"/>
    <s v="Dr. Halima Usman"/>
    <x v="3"/>
    <n v="36979.85"/>
    <s v="Theophylline"/>
    <n v="5"/>
    <n v="344"/>
    <n v="23.8"/>
    <s v="Abnormal"/>
    <x v="0"/>
  </r>
  <r>
    <x v="1394"/>
    <s v="Mary Usman"/>
    <n v="91"/>
    <x v="1"/>
    <x v="1"/>
    <s v="AB+"/>
    <x v="3"/>
    <x v="3"/>
    <x v="12"/>
    <d v="2022-08-16T00:00:00"/>
    <n v="4"/>
    <s v="Federal Medical Centre Owerri"/>
    <x v="3"/>
    <s v="Dr. Lanre Ogundele"/>
    <x v="1"/>
    <n v="39170.199999999997"/>
    <s v="Enoxaparin"/>
    <n v="6"/>
    <n v="449"/>
    <m/>
    <s v="Abnormal"/>
    <x v="0"/>
  </r>
  <r>
    <x v="1395"/>
    <s v="Nnamdi Onuoha"/>
    <n v="56"/>
    <x v="3"/>
    <x v="0"/>
    <s v="B+"/>
    <x v="2"/>
    <x v="2"/>
    <x v="155"/>
    <d v="2019-11-20T00:00:00"/>
    <n v="4"/>
    <s v="Federal Medical Centre Birnin Kebbi"/>
    <x v="2"/>
    <s v="Dr. Zainab Sule"/>
    <x v="1"/>
    <n v="58308"/>
    <s v="Topiramate"/>
    <n v="8"/>
    <n v="145"/>
    <n v="19.399999999999999"/>
    <s v="Abnormal"/>
    <x v="0"/>
  </r>
  <r>
    <x v="1396"/>
    <s v="Elizabeth Abubakar"/>
    <n v="87"/>
    <x v="1"/>
    <x v="1"/>
    <s v="O-"/>
    <x v="0"/>
    <x v="3"/>
    <x v="996"/>
    <d v="2019-03-12T00:00:00"/>
    <n v="12"/>
    <s v="University of Calabar Teaching Hospital"/>
    <x v="0"/>
    <s v="Dr. Babatunde Fashola"/>
    <x v="4"/>
    <n v="111238"/>
    <s v="Cyclophosphamide"/>
    <n v="12"/>
    <n v="293"/>
    <n v="21.4"/>
    <s v="Inconclusive"/>
    <x v="0"/>
  </r>
  <r>
    <x v="1397"/>
    <s v="Nnamdi Obi"/>
    <n v="74"/>
    <x v="4"/>
    <x v="0"/>
    <s v="AB+"/>
    <x v="2"/>
    <x v="0"/>
    <x v="997"/>
    <d v="2019-08-26T00:00:00"/>
    <n v="7"/>
    <s v="Lagos University Teaching Hospital"/>
    <x v="1"/>
    <s v="Dr. Zainab Sule"/>
    <x v="1"/>
    <n v="82708.240000000005"/>
    <s v="Gabapentin"/>
    <n v="9"/>
    <n v="368"/>
    <n v="24.5"/>
    <s v="Abnormal"/>
    <x v="1"/>
  </r>
  <r>
    <x v="1398"/>
    <s v="Peter Adebayo"/>
    <n v="72"/>
    <x v="4"/>
    <x v="0"/>
    <s v="B-"/>
    <x v="5"/>
    <x v="0"/>
    <x v="998"/>
    <d v="2022-01-15T00:00:00"/>
    <n v="6"/>
    <s v="Federal Medical Centre Asaba"/>
    <x v="0"/>
    <s v="Dr. Emeka Okorie"/>
    <x v="1"/>
    <n v="62304"/>
    <s v="Amiodarone"/>
    <n v="10"/>
    <n v="354"/>
    <n v="24.4"/>
    <s v="Abnormal"/>
    <x v="1"/>
  </r>
  <r>
    <x v="1399"/>
    <s v="Funke Eze"/>
    <n v="43"/>
    <x v="5"/>
    <x v="1"/>
    <s v="AB+"/>
    <x v="2"/>
    <x v="0"/>
    <x v="999"/>
    <d v="2022-02-12T00:00:00"/>
    <n v="5"/>
    <s v="Aminu Kano Teaching Hospital"/>
    <x v="2"/>
    <s v="Dr. Olumide Abiodun"/>
    <x v="1"/>
    <n v="78198.759999999995"/>
    <s v="Phenytoin"/>
    <n v="8"/>
    <n v="374"/>
    <n v="32.9"/>
    <s v="Abnormal"/>
    <x v="0"/>
  </r>
  <r>
    <x v="1400"/>
    <s v="Oluwaseun Bello"/>
    <n v="70"/>
    <x v="4"/>
    <x v="0"/>
    <s v="O+"/>
    <x v="4"/>
    <x v="1"/>
    <x v="1000"/>
    <d v="2024-03-23T00:00:00"/>
    <n v="3"/>
    <s v="Bowen University Teaching Hospital"/>
    <x v="1"/>
    <s v="Dr. Aisha Bello"/>
    <x v="0"/>
    <n v="5952.44"/>
    <s v="Loperamide"/>
    <n v="5"/>
    <n v="198"/>
    <n v="31.5"/>
    <s v="Normal"/>
    <x v="0"/>
  </r>
  <r>
    <x v="1401"/>
    <s v="Michael Fashola"/>
    <n v="58"/>
    <x v="3"/>
    <x v="0"/>
    <s v="A+"/>
    <x v="6"/>
    <x v="0"/>
    <x v="350"/>
    <d v="2023-10-10T00:00:00"/>
    <n v="5"/>
    <s v="Lagos University Teaching Hospital"/>
    <x v="1"/>
    <s v="Dr. Halima Usman"/>
    <x v="0"/>
    <n v="30231"/>
    <s v="Azithromycin"/>
    <n v="7"/>
    <n v="341"/>
    <n v="23.3"/>
    <s v="Inconclusive"/>
    <x v="0"/>
  </r>
  <r>
    <x v="1402"/>
    <s v="Uche Abubakar"/>
    <n v="50"/>
    <x v="5"/>
    <x v="0"/>
    <s v="O+"/>
    <x v="0"/>
    <x v="1"/>
    <x v="1001"/>
    <d v="2021-03-30T00:00:00"/>
    <n v="18"/>
    <s v="University of Calabar Teaching Hospital"/>
    <x v="0"/>
    <s v="Dr. Babatunde Fashola"/>
    <x v="0"/>
    <n v="42203.86"/>
    <s v="Tamoxifen"/>
    <n v="10"/>
    <n v="132"/>
    <m/>
    <s v="Abnormal"/>
    <x v="1"/>
  </r>
  <r>
    <x v="1403"/>
    <s v="Uche Lawal"/>
    <n v="64"/>
    <x v="3"/>
    <x v="0"/>
    <s v="A-"/>
    <x v="5"/>
    <x v="0"/>
    <x v="234"/>
    <d v="2024-12-20T00:00:00"/>
    <n v="12"/>
    <s v="Aminu Kano Teaching Hospital"/>
    <x v="2"/>
    <s v="Dr. Fatima Al-Hassan"/>
    <x v="1"/>
    <n v="82318.649999999994"/>
    <s v="Warfarin"/>
    <n v="10"/>
    <n v="303"/>
    <n v="34.200000000000003"/>
    <s v="Abnormal"/>
    <x v="0"/>
  </r>
  <r>
    <x v="1404"/>
    <s v="Adenike Johnson"/>
    <n v="52"/>
    <x v="5"/>
    <x v="1"/>
    <s v="O+"/>
    <x v="4"/>
    <x v="2"/>
    <x v="970"/>
    <d v="2022-12-30T00:00:00"/>
    <n v="2"/>
    <s v="Lagos University Teaching Hospital"/>
    <x v="1"/>
    <s v="Dr. Nnamdi Okafor"/>
    <x v="1"/>
    <n v="34241.980000000003"/>
    <s v="Metronidazole"/>
    <n v="5"/>
    <n v="439"/>
    <n v="22.7"/>
    <s v="Normal"/>
    <x v="0"/>
  </r>
  <r>
    <x v="1405"/>
    <s v="Perpetua Davis"/>
    <n v="20"/>
    <x v="2"/>
    <x v="1"/>
    <s v="B-"/>
    <x v="0"/>
    <x v="1"/>
    <x v="1002"/>
    <d v="2023-02-19T00:00:00"/>
    <n v="15"/>
    <s v="Bowen University Teaching Hospital"/>
    <x v="1"/>
    <s v="Dr. Grace Oduya"/>
    <x v="0"/>
    <n v="36512.42"/>
    <s v="Paclitaxel"/>
    <n v="12"/>
    <n v="123"/>
    <n v="20.5"/>
    <s v="Abnormal"/>
    <x v="0"/>
  </r>
  <r>
    <x v="1406"/>
    <s v="Zainab Martin"/>
    <n v="73"/>
    <x v="4"/>
    <x v="1"/>
    <s v="B+"/>
    <x v="5"/>
    <x v="1"/>
    <x v="618"/>
    <d v="2021-12-25T00:00:00"/>
    <n v="7"/>
    <s v="Federal Medical Centre Asaba"/>
    <x v="0"/>
    <s v="Dr. Adewale Ogundimu"/>
    <x v="4"/>
    <n v="18568.599999999999"/>
    <s v="Aspirin"/>
    <n v="10"/>
    <n v="193"/>
    <n v="25.6"/>
    <s v="Abnormal"/>
    <x v="1"/>
  </r>
  <r>
    <x v="1407"/>
    <s v="Emmanuel Abiodun"/>
    <n v="39"/>
    <x v="5"/>
    <x v="0"/>
    <s v="O-"/>
    <x v="5"/>
    <x v="0"/>
    <x v="1003"/>
    <d v="2024-12-21T00:00:00"/>
    <n v="12"/>
    <s v="Federal Medical Centre Birnin Kebbi"/>
    <x v="2"/>
    <s v="Dr. Emeka Okorie"/>
    <x v="0"/>
    <n v="32766.19"/>
    <s v="Lisinopril"/>
    <n v="8"/>
    <n v="357"/>
    <n v="31.4"/>
    <s v="Abnormal"/>
    <x v="1"/>
  </r>
  <r>
    <x v="1408"/>
    <s v="Deborah Smith"/>
    <n v="36"/>
    <x v="5"/>
    <x v="1"/>
    <s v="AB-"/>
    <x v="5"/>
    <x v="0"/>
    <x v="157"/>
    <d v="2022-12-09T00:00:00"/>
    <n v="25"/>
    <s v="Ahmadu Bello University Teaching Hospital"/>
    <x v="2"/>
    <s v="Dr. Emeka Okorie"/>
    <x v="0"/>
    <n v="54055.67"/>
    <s v="Furosemide"/>
    <n v="10"/>
    <n v="308"/>
    <n v="28.6"/>
    <s v="Abnormal"/>
    <x v="0"/>
  </r>
  <r>
    <x v="1409"/>
    <s v="Rukayat Bello"/>
    <n v="74"/>
    <x v="4"/>
    <x v="1"/>
    <s v="O-"/>
    <x v="6"/>
    <x v="1"/>
    <x v="1004"/>
    <d v="2021-03-22T00:00:00"/>
    <n v="9"/>
    <s v="Federal Medical Centre Owerri"/>
    <x v="3"/>
    <s v="Dr. Yusuf Danjuma"/>
    <x v="4"/>
    <n v="20606.89"/>
    <s v="Tiotropium"/>
    <n v="6"/>
    <n v="141"/>
    <n v="33.700000000000003"/>
    <s v="Normal"/>
    <x v="0"/>
  </r>
  <r>
    <x v="1410"/>
    <s v="Sarah Adeleke"/>
    <n v="64"/>
    <x v="3"/>
    <x v="1"/>
    <s v="O+"/>
    <x v="2"/>
    <x v="0"/>
    <x v="1005"/>
    <d v="2020-07-27T00:00:00"/>
    <n v="11"/>
    <s v="National Hospital Abuja"/>
    <x v="4"/>
    <s v="Dr. Rotimi Fashola"/>
    <x v="0"/>
    <n v="102842.38"/>
    <s v="Valproate"/>
    <n v="9"/>
    <n v="323"/>
    <m/>
    <s v="Abnormal"/>
    <x v="0"/>
  </r>
  <r>
    <x v="1411"/>
    <s v="Kayode Adeyemi"/>
    <n v="70"/>
    <x v="4"/>
    <x v="0"/>
    <s v="A-"/>
    <x v="1"/>
    <x v="0"/>
    <x v="1006"/>
    <d v="2021-07-13T00:00:00"/>
    <n v="6"/>
    <s v="University College Hospital Ibadan"/>
    <x v="1"/>
    <s v="Dr. Taiwo Adeleke"/>
    <x v="0"/>
    <n v="32630.799999999999"/>
    <s v="Glibenclamide"/>
    <n v="8"/>
    <n v="361"/>
    <n v="28.6"/>
    <s v="Inconclusive"/>
    <x v="0"/>
  </r>
  <r>
    <x v="1412"/>
    <s v="Miriam Adeleke"/>
    <n v="67"/>
    <x v="4"/>
    <x v="1"/>
    <s v="B+"/>
    <x v="5"/>
    <x v="0"/>
    <x v="6"/>
    <d v="2020-12-20T00:00:00"/>
    <n v="9"/>
    <s v="University of Calabar Teaching Hospital"/>
    <x v="0"/>
    <s v="Dr. Fatima Al-Hassan"/>
    <x v="1"/>
    <n v="143761.75"/>
    <s v="Aspirin"/>
    <n v="9"/>
    <n v="386"/>
    <n v="30.5"/>
    <s v="Abnormal"/>
    <x v="0"/>
  </r>
  <r>
    <x v="1413"/>
    <s v="Gbenga Johnson"/>
    <n v="20"/>
    <x v="2"/>
    <x v="0"/>
    <s v="O-"/>
    <x v="7"/>
    <x v="1"/>
    <x v="386"/>
    <d v="2021-08-09T00:00:00"/>
    <n v="3"/>
    <s v="National Hospital Abuja"/>
    <x v="4"/>
    <s v="Dr. Chukwuemeka Nwosu"/>
    <x v="0"/>
    <n v="17159"/>
    <s v="Calcium"/>
    <n v="4"/>
    <n v="107"/>
    <n v="19.5"/>
    <s v="Normal"/>
    <x v="0"/>
  </r>
  <r>
    <x v="1414"/>
    <s v="Tolulope Igwe"/>
    <n v="59"/>
    <x v="3"/>
    <x v="1"/>
    <s v="A+"/>
    <x v="6"/>
    <x v="0"/>
    <x v="449"/>
    <d v="2022-04-26T00:00:00"/>
    <n v="6"/>
    <s v="Federal Medical Centre Owerri"/>
    <x v="3"/>
    <s v="Dr. Halima Usman"/>
    <x v="0"/>
    <n v="44218.66"/>
    <s v="Azithromycin"/>
    <n v="7"/>
    <n v="347"/>
    <n v="41.5"/>
    <s v="Abnormal"/>
    <x v="0"/>
  </r>
  <r>
    <x v="1415"/>
    <s v="Ngozi Anderson"/>
    <n v="87"/>
    <x v="1"/>
    <x v="1"/>
    <s v="O-"/>
    <x v="3"/>
    <x v="2"/>
    <x v="19"/>
    <d v="2020-02-20T00:00:00"/>
    <n v="4"/>
    <s v="Federal Medical Centre Asaba"/>
    <x v="0"/>
    <s v="Dr. Precious Obi"/>
    <x v="1"/>
    <n v="49846.559999999998"/>
    <s v="Ondansetron"/>
    <n v="6"/>
    <n v="309"/>
    <n v="24.8"/>
    <s v="Inconclusive"/>
    <x v="0"/>
  </r>
  <r>
    <x v="1416"/>
    <s v="Mariam Johnson"/>
    <n v="78"/>
    <x v="1"/>
    <x v="1"/>
    <s v="O-"/>
    <x v="1"/>
    <x v="0"/>
    <x v="518"/>
    <d v="2024-11-21T00:00:00"/>
    <n v="6"/>
    <s v="Federal Medical Centre Owerri"/>
    <x v="3"/>
    <s v="Dr. Taiwo Adeleke"/>
    <x v="1"/>
    <n v="36176"/>
    <s v="Sitagliptin"/>
    <n v="8"/>
    <n v="407"/>
    <n v="32"/>
    <s v="Abnormal"/>
    <x v="0"/>
  </r>
  <r>
    <x v="1417"/>
    <s v="Rebecca Martin"/>
    <n v="58"/>
    <x v="3"/>
    <x v="1"/>
    <s v="O-"/>
    <x v="0"/>
    <x v="1"/>
    <x v="308"/>
    <d v="2024-05-06T00:00:00"/>
    <n v="13"/>
    <s v="Federal Medical Centre Birnin Kebbi"/>
    <x v="2"/>
    <s v="Dr. Grace Oduya"/>
    <x v="1"/>
    <n v="32292.46"/>
    <s v="Rituximab"/>
    <n v="10"/>
    <n v="120"/>
    <n v="14.9"/>
    <s v="Abnormal"/>
    <x v="0"/>
  </r>
  <r>
    <x v="1418"/>
    <s v="Samuel Fashola"/>
    <n v="72"/>
    <x v="4"/>
    <x v="0"/>
    <s v="B-"/>
    <x v="6"/>
    <x v="0"/>
    <x v="1007"/>
    <d v="2024-06-21T00:00:00"/>
    <n v="11"/>
    <s v="University of Calabar Teaching Hospital"/>
    <x v="0"/>
    <s v="Dr. Yusuf Danjuma"/>
    <x v="4"/>
    <n v="33253.760000000002"/>
    <s v="Ipratropium"/>
    <n v="7"/>
    <n v="377"/>
    <n v="30.9"/>
    <s v="Abnormal"/>
    <x v="1"/>
  </r>
  <r>
    <x v="1419"/>
    <s v="Oluwaseun Okonkwo"/>
    <n v="86"/>
    <x v="1"/>
    <x v="0"/>
    <s v="A+"/>
    <x v="5"/>
    <x v="0"/>
    <x v="802"/>
    <d v="2021-09-02T00:00:00"/>
    <n v="7"/>
    <s v="Bowen University Teaching Hospital"/>
    <x v="1"/>
    <s v="Dr. Fatima Al-Hassan"/>
    <x v="3"/>
    <n v="86170"/>
    <s v="Warfarin"/>
    <n v="7"/>
    <n v="373"/>
    <n v="30.2"/>
    <s v="Abnormal"/>
    <x v="1"/>
  </r>
  <r>
    <x v="1420"/>
    <s v="Kunle Osagie"/>
    <n v="46"/>
    <x v="5"/>
    <x v="0"/>
    <s v="B+"/>
    <x v="1"/>
    <x v="1"/>
    <x v="1008"/>
    <d v="2020-10-10T00:00:00"/>
    <n v="10"/>
    <s v="University College Hospital Ibadan"/>
    <x v="1"/>
    <s v="Dr. Taiwo Adeleke"/>
    <x v="0"/>
    <n v="9291"/>
    <s v="Liraglutide"/>
    <n v="8"/>
    <n v="199"/>
    <n v="35.6"/>
    <s v="Abnormal"/>
    <x v="1"/>
  </r>
  <r>
    <x v="1421"/>
    <s v="Adewale Lawal"/>
    <n v="68"/>
    <x v="4"/>
    <x v="0"/>
    <s v="AB+"/>
    <x v="0"/>
    <x v="1"/>
    <x v="19"/>
    <d v="2020-02-23T00:00:00"/>
    <n v="7"/>
    <s v="Ahmadu Bello University Teaching Hospital"/>
    <x v="2"/>
    <s v="Dr. Grace Oduya"/>
    <x v="2"/>
    <n v="20216.689999999999"/>
    <s v="Carboplatin"/>
    <n v="12"/>
    <n v="175"/>
    <n v="18"/>
    <s v="Abnormal"/>
    <x v="0"/>
  </r>
  <r>
    <x v="1422"/>
    <s v="Uche Abiodun"/>
    <n v="72"/>
    <x v="4"/>
    <x v="0"/>
    <s v="AB+"/>
    <x v="0"/>
    <x v="2"/>
    <x v="1009"/>
    <d v="2020-06-15T00:00:00"/>
    <n v="17"/>
    <s v="Lagos University Teaching Hospital"/>
    <x v="1"/>
    <s v="Dr. Amara Osei"/>
    <x v="0"/>
    <n v="57470.82"/>
    <s v="Filgrastim"/>
    <n v="12"/>
    <n v="460"/>
    <m/>
    <s v="Abnormal"/>
    <x v="0"/>
  </r>
  <r>
    <x v="1423"/>
    <s v="Bukola Adeyemi"/>
    <n v="60"/>
    <x v="3"/>
    <x v="1"/>
    <s v="AB-"/>
    <x v="2"/>
    <x v="0"/>
    <x v="649"/>
    <d v="2021-09-19T00:00:00"/>
    <n v="19"/>
    <s v="National Hospital Abuja"/>
    <x v="4"/>
    <s v="Dr. Olumide Abiodun"/>
    <x v="4"/>
    <n v="47542.77"/>
    <s v="Aspirin"/>
    <n v="9"/>
    <n v="320"/>
    <n v="32.5"/>
    <s v="Normal"/>
    <x v="0"/>
  </r>
  <r>
    <x v="1424"/>
    <s v="Hauwa Adeleke"/>
    <n v="68"/>
    <x v="4"/>
    <x v="1"/>
    <s v="AB-"/>
    <x v="2"/>
    <x v="0"/>
    <x v="1010"/>
    <d v="2024-02-18T00:00:00"/>
    <n v="10"/>
    <s v="University College Hospital Ibadan"/>
    <x v="1"/>
    <s v="Dr. Olumide Abiodun"/>
    <x v="0"/>
    <n v="58532.54"/>
    <s v="Valproate"/>
    <n v="9"/>
    <n v="367"/>
    <n v="19.7"/>
    <s v="Normal"/>
    <x v="0"/>
  </r>
  <r>
    <x v="1425"/>
    <s v="Zainab Osagie"/>
    <n v="63"/>
    <x v="3"/>
    <x v="1"/>
    <s v="A-"/>
    <x v="1"/>
    <x v="0"/>
    <x v="442"/>
    <d v="2023-02-26T00:00:00"/>
    <n v="4"/>
    <s v="University College Hospital Ibadan"/>
    <x v="1"/>
    <s v="Dr. Chioma Nwankwo"/>
    <x v="3"/>
    <n v="51174.12"/>
    <s v="Insulin Glargine"/>
    <n v="7"/>
    <n v="386"/>
    <n v="24.2"/>
    <s v="Normal"/>
    <x v="0"/>
  </r>
  <r>
    <x v="1426"/>
    <s v="Stella Salami"/>
    <n v="53"/>
    <x v="5"/>
    <x v="1"/>
    <s v="A+"/>
    <x v="1"/>
    <x v="1"/>
    <x v="411"/>
    <d v="2020-02-15T00:00:00"/>
    <n v="6"/>
    <s v="Federal Medical Centre Owerri"/>
    <x v="3"/>
    <s v="Dr. Chioma Nwankwo"/>
    <x v="0"/>
    <n v="21032.63"/>
    <s v="Sitagliptin"/>
    <n v="7"/>
    <n v="182"/>
    <n v="39.9"/>
    <s v="Abnormal"/>
    <x v="0"/>
  </r>
  <r>
    <x v="1427"/>
    <s v="Kunle Okafor"/>
    <n v="58"/>
    <x v="3"/>
    <x v="0"/>
    <s v="B+"/>
    <x v="5"/>
    <x v="0"/>
    <x v="1011"/>
    <d v="2019-05-02T00:00:00"/>
    <n v="5"/>
    <s v="Aminu Kano Teaching Hospital"/>
    <x v="2"/>
    <s v="Dr. Adewale Ogundimu"/>
    <x v="1"/>
    <n v="153124.17000000001"/>
    <s v="Lisinopril"/>
    <n v="10"/>
    <n v="337"/>
    <n v="32.4"/>
    <s v="Abnormal"/>
    <x v="0"/>
  </r>
  <r>
    <x v="1428"/>
    <s v="Biodun Nwosu"/>
    <n v="66"/>
    <x v="4"/>
    <x v="0"/>
    <s v="O+"/>
    <x v="1"/>
    <x v="1"/>
    <x v="1012"/>
    <d v="2023-10-15T00:00:00"/>
    <n v="3"/>
    <s v="Federal Medical Centre Birnin Kebbi"/>
    <x v="2"/>
    <s v="Dr. Taiwo Adeleke"/>
    <x v="4"/>
    <n v="9296.65"/>
    <s v="Glibenclamide"/>
    <n v="8"/>
    <n v="147"/>
    <n v="40.5"/>
    <s v="Abnormal"/>
    <x v="0"/>
  </r>
  <r>
    <x v="1429"/>
    <s v="Gbenga Chukwu"/>
    <n v="63"/>
    <x v="3"/>
    <x v="0"/>
    <s v="B-"/>
    <x v="6"/>
    <x v="0"/>
    <x v="1013"/>
    <d v="2020-01-15T00:00:00"/>
    <n v="6"/>
    <s v="Aminu Kano Teaching Hospital"/>
    <x v="2"/>
    <s v="Dr. Halima Usman"/>
    <x v="3"/>
    <n v="41762.94"/>
    <s v="Salbutamol"/>
    <n v="7"/>
    <n v="317"/>
    <n v="18.100000000000001"/>
    <s v="Abnormal"/>
    <x v="0"/>
  </r>
  <r>
    <x v="1430"/>
    <s v="Halima Eze"/>
    <n v="81"/>
    <x v="1"/>
    <x v="1"/>
    <s v="A-"/>
    <x v="7"/>
    <x v="1"/>
    <x v="936"/>
    <d v="2024-02-11T00:00:00"/>
    <n v="6"/>
    <s v="University College Hospital Ibadan"/>
    <x v="1"/>
    <s v="Dr. Musa Aliyu"/>
    <x v="0"/>
    <n v="15454.56"/>
    <s v="Enoxaparin"/>
    <n v="4"/>
    <n v="138"/>
    <n v="23.8"/>
    <s v="Inconclusive"/>
    <x v="0"/>
  </r>
  <r>
    <x v="1431"/>
    <s v="Uche Bankole"/>
    <n v="58"/>
    <x v="3"/>
    <x v="0"/>
    <s v="B+"/>
    <x v="5"/>
    <x v="0"/>
    <x v="1014"/>
    <d v="2023-05-05T00:00:00"/>
    <n v="13"/>
    <s v="Ahmadu Bello University Teaching Hospital"/>
    <x v="2"/>
    <s v="Dr. Emeka Okorie"/>
    <x v="4"/>
    <n v="76067.990000000005"/>
    <s v="Furosemide"/>
    <n v="9"/>
    <n v="321"/>
    <n v="24.3"/>
    <s v="Normal"/>
    <x v="0"/>
  </r>
  <r>
    <x v="1432"/>
    <s v="Emmanuel Oni"/>
    <n v="86"/>
    <x v="1"/>
    <x v="0"/>
    <s v="A-"/>
    <x v="6"/>
    <x v="2"/>
    <x v="436"/>
    <d v="2023-06-22T00:00:00"/>
    <n v="3"/>
    <s v="Federal Medical Centre Owerri"/>
    <x v="3"/>
    <s v="Dr. Ngozi Eze-Williams"/>
    <x v="0"/>
    <n v="14105"/>
    <s v="Tiotropium"/>
    <n v="7"/>
    <n v="427"/>
    <n v="33.200000000000003"/>
    <s v="Inconclusive"/>
    <x v="1"/>
  </r>
  <r>
    <x v="1433"/>
    <s v="Nnamdi Aliyu"/>
    <n v="13"/>
    <x v="0"/>
    <x v="0"/>
    <s v="O-"/>
    <x v="5"/>
    <x v="1"/>
    <x v="787"/>
    <d v="2019-04-26T00:00:00"/>
    <n v="6"/>
    <s v="Aminu Kano Teaching Hospital"/>
    <x v="2"/>
    <s v="Dr. Fatima Al-Hassan"/>
    <x v="1"/>
    <n v="37711.410000000003"/>
    <s v="Warfarin"/>
    <n v="6"/>
    <n v="172"/>
    <n v="30.5"/>
    <s v="Abnormal"/>
    <x v="0"/>
  </r>
  <r>
    <x v="1434"/>
    <s v="Kemi Bello"/>
    <n v="57"/>
    <x v="3"/>
    <x v="1"/>
    <s v="O-"/>
    <x v="6"/>
    <x v="0"/>
    <x v="747"/>
    <d v="2024-11-22T00:00:00"/>
    <n v="5"/>
    <s v="University of Calabar Teaching Hospital"/>
    <x v="0"/>
    <s v="Dr. Ngozi Eze-Williams"/>
    <x v="0"/>
    <n v="27415.9"/>
    <s v="Salbutamol"/>
    <n v="6"/>
    <n v="333"/>
    <n v="21.1"/>
    <s v="Normal"/>
    <x v="1"/>
  </r>
  <r>
    <x v="1435"/>
    <s v="Sarah Onuoha"/>
    <n v="40"/>
    <x v="5"/>
    <x v="1"/>
    <s v="O-"/>
    <x v="0"/>
    <x v="1"/>
    <x v="1015"/>
    <d v="2021-06-13T00:00:00"/>
    <n v="8"/>
    <s v="Federal Medical Centre Birnin Kebbi"/>
    <x v="2"/>
    <s v="Dr. Amara Osei"/>
    <x v="1"/>
    <n v="101953.82"/>
    <s v="Rituximab"/>
    <n v="12"/>
    <n v="123"/>
    <n v="14"/>
    <s v="Abnormal"/>
    <x v="0"/>
  </r>
  <r>
    <x v="1436"/>
    <s v="Michael Adeleke"/>
    <n v="66"/>
    <x v="4"/>
    <x v="0"/>
    <s v="B-"/>
    <x v="5"/>
    <x v="1"/>
    <x v="54"/>
    <d v="2022-04-04T00:00:00"/>
    <n v="6"/>
    <s v="National Hospital Abuja"/>
    <x v="4"/>
    <s v="Dr. Adewale Ogundimu"/>
    <x v="1"/>
    <n v="29390.080000000002"/>
    <s v="Amlodipine"/>
    <n v="9"/>
    <n v="162"/>
    <m/>
    <s v="Inconclusive"/>
    <x v="0"/>
  </r>
  <r>
    <x v="1437"/>
    <s v="Ruth Martin"/>
    <n v="55"/>
    <x v="3"/>
    <x v="1"/>
    <s v="O-"/>
    <x v="1"/>
    <x v="1"/>
    <x v="1016"/>
    <d v="2020-12-08T00:00:00"/>
    <n v="3"/>
    <s v="Ahmadu Bello University Teaching Hospital"/>
    <x v="2"/>
    <s v="Dr. Chioma Nwankwo"/>
    <x v="3"/>
    <n v="19875"/>
    <s v="Liraglutide"/>
    <n v="8"/>
    <n v="127"/>
    <n v="29.6"/>
    <s v="Abnormal"/>
    <x v="1"/>
  </r>
  <r>
    <x v="1438"/>
    <s v="Mariam Fashola"/>
    <n v="66"/>
    <x v="4"/>
    <x v="1"/>
    <s v="A-"/>
    <x v="6"/>
    <x v="0"/>
    <x v="190"/>
    <d v="2019-03-04T00:00:00"/>
    <n v="8"/>
    <s v="Bowen University Teaching Hospital"/>
    <x v="1"/>
    <s v="Dr. Ngozi Eze-Williams"/>
    <x v="2"/>
    <n v="45660.14"/>
    <s v="Salbutamol"/>
    <n v="7"/>
    <n v="325"/>
    <n v="38.799999999999997"/>
    <s v="Abnormal"/>
    <x v="0"/>
  </r>
  <r>
    <x v="1439"/>
    <s v="Ruth Ibrahim"/>
    <n v="88"/>
    <x v="1"/>
    <x v="1"/>
    <s v="B+"/>
    <x v="2"/>
    <x v="0"/>
    <x v="423"/>
    <d v="2023-10-21T00:00:00"/>
    <n v="11"/>
    <s v="National Hospital Abuja"/>
    <x v="4"/>
    <s v="Dr. Zainab Sule"/>
    <x v="0"/>
    <n v="51613.279999999999"/>
    <s v="Donepezil"/>
    <n v="9"/>
    <n v="302"/>
    <n v="14"/>
    <s v="Abnormal"/>
    <x v="1"/>
  </r>
  <r>
    <x v="1440"/>
    <s v="Suleiman Musa"/>
    <n v="74"/>
    <x v="4"/>
    <x v="0"/>
    <s v="AB+"/>
    <x v="4"/>
    <x v="1"/>
    <x v="544"/>
    <d v="2024-10-26T00:00:00"/>
    <n v="3"/>
    <s v="Federal Medical Centre Owerri"/>
    <x v="3"/>
    <s v="Dr. Nnamdi Okafor"/>
    <x v="3"/>
    <n v="20850.68"/>
    <s v="Ciprofloxacin"/>
    <n v="3"/>
    <n v="153"/>
    <n v="35.5"/>
    <s v="Normal"/>
    <x v="0"/>
  </r>
  <r>
    <x v="1441"/>
    <s v="Emmanuel Dauda"/>
    <n v="60"/>
    <x v="3"/>
    <x v="0"/>
    <s v=""/>
    <x v="5"/>
    <x v="0"/>
    <x v="641"/>
    <d v="2020-01-07T00:00:00"/>
    <n v="14"/>
    <s v="Ahmadu Bello University Teaching Hospital"/>
    <x v="2"/>
    <s v="Dr. Emeka Okorie"/>
    <x v="0"/>
    <n v="98107.39"/>
    <s v="Digoxin"/>
    <n v="10"/>
    <n v="329"/>
    <n v="28.2"/>
    <s v="Abnormal"/>
    <x v="0"/>
  </r>
  <r>
    <x v="1442"/>
    <s v="Bashir Musa"/>
    <n v="61"/>
    <x v="3"/>
    <x v="0"/>
    <s v="AB+"/>
    <x v="6"/>
    <x v="0"/>
    <x v="833"/>
    <d v="2019-10-27T00:00:00"/>
    <n v="12"/>
    <s v="Federal Medical Centre Birnin Kebbi"/>
    <x v="2"/>
    <s v="Dr. Halima Usman"/>
    <x v="2"/>
    <n v="26020.16"/>
    <s v="Ipratropium"/>
    <n v="7"/>
    <n v="359"/>
    <n v="25.3"/>
    <s v="Abnormal"/>
    <x v="0"/>
  </r>
  <r>
    <x v="1443"/>
    <s v="Nnamdi Bankole"/>
    <n v="66"/>
    <x v="4"/>
    <x v="0"/>
    <s v="AB+"/>
    <x v="2"/>
    <x v="1"/>
    <x v="1017"/>
    <d v="2024-03-26T00:00:00"/>
    <n v="10"/>
    <s v="Federal Medical Centre Birnin Kebbi"/>
    <x v="2"/>
    <s v="Dr. Rotimi Fashola"/>
    <x v="0"/>
    <n v="21729.18"/>
    <s v="Valproate"/>
    <n v="9"/>
    <n v="139"/>
    <n v="24.6"/>
    <s v="Normal"/>
    <x v="1"/>
  </r>
  <r>
    <x v="1444"/>
    <s v="Emeka Bello"/>
    <n v="18"/>
    <x v="2"/>
    <x v="0"/>
    <s v="O+"/>
    <x v="4"/>
    <x v="2"/>
    <x v="1018"/>
    <d v="2022-04-19T00:00:00"/>
    <n v="1"/>
    <s v="Federal Medical Centre Asaba"/>
    <x v="0"/>
    <s v="Dr. Aisha Bello"/>
    <x v="0"/>
    <n v="8820.2900000000009"/>
    <s v="Loperamide"/>
    <n v="4"/>
    <n v="443"/>
    <n v="26.7"/>
    <s v="Normal"/>
    <x v="0"/>
  </r>
  <r>
    <x v="1445"/>
    <s v="Adaeze Lawal"/>
    <n v="82"/>
    <x v="1"/>
    <x v="1"/>
    <s v="A-"/>
    <x v="7"/>
    <x v="0"/>
    <x v="161"/>
    <m/>
    <m/>
    <s v="Aminu Kano Teaching Hospital"/>
    <x v="2"/>
    <s v="Dr. Chukwuemeka Nwosu"/>
    <x v="1"/>
    <n v="86997.29"/>
    <s v="Enoxaparin"/>
    <n v="6"/>
    <n v="469"/>
    <n v="23.5"/>
    <s v="Abnormal"/>
    <x v="0"/>
  </r>
  <r>
    <x v="1446"/>
    <s v="Elizabeth Wilson"/>
    <n v="24"/>
    <x v="2"/>
    <x v="1"/>
    <s v="B-"/>
    <x v="0"/>
    <x v="1"/>
    <x v="1019"/>
    <d v="2020-07-29T00:00:00"/>
    <n v="14"/>
    <s v="Bowen University Teaching Hospital"/>
    <x v="1"/>
    <s v="Dr. Grace Oduya"/>
    <x v="2"/>
    <n v="20420"/>
    <s v="Carboplatin"/>
    <n v="12"/>
    <n v="167"/>
    <n v="20.6"/>
    <s v="Normal"/>
    <x v="0"/>
  </r>
  <r>
    <x v="1447"/>
    <s v="Amaka Nwosu"/>
    <n v="71"/>
    <x v="4"/>
    <x v="1"/>
    <s v="B-"/>
    <x v="4"/>
    <x v="0"/>
    <x v="460"/>
    <d v="2024-08-25T00:00:00"/>
    <n v="3"/>
    <s v="National Hospital Abuja"/>
    <x v="4"/>
    <s v="Dr. Nnamdi Okafor"/>
    <x v="1"/>
    <n v="20979"/>
    <s v="Ciprofloxacin"/>
    <n v="5"/>
    <n v="472"/>
    <n v="33.9"/>
    <s v="Normal"/>
    <x v="0"/>
  </r>
  <r>
    <x v="1448"/>
    <s v="Stella Bello"/>
    <n v="73"/>
    <x v="4"/>
    <x v="1"/>
    <s v="AB+"/>
    <x v="6"/>
    <x v="0"/>
    <x v="1020"/>
    <d v="2022-04-20T00:00:00"/>
    <n v="6"/>
    <s v="Bowen University Teaching Hospital"/>
    <x v="1"/>
    <s v="Dr. Ngozi Eze-Williams"/>
    <x v="1"/>
    <n v="76855.95"/>
    <s v="Montelukast"/>
    <n v="3"/>
    <n v="337"/>
    <n v="34.1"/>
    <s v="Abnormal"/>
    <x v="0"/>
  </r>
  <r>
    <x v="1449"/>
    <s v="Adenike Lawal"/>
    <n v="11"/>
    <x v="0"/>
    <x v="1"/>
    <s v=""/>
    <x v="5"/>
    <x v="0"/>
    <x v="761"/>
    <d v="2024-12-16T00:00:00"/>
    <n v="14"/>
    <s v="Aminu Kano Teaching Hospital"/>
    <x v="2"/>
    <s v="Dr. Fatima Al-Hassan"/>
    <x v="4"/>
    <n v="10677.73"/>
    <s v="Warfarin"/>
    <n v="9"/>
    <n v="383"/>
    <n v="32.4"/>
    <s v="Abnormal"/>
    <x v="0"/>
  </r>
  <r>
    <x v="1450"/>
    <s v="Biodun Abiodun"/>
    <n v="70"/>
    <x v="4"/>
    <x v="0"/>
    <s v="B+"/>
    <x v="6"/>
    <x v="0"/>
    <x v="299"/>
    <d v="2022-07-03T00:00:00"/>
    <n v="4"/>
    <s v="Aminu Kano Teaching Hospital"/>
    <x v="2"/>
    <s v="Dr. Yusuf Danjuma"/>
    <x v="1"/>
    <n v="27989.84"/>
    <s v="Theophylline"/>
    <n v="7"/>
    <n v="343"/>
    <n v="17"/>
    <s v="Abnormal"/>
    <x v="0"/>
  </r>
  <r>
    <x v="1451"/>
    <s v="Yusuf Akintola"/>
    <n v="66"/>
    <x v="4"/>
    <x v="0"/>
    <s v="A-"/>
    <x v="1"/>
    <x v="1"/>
    <x v="1021"/>
    <d v="2019-12-16T00:00:00"/>
    <n v="6"/>
    <s v="Federal Medical Centre Birnin Kebbi"/>
    <x v="2"/>
    <s v="Dr. Ibrahim Musa"/>
    <x v="0"/>
    <n v="18105.45"/>
    <s v="Dapagliflozin"/>
    <n v="8"/>
    <n v="100"/>
    <n v="22.8"/>
    <s v="Normal"/>
    <x v="1"/>
  </r>
  <r>
    <x v="1452"/>
    <s v="Nneka Taylor"/>
    <n v="62"/>
    <x v="3"/>
    <x v="1"/>
    <s v="AB+"/>
    <x v="1"/>
    <x v="1"/>
    <x v="958"/>
    <d v="2023-12-14T00:00:00"/>
    <n v="7"/>
    <s v="Aminu Kano Teaching Hospital"/>
    <x v="2"/>
    <s v="Dr. Taiwo Adeleke"/>
    <x v="0"/>
    <n v="10658.75"/>
    <s v="Glibenclamide"/>
    <n v="6"/>
    <n v="136"/>
    <n v="42.3"/>
    <s v="Inconclusive"/>
    <x v="0"/>
  </r>
  <r>
    <x v="1453"/>
    <s v="Rachel Abubakar"/>
    <n v="30"/>
    <x v="2"/>
    <x v="1"/>
    <s v="O-"/>
    <x v="4"/>
    <x v="0"/>
    <x v="771"/>
    <d v="2024-10-26T00:00:00"/>
    <n v="4"/>
    <s v="Lagos University Teaching Hospital"/>
    <x v="1"/>
    <s v="Dr. Nnamdi Okafor"/>
    <x v="0"/>
    <n v="8742.99"/>
    <s v="Ciprofloxacin"/>
    <n v="4"/>
    <n v="417"/>
    <n v="24.6"/>
    <s v="Normal"/>
    <x v="0"/>
  </r>
  <r>
    <x v="1454"/>
    <s v="Rukayat Okeke"/>
    <n v="60"/>
    <x v="3"/>
    <x v="1"/>
    <s v="AB-"/>
    <x v="6"/>
    <x v="2"/>
    <x v="820"/>
    <d v="2024-01-26T00:00:00"/>
    <n v="5"/>
    <s v="Aminu Kano Teaching Hospital"/>
    <x v="2"/>
    <s v="Dr. Yusuf Danjuma"/>
    <x v="1"/>
    <n v="16884.12"/>
    <s v="Azithromycin"/>
    <n v="7"/>
    <n v="461"/>
    <n v="31.8"/>
    <s v="Inconclusive"/>
    <x v="0"/>
  </r>
  <r>
    <x v="1455"/>
    <s v="Ibrahim Abiodun"/>
    <n v="71"/>
    <x v="4"/>
    <x v="0"/>
    <s v="AB-"/>
    <x v="6"/>
    <x v="0"/>
    <x v="1022"/>
    <d v="2023-04-19T00:00:00"/>
    <n v="6"/>
    <s v="University College Hospital Ibadan"/>
    <x v="1"/>
    <s v="Dr. Ngozi Eze-Williams"/>
    <x v="2"/>
    <n v="47167.08"/>
    <s v="Salbutamol"/>
    <n v="6"/>
    <n v="326"/>
    <n v="29.9"/>
    <s v="Inconclusive"/>
    <x v="0"/>
  </r>
  <r>
    <x v="1456"/>
    <s v="Abdullahi Okafor"/>
    <n v="43"/>
    <x v="5"/>
    <x v="0"/>
    <s v="B+"/>
    <x v="6"/>
    <x v="0"/>
    <x v="1023"/>
    <d v="2022-07-08T00:00:00"/>
    <n v="11"/>
    <s v="Federal Medical Centre Owerri"/>
    <x v="3"/>
    <s v="Dr. Ngozi Eze-Williams"/>
    <x v="0"/>
    <n v="26562.17"/>
    <s v="Tiotropium"/>
    <n v="7"/>
    <n v="312"/>
    <n v="21"/>
    <s v="Abnormal"/>
    <x v="0"/>
  </r>
  <r>
    <x v="1457"/>
    <s v="Grace Fashola"/>
    <n v="54"/>
    <x v="5"/>
    <x v="1"/>
    <s v="A-"/>
    <x v="2"/>
    <x v="0"/>
    <x v="291"/>
    <d v="2023-02-02T00:00:00"/>
    <n v="11"/>
    <s v="Lagos University Teaching Hospital"/>
    <x v="1"/>
    <s v="Dr. Rotimi Fashola"/>
    <x v="0"/>
    <n v="22298.35"/>
    <s v="Aspirin"/>
    <n v="8"/>
    <n v="366"/>
    <n v="22.1"/>
    <s v="Abnormal"/>
    <x v="1"/>
  </r>
  <r>
    <x v="1458"/>
    <s v="Musa Dauda"/>
    <n v="88"/>
    <x v="1"/>
    <x v="0"/>
    <s v="AB-"/>
    <x v="2"/>
    <x v="1"/>
    <x v="261"/>
    <d v="2024-03-17T00:00:00"/>
    <n v="15"/>
    <s v="Ahmadu Bello University Teaching Hospital"/>
    <x v="2"/>
    <s v="Dr. Rotimi Fashola"/>
    <x v="0"/>
    <n v="56396.92"/>
    <s v="Aspirin"/>
    <n v="9"/>
    <n v="116"/>
    <n v="15.7"/>
    <s v="Normal"/>
    <x v="0"/>
  </r>
  <r>
    <x v="1459"/>
    <s v="Esther Bankole"/>
    <n v="41"/>
    <x v="5"/>
    <x v="1"/>
    <s v="O-"/>
    <x v="2"/>
    <x v="0"/>
    <x v="934"/>
    <d v="2025-01-17T00:00:00"/>
    <n v="17"/>
    <s v="Bowen University Teaching Hospital"/>
    <x v="1"/>
    <s v="Dr. Rotimi Fashola"/>
    <x v="0"/>
    <n v="38874.620000000003"/>
    <s v="Gabapentin"/>
    <n v="9"/>
    <n v="337"/>
    <n v="26.9"/>
    <s v="Inconclusive"/>
    <x v="0"/>
  </r>
  <r>
    <x v="1460"/>
    <s v="Segun Fashola"/>
    <n v="50"/>
    <x v="5"/>
    <x v="0"/>
    <s v="O+"/>
    <x v="1"/>
    <x v="2"/>
    <x v="730"/>
    <d v="2024-04-17T00:00:00"/>
    <n v="4"/>
    <s v="Bowen University Teaching Hospital"/>
    <x v="1"/>
    <s v="Dr. Ibrahim Musa"/>
    <x v="2"/>
    <n v="14099.12"/>
    <s v="Dapagliflozin"/>
    <n v="7"/>
    <n v="379"/>
    <n v="28.3"/>
    <s v="Abnormal"/>
    <x v="0"/>
  </r>
  <r>
    <x v="1461"/>
    <s v="Ifeanyi Moore"/>
    <n v="37"/>
    <x v="5"/>
    <x v="0"/>
    <s v="AB+"/>
    <x v="1"/>
    <x v="0"/>
    <x v="1024"/>
    <d v="2023-02-24T00:00:00"/>
    <n v="6"/>
    <s v="Ahmadu Bello University Teaching Hospital"/>
    <x v="2"/>
    <s v="Dr. Ibrahim Musa"/>
    <x v="0"/>
    <n v="32819.67"/>
    <s v="Dapagliflozin"/>
    <n v="8"/>
    <n v="476"/>
    <n v="28.3"/>
    <s v="Abnormal"/>
    <x v="0"/>
  </r>
  <r>
    <x v="1462"/>
    <s v="Kemi Okafor"/>
    <n v="78"/>
    <x v="1"/>
    <x v="1"/>
    <s v="AB-"/>
    <x v="0"/>
    <x v="1"/>
    <x v="1025"/>
    <d v="2024-01-10T00:00:00"/>
    <n v="7"/>
    <s v="Federal Medical Centre Owerri"/>
    <x v="3"/>
    <s v="Dr. Grace Oduya"/>
    <x v="0"/>
    <n v="74949.509999999995"/>
    <s v="Carboplatin"/>
    <n v="12"/>
    <n v="134"/>
    <n v="17.899999999999999"/>
    <s v="Abnormal"/>
    <x v="0"/>
  </r>
  <r>
    <x v="1463"/>
    <s v="Rukayat Igwe"/>
    <n v="73"/>
    <x v="4"/>
    <x v="1"/>
    <s v="B+"/>
    <x v="4"/>
    <x v="1"/>
    <x v="1026"/>
    <d v="2024-05-09T00:00:00"/>
    <n v="1"/>
    <s v="Aminu Kano Teaching Hospital"/>
    <x v="2"/>
    <s v="Dr. Segun Banke"/>
    <x v="1"/>
    <n v="8905.61"/>
    <s v="Loperamide"/>
    <n v="3"/>
    <n v="191"/>
    <n v="28.7"/>
    <s v="Abnormal"/>
    <x v="0"/>
  </r>
  <r>
    <x v="1464"/>
    <s v="Deborah Taylor"/>
    <n v="81"/>
    <x v="1"/>
    <x v="1"/>
    <s v="B-"/>
    <x v="4"/>
    <x v="1"/>
    <x v="909"/>
    <d v="2024-11-24T00:00:00"/>
    <n v="3"/>
    <s v="Federal Medical Centre Asaba"/>
    <x v="0"/>
    <s v="Dr. Nnamdi Okafor"/>
    <x v="4"/>
    <n v="16698"/>
    <s v="Metronidazole"/>
    <n v="1"/>
    <n v="172"/>
    <n v="16.8"/>
    <s v="Abnormal"/>
    <x v="0"/>
  </r>
  <r>
    <x v="1465"/>
    <s v="Chioma Adeyemi"/>
    <n v="88"/>
    <x v="1"/>
    <x v="1"/>
    <s v="A-"/>
    <x v="6"/>
    <x v="1"/>
    <x v="289"/>
    <d v="2022-07-29T00:00:00"/>
    <n v="6"/>
    <s v="Federal Medical Centre Birnin Kebbi"/>
    <x v="2"/>
    <s v="Dr. Ngozi Eze-Williams"/>
    <x v="0"/>
    <n v="25982.240000000002"/>
    <s v="Ipratropium"/>
    <n v="7"/>
    <n v="129"/>
    <n v="39"/>
    <s v="Abnormal"/>
    <x v="1"/>
  </r>
  <r>
    <x v="1466"/>
    <s v="Rukayat Williams"/>
    <n v="81"/>
    <x v="1"/>
    <x v="1"/>
    <s v="B-"/>
    <x v="3"/>
    <x v="1"/>
    <x v="1027"/>
    <d v="2019-10-01T00:00:00"/>
    <n v="2"/>
    <s v="Federal Medical Centre Birnin Kebbi"/>
    <x v="2"/>
    <s v="Dr. Kemi Adeyemi"/>
    <x v="2"/>
    <n v="31364.07"/>
    <s v="Amoxicillin"/>
    <n v="6"/>
    <n v="138"/>
    <n v="27.8"/>
    <s v="Abnormal"/>
    <x v="0"/>
  </r>
  <r>
    <x v="1467"/>
    <s v="Ruth Yakubu"/>
    <n v="63"/>
    <x v="3"/>
    <x v="1"/>
    <s v="O-"/>
    <x v="4"/>
    <x v="1"/>
    <x v="449"/>
    <d v="2022-04-22T00:00:00"/>
    <n v="2"/>
    <s v="National Hospital Abuja"/>
    <x v="4"/>
    <s v="Dr. Aisha Bello"/>
    <x v="1"/>
    <n v="22413"/>
    <s v="Mesalazine"/>
    <n v="4"/>
    <n v="130"/>
    <n v="15.4"/>
    <s v="Normal"/>
    <x v="0"/>
  </r>
  <r>
    <x v="1468"/>
    <s v="Halima Davis"/>
    <n v="69"/>
    <x v="4"/>
    <x v="1"/>
    <s v="O-"/>
    <x v="7"/>
    <x v="0"/>
    <x v="1028"/>
    <d v="2020-01-17T00:00:00"/>
    <n v="5"/>
    <s v="Bowen University Teaching Hospital"/>
    <x v="1"/>
    <s v="Dr. Sarah Adeyemi"/>
    <x v="0"/>
    <n v="65786.31"/>
    <s v="Tramadol"/>
    <n v="5"/>
    <n v="337"/>
    <n v="28.2"/>
    <s v="Inconclusive"/>
    <x v="0"/>
  </r>
  <r>
    <x v="1469"/>
    <s v="Joseph Okafor"/>
    <n v="77"/>
    <x v="1"/>
    <x v="0"/>
    <s v="A+"/>
    <x v="3"/>
    <x v="1"/>
    <x v="369"/>
    <d v="2023-10-11T00:00:00"/>
    <n v="8"/>
    <s v="Aminu Kano Teaching Hospital"/>
    <x v="2"/>
    <s v="Dr. Lanre Ogundele"/>
    <x v="1"/>
    <n v="27643.49"/>
    <s v="Amoxicillin"/>
    <n v="6"/>
    <n v="154"/>
    <n v="26.1"/>
    <s v="Abnormal"/>
    <x v="0"/>
  </r>
  <r>
    <x v="1470"/>
    <s v="Gbenga Smith"/>
    <n v="31"/>
    <x v="2"/>
    <x v="0"/>
    <s v="O+"/>
    <x v="7"/>
    <x v="0"/>
    <x v="1029"/>
    <d v="2021-01-03T00:00:00"/>
    <n v="3"/>
    <s v="Aminu Kano Teaching Hospital"/>
    <x v="2"/>
    <s v="Dr. Musa Aliyu"/>
    <x v="1"/>
    <n v="34717"/>
    <s v="Vitamin D"/>
    <n v="4"/>
    <n v="102"/>
    <n v="28.6"/>
    <s v="Normal"/>
    <x v="0"/>
  </r>
  <r>
    <x v="1471"/>
    <s v="Chidi Usman"/>
    <n v="5"/>
    <x v="0"/>
    <x v="0"/>
    <s v="B+"/>
    <x v="6"/>
    <x v="0"/>
    <x v="1030"/>
    <d v="2022-06-18T00:00:00"/>
    <n v="11"/>
    <s v="Aminu Kano Teaching Hospital"/>
    <x v="2"/>
    <s v="Dr. Halima Usman"/>
    <x v="4"/>
    <n v="22278.560000000001"/>
    <s v="Theophylline"/>
    <n v="5"/>
    <n v="354"/>
    <n v="42.1"/>
    <s v="Normal"/>
    <x v="0"/>
  </r>
  <r>
    <x v="1472"/>
    <s v="Rebecca Eze"/>
    <n v="6"/>
    <x v="0"/>
    <x v="1"/>
    <s v="B-"/>
    <x v="1"/>
    <x v="1"/>
    <x v="428"/>
    <d v="2024-12-09T00:00:00"/>
    <n v="6"/>
    <s v="National Hospital Abuja"/>
    <x v="4"/>
    <s v="Dr. Ibrahim Musa"/>
    <x v="0"/>
    <n v="11052.46"/>
    <s v="Empagliflozin"/>
    <n v="8"/>
    <n v="192"/>
    <n v="32.6"/>
    <s v="Normal"/>
    <x v="0"/>
  </r>
  <r>
    <x v="1473"/>
    <s v="John Danjuma"/>
    <n v="71"/>
    <x v="4"/>
    <x v="0"/>
    <s v="A+"/>
    <x v="1"/>
    <x v="2"/>
    <x v="243"/>
    <d v="2023-11-15T00:00:00"/>
    <n v="3"/>
    <s v="National Hospital Abuja"/>
    <x v="4"/>
    <s v="Dr. Chioma Nwankwo"/>
    <x v="3"/>
    <n v="46625.82"/>
    <s v="Liraglutide"/>
    <n v="7"/>
    <n v="230"/>
    <n v="26.8"/>
    <s v="Abnormal"/>
    <x v="0"/>
  </r>
  <r>
    <x v="1474"/>
    <s v="Lanre Eze"/>
    <n v="44"/>
    <x v="5"/>
    <x v="0"/>
    <s v="A+"/>
    <x v="5"/>
    <x v="0"/>
    <x v="1031"/>
    <d v="2021-02-14T00:00:00"/>
    <n v="17"/>
    <s v="Aminu Kano Teaching Hospital"/>
    <x v="2"/>
    <s v="Dr. Fatima Al-Hassan"/>
    <x v="0"/>
    <n v="48553.3"/>
    <s v="Digoxin"/>
    <n v="10"/>
    <n v="355"/>
    <n v="28.8"/>
    <s v="Normal"/>
    <x v="0"/>
  </r>
  <r>
    <x v="1475"/>
    <s v="Aisha Musa"/>
    <n v="24"/>
    <x v="2"/>
    <x v="1"/>
    <s v="A+"/>
    <x v="5"/>
    <x v="0"/>
    <x v="1032"/>
    <d v="2021-09-24T00:00:00"/>
    <n v="8"/>
    <s v="University College Hospital Ibadan"/>
    <x v="1"/>
    <s v="Dr. Emeka Okorie"/>
    <x v="3"/>
    <n v="38024.550000000003"/>
    <s v="Amiodarone"/>
    <n v="10"/>
    <n v="323"/>
    <n v="35.700000000000003"/>
    <s v="Normal"/>
    <x v="1"/>
  </r>
  <r>
    <x v="1476"/>
    <s v="Lydia Abubakar"/>
    <n v="57"/>
    <x v="3"/>
    <x v="1"/>
    <s v="AB-"/>
    <x v="0"/>
    <x v="2"/>
    <x v="1033"/>
    <d v="2021-07-31T00:00:00"/>
    <n v="14"/>
    <s v="Aminu Kano Teaching Hospital"/>
    <x v="2"/>
    <s v="Dr. Babatunde Fashola"/>
    <x v="0"/>
    <n v="63191.29"/>
    <s v="Rituximab"/>
    <n v="12"/>
    <n v="236"/>
    <n v="25.9"/>
    <s v="Inconclusive"/>
    <x v="0"/>
  </r>
  <r>
    <x v="1477"/>
    <s v="Abdullahi Akintola"/>
    <n v="64"/>
    <x v="3"/>
    <x v="0"/>
    <s v="B-"/>
    <x v="7"/>
    <x v="1"/>
    <x v="915"/>
    <d v="2023-05-27T00:00:00"/>
    <n v="3"/>
    <s v="Bowen University Teaching Hospital"/>
    <x v="1"/>
    <s v="Dr. Musa Aliyu"/>
    <x v="0"/>
    <n v="20737.54"/>
    <s v="Celecoxib"/>
    <n v="5"/>
    <n v="101"/>
    <n v="23.1"/>
    <s v="Normal"/>
    <x v="1"/>
  </r>
  <r>
    <x v="1478"/>
    <s v="Ruth Martin"/>
    <n v="33"/>
    <x v="2"/>
    <x v="1"/>
    <s v="O+"/>
    <x v="6"/>
    <x v="0"/>
    <x v="1034"/>
    <m/>
    <m/>
    <s v="Federal Medical Centre Birnin Kebbi"/>
    <x v="2"/>
    <s v="Dr. Ngozi Eze-Williams"/>
    <x v="0"/>
    <n v="29720.46"/>
    <s v="Prednisolone"/>
    <n v="7"/>
    <n v="387"/>
    <m/>
    <s v="Normal"/>
    <x v="0"/>
  </r>
  <r>
    <x v="1479"/>
    <s v="Taiwo Danjuma"/>
    <n v="82"/>
    <x v="1"/>
    <x v="1"/>
    <s v="B-"/>
    <x v="1"/>
    <x v="1"/>
    <x v="1035"/>
    <d v="2021-05-22T00:00:00"/>
    <n v="4"/>
    <s v="Federal Medical Centre Owerri"/>
    <x v="3"/>
    <s v="Dr. Ibrahim Musa"/>
    <x v="0"/>
    <n v="17331.64"/>
    <s v="Linagliptin"/>
    <n v="8"/>
    <n v="130"/>
    <n v="35.200000000000003"/>
    <s v="Abnormal"/>
    <x v="0"/>
  </r>
  <r>
    <x v="1480"/>
    <s v="David Smith"/>
    <n v="18"/>
    <x v="2"/>
    <x v="0"/>
    <s v="B-"/>
    <x v="0"/>
    <x v="2"/>
    <x v="1036"/>
    <d v="2023-09-12T00:00:00"/>
    <n v="31"/>
    <s v="National Hospital Abuja"/>
    <x v="4"/>
    <s v="Dr Amara Osei"/>
    <x v="0"/>
    <n v="18760.07"/>
    <s v="Paclitaxel"/>
    <n v="12"/>
    <n v="260"/>
    <n v="30.5"/>
    <s v="Abnormal"/>
    <x v="0"/>
  </r>
  <r>
    <x v="1481"/>
    <s v="Adenike Obi"/>
    <n v="74"/>
    <x v="4"/>
    <x v="1"/>
    <s v="AB-"/>
    <x v="1"/>
    <x v="1"/>
    <x v="343"/>
    <d v="2019-08-24T00:00:00"/>
    <n v="4"/>
    <s v="Ahmadu Bello University Teaching Hospital"/>
    <x v="2"/>
    <s v="Dr. Chioma Nwankwo"/>
    <x v="0"/>
    <n v="6883.39"/>
    <s v="Insulin Glargine"/>
    <n v="8"/>
    <n v="172"/>
    <n v="33.5"/>
    <s v="Abnormal"/>
    <x v="0"/>
  </r>
  <r>
    <x v="1482"/>
    <s v="Funke Oni"/>
    <n v="83"/>
    <x v="1"/>
    <x v="1"/>
    <s v="O+"/>
    <x v="5"/>
    <x v="0"/>
    <x v="1037"/>
    <d v="2024-08-21T00:00:00"/>
    <n v="13"/>
    <s v="Federal Medical Centre Asaba"/>
    <x v="0"/>
    <s v="Dr. Emeka Okorie"/>
    <x v="4"/>
    <n v="65215.63"/>
    <s v="Metoprolol"/>
    <n v="10"/>
    <n v="312"/>
    <n v="38.799999999999997"/>
    <s v="Inconclusive"/>
    <x v="0"/>
  </r>
  <r>
    <x v="1483"/>
    <s v="James Wilson"/>
    <n v="45"/>
    <x v="5"/>
    <x v="0"/>
    <s v="B-"/>
    <x v="2"/>
    <x v="0"/>
    <x v="683"/>
    <d v="2022-12-15T00:00:00"/>
    <n v="15"/>
    <s v="Federal Medical Centre Asaba"/>
    <x v="0"/>
    <s v="Dr. Rotimi Fashola"/>
    <x v="4"/>
    <n v="56756.73"/>
    <s v="Clopidogrel"/>
    <n v="5"/>
    <n v="339"/>
    <n v="27.5"/>
    <s v="Inconclusive"/>
    <x v="0"/>
  </r>
  <r>
    <x v="1484"/>
    <s v="Chidi Nwosu"/>
    <n v="68"/>
    <x v="4"/>
    <x v="0"/>
    <s v="O+"/>
    <x v="0"/>
    <x v="2"/>
    <x v="842"/>
    <d v="2019-03-25T00:00:00"/>
    <n v="9"/>
    <s v="Federal Medical Centre Birnin Kebbi"/>
    <x v="2"/>
    <s v="Dr. Amara Osei"/>
    <x v="1"/>
    <n v="121342.21"/>
    <s v="Ondansetron"/>
    <n v="12"/>
    <n v="330"/>
    <n v="24.9"/>
    <s v="Abnormal"/>
    <x v="1"/>
  </r>
  <r>
    <x v="1485"/>
    <s v="Ifeanyi Fashola"/>
    <n v="82"/>
    <x v="1"/>
    <x v="0"/>
    <s v="O+"/>
    <x v="2"/>
    <x v="1"/>
    <x v="462"/>
    <d v="2019-02-26T00:00:00"/>
    <n v="3"/>
    <s v="Bowen University Teaching Hospital"/>
    <x v="1"/>
    <s v="Dr. Rotimi Fashola"/>
    <x v="3"/>
    <n v="75609.7"/>
    <s v="Gabapentin"/>
    <n v="7"/>
    <n v="104"/>
    <n v="18.399999999999999"/>
    <s v="Abnormal"/>
    <x v="0"/>
  </r>
  <r>
    <x v="1486"/>
    <s v="Perpetua Martin"/>
    <n v="29"/>
    <x v="2"/>
    <x v="1"/>
    <s v="A-"/>
    <x v="5"/>
    <x v="0"/>
    <x v="1038"/>
    <d v="2020-02-02T00:00:00"/>
    <n v="18"/>
    <s v="University of Calabar Teaching Hospital"/>
    <x v="0"/>
    <s v="Dr. Fatima Al-Hassan"/>
    <x v="0"/>
    <n v="75368"/>
    <s v="Metoprolol"/>
    <n v="5"/>
    <n v="314"/>
    <n v="40.4"/>
    <s v="Inconclusive"/>
    <x v="0"/>
  </r>
  <r>
    <x v="1487"/>
    <s v="Michael Nwosu"/>
    <n v="44"/>
    <x v="5"/>
    <x v="0"/>
    <s v="B-"/>
    <x v="2"/>
    <x v="0"/>
    <x v="647"/>
    <d v="2019-01-31T00:00:00"/>
    <n v="15"/>
    <s v="Federal Medical Centre Birnin Kebbi"/>
    <x v="2"/>
    <s v="Dr. Zainab Sule"/>
    <x v="4"/>
    <n v="34022.370000000003"/>
    <s v="Donepezil"/>
    <n v="9"/>
    <n v="354"/>
    <n v="22.7"/>
    <s v="Abnormal"/>
    <x v="0"/>
  </r>
  <r>
    <x v="1488"/>
    <s v="Adewale Akintola"/>
    <n v="25"/>
    <x v="2"/>
    <x v="0"/>
    <s v="AB-"/>
    <x v="0"/>
    <x v="0"/>
    <x v="1039"/>
    <d v="2023-11-29T00:00:00"/>
    <n v="36"/>
    <s v="University of Calabar Teaching Hospital"/>
    <x v="0"/>
    <s v="Dr. Amara Osei"/>
    <x v="0"/>
    <n v="46306.98"/>
    <s v="Tamoxifen"/>
    <n v="12"/>
    <n v="284"/>
    <m/>
    <s v="Abnormal"/>
    <x v="0"/>
  </r>
  <r>
    <x v="1489"/>
    <s v="Adaeze Bankole"/>
    <n v="56"/>
    <x v="3"/>
    <x v="1"/>
    <s v="AB-"/>
    <x v="5"/>
    <x v="0"/>
    <x v="1040"/>
    <d v="2021-03-04T00:00:00"/>
    <n v="9"/>
    <s v="Federal Medical Centre Owerri"/>
    <x v="3"/>
    <s v="Dr. Fatima Al-Hassan"/>
    <x v="4"/>
    <n v="93489"/>
    <s v="Amiodarone"/>
    <n v="10"/>
    <n v="334"/>
    <n v="28.3"/>
    <s v="Abnormal"/>
    <x v="0"/>
  </r>
  <r>
    <x v="1490"/>
    <s v="John Hassan"/>
    <n v="72"/>
    <x v="4"/>
    <x v="0"/>
    <s v="A-"/>
    <x v="7"/>
    <x v="1"/>
    <x v="1041"/>
    <d v="2020-09-16T00:00:00"/>
    <n v="4"/>
    <s v="Federal Medical Centre Owerri"/>
    <x v="3"/>
    <s v="Dr. Sarah Adeyemi"/>
    <x v="0"/>
    <n v="24618.91"/>
    <s v="Celecoxib"/>
    <n v="3"/>
    <n v="140"/>
    <n v="26.5"/>
    <s v="Abnormal"/>
    <x v="0"/>
  </r>
  <r>
    <x v="1491"/>
    <s v="Adewale Lawan"/>
    <n v="38"/>
    <x v="5"/>
    <x v="0"/>
    <s v="A+"/>
    <x v="3"/>
    <x v="0"/>
    <x v="1042"/>
    <d v="2023-10-18T00:00:00"/>
    <n v="7"/>
    <s v="Ahmadu Bello University Teaching Hospital"/>
    <x v="2"/>
    <s v="Dr. Lanre Ogundele"/>
    <x v="0"/>
    <n v="31086"/>
    <s v="Metronidazole"/>
    <n v="6"/>
    <n v="295"/>
    <n v="30.5"/>
    <s v="Normal"/>
    <x v="0"/>
  </r>
  <r>
    <x v="1492"/>
    <s v="Perpetua Onuoha"/>
    <n v="69"/>
    <x v="4"/>
    <x v="1"/>
    <s v="AB-"/>
    <x v="5"/>
    <x v="0"/>
    <x v="575"/>
    <d v="2020-01-10T00:00:00"/>
    <n v="11"/>
    <s v="Aminu Kano Teaching Hospital"/>
    <x v="2"/>
    <s v="Dr. Adewale Ogundimu"/>
    <x v="4"/>
    <n v="70101.08"/>
    <s v="Aspirin"/>
    <n v="9"/>
    <n v="327"/>
    <n v="36.5"/>
    <s v="Abnormal"/>
    <x v="0"/>
  </r>
  <r>
    <x v="1493"/>
    <s v="Lydia Eze"/>
    <n v="56"/>
    <x v="3"/>
    <x v="1"/>
    <s v="AB-"/>
    <x v="5"/>
    <x v="0"/>
    <x v="1043"/>
    <d v="2022-07-09T00:00:00"/>
    <n v="12"/>
    <s v="Ahmadu Bello University Teaching Hospital"/>
    <x v="2"/>
    <s v="Dr. Adewale Ogundimu"/>
    <x v="2"/>
    <n v="176154.79"/>
    <s v="Metoprolol"/>
    <n v="10"/>
    <n v="378"/>
    <m/>
    <s v="Normal"/>
    <x v="0"/>
  </r>
  <r>
    <x v="1494"/>
    <s v="Bashir Chukwu"/>
    <n v="23"/>
    <x v="2"/>
    <x v="0"/>
    <s v="O+"/>
    <x v="5"/>
    <x v="0"/>
    <x v="437"/>
    <d v="2021-07-14T00:00:00"/>
    <n v="16"/>
    <s v="University College Hospital Ibadan"/>
    <x v="1"/>
    <s v="Dr. Fatima Al-Hassan"/>
    <x v="2"/>
    <n v="83711"/>
    <s v="Spironolactone"/>
    <n v="10"/>
    <n v="333"/>
    <n v="27.4"/>
    <s v="Abnormal"/>
    <x v="0"/>
  </r>
  <r>
    <x v="1495"/>
    <s v="Rukayat Adebayo"/>
    <n v="89"/>
    <x v="1"/>
    <x v="1"/>
    <s v="O+"/>
    <x v="2"/>
    <x v="0"/>
    <x v="1044"/>
    <d v="2023-09-26T00:00:00"/>
    <n v="6"/>
    <s v="Bowen University Teaching Hospital"/>
    <x v="1"/>
    <s v="Dr. Olumide Abiodun"/>
    <x v="2"/>
    <n v="103246.51"/>
    <s v="Memantine"/>
    <n v="9"/>
    <n v="377"/>
    <n v="25.9"/>
    <s v="Normal"/>
    <x v="1"/>
  </r>
  <r>
    <x v="1496"/>
    <s v="Taiwo Martin"/>
    <n v="55"/>
    <x v="3"/>
    <x v="1"/>
    <s v="O-"/>
    <x v="6"/>
    <x v="0"/>
    <x v="1045"/>
    <d v="2021-01-24T00:00:00"/>
    <n v="4"/>
    <s v="Federal Medical Centre Owerri"/>
    <x v="3"/>
    <s v="Dr. Halima Usman"/>
    <x v="2"/>
    <n v="41154.58"/>
    <s v="Montelukast"/>
    <n v="7"/>
    <n v="341"/>
    <n v="25"/>
    <s v="Abnormal"/>
    <x v="0"/>
  </r>
  <r>
    <x v="1497"/>
    <s v="Peter Anderson"/>
    <n v="56"/>
    <x v="3"/>
    <x v="0"/>
    <s v="B-"/>
    <x v="6"/>
    <x v="0"/>
    <x v="1046"/>
    <d v="2023-10-04T00:00:00"/>
    <n v="3"/>
    <s v="Bowen University Teaching Hospital"/>
    <x v="1"/>
    <s v="Dr. Ngozi Eze-Williams"/>
    <x v="3"/>
    <n v="53728"/>
    <s v="Ipratropium"/>
    <n v="7"/>
    <n v="333"/>
    <n v="30"/>
    <s v="Inconclusive"/>
    <x v="0"/>
  </r>
  <r>
    <x v="1498"/>
    <s v="Miriam Abiodun"/>
    <n v="69"/>
    <x v="4"/>
    <x v="1"/>
    <s v="AB+"/>
    <x v="5"/>
    <x v="1"/>
    <x v="1047"/>
    <d v="2021-04-07T00:00:00"/>
    <n v="7"/>
    <s v="University of Calabar Teaching Hospital"/>
    <x v="0"/>
    <s v="Dr. Emeka Okorie"/>
    <x v="1"/>
    <n v="63230.9"/>
    <s v="Warfarin"/>
    <n v="10"/>
    <n v="102"/>
    <n v="35.5"/>
    <s v="Inconclusive"/>
    <x v="0"/>
  </r>
  <r>
    <x v="1499"/>
    <s v="Chiamaka Onuoha"/>
    <n v="67"/>
    <x v="4"/>
    <x v="1"/>
    <s v="AB-"/>
    <x v="0"/>
    <x v="2"/>
    <x v="653"/>
    <d v="2019-03-25T00:00:00"/>
    <n v="13"/>
    <s v="Bowen University Teaching Hospital"/>
    <x v="1"/>
    <s v="Dr. Amara Osei"/>
    <x v="4"/>
    <n v="71205.22"/>
    <s v="Cyclophosphamide"/>
    <n v="11"/>
    <n v="164"/>
    <n v="24.7"/>
    <s v="Abnormal"/>
    <x v="0"/>
  </r>
  <r>
    <x v="1500"/>
    <s v="Nnamdi Abubakar"/>
    <n v="67"/>
    <x v="4"/>
    <x v="0"/>
    <s v="B-"/>
    <x v="5"/>
    <x v="0"/>
    <x v="1048"/>
    <d v="2022-12-30T00:00:00"/>
    <n v="14"/>
    <s v="Aminu Kano Teaching Hospital"/>
    <x v="2"/>
    <s v="Dr. Emeka Okorie"/>
    <x v="0"/>
    <n v="118841"/>
    <s v="Atorvastatin"/>
    <n v="9"/>
    <n v="387"/>
    <n v="31.2"/>
    <s v="Abnormal"/>
    <x v="1"/>
  </r>
  <r>
    <x v="1501"/>
    <s v="Femi Hassan"/>
    <n v="66"/>
    <x v="4"/>
    <x v="0"/>
    <s v="O-"/>
    <x v="7"/>
    <x v="1"/>
    <x v="784"/>
    <d v="2022-12-24T00:00:00"/>
    <n v="3"/>
    <s v="Aminu Kano Teaching Hospital"/>
    <x v="2"/>
    <s v="Dr. Sarah Adeyemi"/>
    <x v="0"/>
    <n v="24003.93"/>
    <s v="Tramadol"/>
    <n v="2"/>
    <n v="168"/>
    <n v="34.5"/>
    <s v="Normal"/>
    <x v="0"/>
  </r>
  <r>
    <x v="1502"/>
    <s v="James Johnson"/>
    <n v="15"/>
    <x v="0"/>
    <x v="0"/>
    <s v="AB-"/>
    <x v="7"/>
    <x v="0"/>
    <x v="311"/>
    <d v="2020-05-31T00:00:00"/>
    <n v="11"/>
    <s v="Federal Medical Centre Birnin Kebbi"/>
    <x v="2"/>
    <s v="Dr. Chukwuemeka Nwosu"/>
    <x v="0"/>
    <n v="23239.07"/>
    <s v="Vitamin D"/>
    <n v="6"/>
    <n v="366"/>
    <n v="30.6"/>
    <s v="Abnormal"/>
    <x v="0"/>
  </r>
  <r>
    <x v="1503"/>
    <s v="Joseph Musa"/>
    <n v="41"/>
    <x v="5"/>
    <x v="0"/>
    <s v="AB+"/>
    <x v="4"/>
    <x v="1"/>
    <x v="628"/>
    <d v="2023-10-11T00:00:00"/>
    <n v="2"/>
    <s v="Federal Medical Centre Birnin Kebbi"/>
    <x v="2"/>
    <s v="Dr. Nnamdi Okafor"/>
    <x v="1"/>
    <n v="9950.42"/>
    <s v="Mesalazine"/>
    <n v="5"/>
    <n v="178"/>
    <n v="29.1"/>
    <s v="Normal"/>
    <x v="0"/>
  </r>
  <r>
    <x v="1504"/>
    <s v="Emmanuel Dauda"/>
    <n v="35"/>
    <x v="5"/>
    <x v="0"/>
    <s v="B-"/>
    <x v="6"/>
    <x v="2"/>
    <x v="1049"/>
    <d v="2024-03-05T00:00:00"/>
    <n v="2"/>
    <s v="Lagos University Teaching Hospital"/>
    <x v="1"/>
    <s v="Dr. Ngozi Eze-Williams"/>
    <x v="3"/>
    <n v="35420.160000000003"/>
    <s v="Montelukast"/>
    <n v="6"/>
    <n v="241"/>
    <n v="24.3"/>
    <s v="Abnormal"/>
    <x v="0"/>
  </r>
  <r>
    <x v="1505"/>
    <s v="David Obi"/>
    <n v="92"/>
    <x v="1"/>
    <x v="0"/>
    <s v="A+"/>
    <x v="6"/>
    <x v="0"/>
    <x v="887"/>
    <d v="2019-11-29T00:00:00"/>
    <n v="8"/>
    <s v="Lagos University Teaching Hospital"/>
    <x v="1"/>
    <s v="Dr. Ngozi Eze-Williams"/>
    <x v="1"/>
    <n v="77581.84"/>
    <s v="Salbutamol"/>
    <n v="7"/>
    <n v="330"/>
    <m/>
    <s v="Abnormal"/>
    <x v="0"/>
  </r>
  <r>
    <x v="1506"/>
    <s v="Sarah Sule"/>
    <n v="71"/>
    <x v="4"/>
    <x v="1"/>
    <s v="AB+"/>
    <x v="5"/>
    <x v="0"/>
    <x v="574"/>
    <d v="2022-01-18T00:00:00"/>
    <n v="20"/>
    <s v="University College Hospital Ibadan"/>
    <x v="1"/>
    <s v="Dr. Fatima Al-Hassan"/>
    <x v="0"/>
    <n v="101980"/>
    <s v="Furosemide"/>
    <n v="9"/>
    <n v="373"/>
    <n v="36.4"/>
    <s v="Abnormal"/>
    <x v="1"/>
  </r>
  <r>
    <x v="1507"/>
    <s v="David Lawan"/>
    <n v="67"/>
    <x v="4"/>
    <x v="0"/>
    <s v="B-"/>
    <x v="1"/>
    <x v="1"/>
    <x v="890"/>
    <d v="2020-11-12T00:00:00"/>
    <n v="4"/>
    <s v="Lagos University Teaching Hospital"/>
    <x v="1"/>
    <s v="Dr. Ibrahim Musa"/>
    <x v="1"/>
    <n v="20701.740000000002"/>
    <s v="Liraglutide"/>
    <n v="8"/>
    <n v="187"/>
    <n v="38.4"/>
    <s v="Abnormal"/>
    <x v="1"/>
  </r>
  <r>
    <x v="1508"/>
    <s v="Lanre Aliyu"/>
    <n v="49"/>
    <x v="5"/>
    <x v="0"/>
    <s v="B+"/>
    <x v="0"/>
    <x v="0"/>
    <x v="1050"/>
    <d v="2021-06-09T00:00:00"/>
    <n v="14"/>
    <s v="Federal Medical Centre Birnin Kebbi"/>
    <x v="2"/>
    <s v="Dr. Babatunde Fashola"/>
    <x v="4"/>
    <n v="50003"/>
    <s v="Rituximab"/>
    <n v="12"/>
    <n v="312"/>
    <n v="23.2"/>
    <s v="Abnormal"/>
    <x v="0"/>
  </r>
  <r>
    <x v="1509"/>
    <s v="Emeka Igwe"/>
    <n v="82"/>
    <x v="1"/>
    <x v="0"/>
    <s v="AB+"/>
    <x v="5"/>
    <x v="2"/>
    <x v="1051"/>
    <d v="2022-05-25T00:00:00"/>
    <n v="7"/>
    <s v="Federal Medical Centre Asaba"/>
    <x v="0"/>
    <s v="Dr. Adewale Ogundimu"/>
    <x v="4"/>
    <n v="32899.94"/>
    <s v="Metoprolol"/>
    <n v="7"/>
    <n v="282"/>
    <n v="23.4"/>
    <s v="Inconclusive"/>
    <x v="0"/>
  </r>
  <r>
    <x v="1510"/>
    <s v="James Bello"/>
    <n v="62"/>
    <x v="3"/>
    <x v="0"/>
    <s v="O+"/>
    <x v="2"/>
    <x v="0"/>
    <x v="669"/>
    <d v="2020-11-27T00:00:00"/>
    <n v="5"/>
    <s v="Ahmadu Bello University Teaching Hospital"/>
    <x v="2"/>
    <s v="Dr. Zainab Sule"/>
    <x v="0"/>
    <n v="39543.949999999997"/>
    <s v="Aspirin"/>
    <n v="9"/>
    <n v="358"/>
    <n v="26.9"/>
    <s v="Inconclusive"/>
    <x v="0"/>
  </r>
  <r>
    <x v="1511"/>
    <s v="Bashir Okonkwo"/>
    <n v="54"/>
    <x v="5"/>
    <x v="0"/>
    <s v="A+"/>
    <x v="6"/>
    <x v="2"/>
    <x v="573"/>
    <d v="2019-11-14T00:00:00"/>
    <n v="5"/>
    <s v="Federal Medical Centre Asaba"/>
    <x v="0"/>
    <s v="Dr. Ngozi Eze-Williams"/>
    <x v="0"/>
    <n v="27416"/>
    <s v="Salbutamol"/>
    <n v="7"/>
    <n v="237"/>
    <n v="24.2"/>
    <s v="Abnormal"/>
    <x v="0"/>
  </r>
  <r>
    <x v="1512"/>
    <s v="Ifeoma Osagie"/>
    <n v="54"/>
    <x v="5"/>
    <x v="1"/>
    <s v="B+"/>
    <x v="7"/>
    <x v="0"/>
    <x v="1052"/>
    <d v="2023-07-29T00:00:00"/>
    <n v="7"/>
    <s v="University College Hospital Ibadan"/>
    <x v="1"/>
    <s v="Dr. Sarah Adeyemi"/>
    <x v="4"/>
    <n v="26547.85"/>
    <s v="Calcium"/>
    <n v="6"/>
    <n v="309"/>
    <n v="25.4"/>
    <s v="Inconclusive"/>
    <x v="0"/>
  </r>
  <r>
    <x v="1513"/>
    <s v="Adewale Fashola"/>
    <n v="39"/>
    <x v="5"/>
    <x v="0"/>
    <s v="O+"/>
    <x v="7"/>
    <x v="1"/>
    <x v="1053"/>
    <d v="2024-08-06T00:00:00"/>
    <n v="3"/>
    <s v="Lagos University Teaching Hospital"/>
    <x v="1"/>
    <s v="Dr. Musa Aliyu"/>
    <x v="0"/>
    <n v="23326"/>
    <s v="Vitamin D"/>
    <n v="4"/>
    <n v="169"/>
    <n v="26.9"/>
    <s v="Normal"/>
    <x v="0"/>
  </r>
  <r>
    <x v="1514"/>
    <s v="Segun Bankole"/>
    <n v="15"/>
    <x v="0"/>
    <x v="0"/>
    <s v="O+"/>
    <x v="5"/>
    <x v="0"/>
    <x v="1054"/>
    <d v="2019-02-25T00:00:00"/>
    <n v="11"/>
    <s v="Aminu Kano Teaching Hospital"/>
    <x v="2"/>
    <s v="Dr. Adewale Ogundimu"/>
    <x v="1"/>
    <n v="60456.639999999999"/>
    <s v="Digoxin"/>
    <n v="10"/>
    <n v="390"/>
    <n v="25.4"/>
    <s v="Abnormal"/>
    <x v="1"/>
  </r>
  <r>
    <x v="1515"/>
    <s v="Ibrahim Obi"/>
    <n v="66"/>
    <x v="4"/>
    <x v="0"/>
    <s v="B-"/>
    <x v="3"/>
    <x v="2"/>
    <x v="428"/>
    <d v="2024-12-10T00:00:00"/>
    <n v="7"/>
    <s v="Lagos University Teaching Hospital"/>
    <x v="1"/>
    <s v="Dr. Precious Obi"/>
    <x v="2"/>
    <n v="77106"/>
    <s v="Amoxicillin"/>
    <n v="2"/>
    <n v="383"/>
    <m/>
    <s v="Normal"/>
    <x v="0"/>
  </r>
  <r>
    <x v="1516"/>
    <s v="Deborah Onuoha"/>
    <n v="21"/>
    <x v="2"/>
    <x v="1"/>
    <s v="AB+"/>
    <x v="7"/>
    <x v="1"/>
    <x v="987"/>
    <d v="2023-12-08T00:00:00"/>
    <n v="4"/>
    <s v="Ahmadu Bello University Teaching Hospital"/>
    <x v="2"/>
    <s v="Dr. Chukwuemeka Nwosu"/>
    <x v="1"/>
    <n v="17840"/>
    <s v="Celecoxib"/>
    <n v="4"/>
    <n v="143"/>
    <n v="30.1"/>
    <s v="Normal"/>
    <x v="0"/>
  </r>
  <r>
    <x v="1517"/>
    <s v="Gbenga Johnson"/>
    <n v="4"/>
    <x v="0"/>
    <x v="0"/>
    <s v="AB-"/>
    <x v="5"/>
    <x v="0"/>
    <x v="1055"/>
    <d v="2023-12-16T00:00:00"/>
    <n v="13"/>
    <s v="National Hospital Abuja"/>
    <x v="4"/>
    <s v="Dr. Emeka Okorie"/>
    <x v="1"/>
    <n v="46528.39"/>
    <s v="Digoxin"/>
    <n v="10"/>
    <n v="335"/>
    <n v="43.3"/>
    <s v="Abnormal"/>
    <x v="0"/>
  </r>
  <r>
    <x v="1518"/>
    <s v="Kayode Johnson"/>
    <n v="80"/>
    <x v="1"/>
    <x v="0"/>
    <s v="B+"/>
    <x v="6"/>
    <x v="2"/>
    <x v="886"/>
    <d v="2020-09-04T00:00:00"/>
    <n v="8"/>
    <s v="Lagos University Teaching Hospital"/>
    <x v="1"/>
    <s v="Dr. Yusuf Danjuma"/>
    <x v="0"/>
    <n v="19482.169999999998"/>
    <s v="Ipratropium"/>
    <n v="5"/>
    <n v="200"/>
    <n v="35.299999999999997"/>
    <s v="Abnormal"/>
    <x v="0"/>
  </r>
  <r>
    <x v="1519"/>
    <s v="Joseph Osagie"/>
    <n v="66"/>
    <x v="4"/>
    <x v="0"/>
    <s v="AB+"/>
    <x v="1"/>
    <x v="1"/>
    <x v="1056"/>
    <d v="2020-05-20T00:00:00"/>
    <n v="5"/>
    <s v="University College Hospital Ibadan"/>
    <x v="1"/>
    <s v="Dr. Taiwo Adeleke"/>
    <x v="4"/>
    <n v="16587.93"/>
    <s v="Liraglutide"/>
    <n v="8"/>
    <n v="191"/>
    <n v="25.8"/>
    <s v="Abnormal"/>
    <x v="0"/>
  </r>
  <r>
    <x v="1520"/>
    <s v="Kemi Fashola"/>
    <n v="80"/>
    <x v="1"/>
    <x v="1"/>
    <s v="A+"/>
    <x v="1"/>
    <x v="3"/>
    <x v="534"/>
    <d v="2024-11-10T00:00:00"/>
    <n v="5"/>
    <s v="University College Hospital Ibadan"/>
    <x v="1"/>
    <s v="Dr. Taiwo Adeleke"/>
    <x v="2"/>
    <n v="22295.7"/>
    <s v="Linagliptin"/>
    <n v="8"/>
    <n v="124"/>
    <n v="34.5"/>
    <s v="Abnormal"/>
    <x v="0"/>
  </r>
  <r>
    <x v="1521"/>
    <s v="Bashir Yakubu"/>
    <n v="37"/>
    <x v="5"/>
    <x v="0"/>
    <s v="A+"/>
    <x v="6"/>
    <x v="0"/>
    <x v="1057"/>
    <d v="2022-10-02T00:00:00"/>
    <n v="12"/>
    <s v="Aminu Kano Teaching Hospital"/>
    <x v="2"/>
    <s v="Dr. Yusuf Danjuma"/>
    <x v="0"/>
    <n v="22927"/>
    <s v="Montelukast"/>
    <n v="4"/>
    <n v="301"/>
    <n v="20.8"/>
    <s v="Abnormal"/>
    <x v="0"/>
  </r>
  <r>
    <x v="1522"/>
    <s v="John Bankole"/>
    <n v="92"/>
    <x v="1"/>
    <x v="0"/>
    <s v="A+"/>
    <x v="1"/>
    <x v="2"/>
    <x v="1058"/>
    <d v="2020-12-12T00:00:00"/>
    <n v="4"/>
    <s v="Ahmadu Bello University Teaching Hospital"/>
    <x v="2"/>
    <s v="Dr. Ibrahim Musa"/>
    <x v="0"/>
    <n v="14755"/>
    <s v="Sitagliptin"/>
    <n v="8"/>
    <n v="402"/>
    <n v="25.6"/>
    <s v="Abnormal"/>
    <x v="1"/>
  </r>
  <r>
    <x v="1523"/>
    <s v="Emeka Davis"/>
    <n v="35"/>
    <x v="5"/>
    <x v="0"/>
    <s v="O-"/>
    <x v="5"/>
    <x v="0"/>
    <x v="418"/>
    <d v="2023-03-06T00:00:00"/>
    <n v="16"/>
    <s v="National Hospital Abuja"/>
    <x v="4"/>
    <s v="Dr. Emeka Okorie"/>
    <x v="0"/>
    <n v="44627.89"/>
    <s v="Atorvastatin"/>
    <n v="9"/>
    <n v="309"/>
    <n v="39.6"/>
    <s v="Normal"/>
    <x v="0"/>
  </r>
  <r>
    <x v="1524"/>
    <s v="Nnamdi Eze"/>
    <n v="43"/>
    <x v="5"/>
    <x v="0"/>
    <s v="B+"/>
    <x v="0"/>
    <x v="1"/>
    <x v="1059"/>
    <d v="2024-03-21T00:00:00"/>
    <n v="17"/>
    <s v="Aminu Kano Teaching Hospital"/>
    <x v="2"/>
    <s v="Dr. Amara Osei"/>
    <x v="0"/>
    <n v="59452.82"/>
    <s v="Rituximab"/>
    <n v="12"/>
    <n v="103"/>
    <n v="33.700000000000003"/>
    <s v="Inconclusive"/>
    <x v="0"/>
  </r>
  <r>
    <x v="1525"/>
    <s v="Emmanuel Obi"/>
    <n v="87"/>
    <x v="1"/>
    <x v="0"/>
    <s v="B+"/>
    <x v="1"/>
    <x v="1"/>
    <x v="1060"/>
    <d v="2022-11-20T00:00:00"/>
    <n v="3"/>
    <s v="University of Calabar Teaching Hospital"/>
    <x v="0"/>
    <s v="Dr. Taiwo Adeleke"/>
    <x v="2"/>
    <n v="24180.28"/>
    <s v="Linagliptin"/>
    <n v="5"/>
    <n v="149"/>
    <n v="31.8"/>
    <s v="Normal"/>
    <x v="1"/>
  </r>
  <r>
    <x v="1526"/>
    <s v="Michael Abiodun"/>
    <n v="70"/>
    <x v="4"/>
    <x v="0"/>
    <s v="O+"/>
    <x v="6"/>
    <x v="2"/>
    <x v="1061"/>
    <m/>
    <m/>
    <s v="Aminu Kano Teaching Hospital"/>
    <x v="2"/>
    <s v="Dr. Ngozi Eze-Williams"/>
    <x v="1"/>
    <n v="21825.64"/>
    <s v="Ipratropium"/>
    <n v="7"/>
    <n v="273"/>
    <n v="20.2"/>
    <s v="Abnormal"/>
    <x v="0"/>
  </r>
  <r>
    <x v="1527"/>
    <s v="Peter Moore"/>
    <n v="9"/>
    <x v="0"/>
    <x v="0"/>
    <s v="A-"/>
    <x v="5"/>
    <x v="0"/>
    <x v="1062"/>
    <m/>
    <m/>
    <s v="Lagos University Teaching Hospital"/>
    <x v="1"/>
    <s v="Dr. Adewale Ogundimu"/>
    <x v="2"/>
    <n v="41292.94"/>
    <s v="Digoxin"/>
    <n v="7"/>
    <n v="330"/>
    <n v="23.9"/>
    <s v="Abnormal"/>
    <x v="0"/>
  </r>
  <r>
    <x v="1528"/>
    <s v="Chukwuemeka Eze"/>
    <n v="53"/>
    <x v="5"/>
    <x v="0"/>
    <s v="B+"/>
    <x v="0"/>
    <x v="2"/>
    <x v="212"/>
    <d v="2019-03-15T00:00:00"/>
    <n v="8"/>
    <s v="Federal Medical Centre Asaba"/>
    <x v="0"/>
    <s v="Dr. Babatunde Fashola"/>
    <x v="4"/>
    <n v="26633.57"/>
    <s v="Carboplatin"/>
    <n v="11"/>
    <n v="388"/>
    <n v="17.600000000000001"/>
    <s v="Normal"/>
    <x v="0"/>
  </r>
  <r>
    <x v="1529"/>
    <s v="Lydia Okeke"/>
    <n v="74"/>
    <x v="4"/>
    <x v="1"/>
    <s v="AB+"/>
    <x v="4"/>
    <x v="1"/>
    <x v="305"/>
    <d v="2023-04-09T00:00:00"/>
    <n v="1"/>
    <s v="Federal Medical Centre Asaba"/>
    <x v="0"/>
    <s v="Dr. Nnamdi Okafor"/>
    <x v="2"/>
    <n v="14047.29"/>
    <s v="Mesalazine"/>
    <n v="5"/>
    <n v="188"/>
    <n v="21.3"/>
    <s v="Abnormal"/>
    <x v="0"/>
  </r>
  <r>
    <x v="1530"/>
    <s v="Rachel Nwosu"/>
    <n v="72"/>
    <x v="4"/>
    <x v="1"/>
    <s v="O+"/>
    <x v="7"/>
    <x v="1"/>
    <x v="505"/>
    <d v="2020-11-10T00:00:00"/>
    <n v="8"/>
    <s v="Federal Medical Centre Owerri"/>
    <x v="3"/>
    <s v="Dr. Sarah Adeyemi"/>
    <x v="0"/>
    <n v="33510.51"/>
    <s v="Ibuprofen"/>
    <n v="5"/>
    <n v="191"/>
    <n v="23.9"/>
    <s v="Normal"/>
    <x v="0"/>
  </r>
  <r>
    <x v="1531"/>
    <s v="Kemi Hassan"/>
    <n v="81"/>
    <x v="1"/>
    <x v="1"/>
    <s v="B+"/>
    <x v="0"/>
    <x v="0"/>
    <x v="1063"/>
    <d v="2022-03-06T00:00:00"/>
    <n v="28"/>
    <s v="National Hospital Abuja"/>
    <x v="4"/>
    <s v="Dr. Grace Oduya"/>
    <x v="0"/>
    <n v="58385.84"/>
    <s v="Ondansetron"/>
    <n v="9"/>
    <n v="183"/>
    <n v="20.9"/>
    <s v="Normal"/>
    <x v="0"/>
  </r>
  <r>
    <x v="1532"/>
    <s v="Uche Bello"/>
    <n v="11"/>
    <x v="0"/>
    <x v="0"/>
    <s v="AB+"/>
    <x v="7"/>
    <x v="2"/>
    <x v="905"/>
    <d v="2021-08-01T00:00:00"/>
    <n v="7"/>
    <s v="University of Calabar Teaching Hospital"/>
    <x v="0"/>
    <s v="Dr. Chukwuemeka Nwosu"/>
    <x v="0"/>
    <n v="14711.37"/>
    <s v="Ibuprofen"/>
    <n v="5"/>
    <n v="134"/>
    <m/>
    <s v="Normal"/>
    <x v="0"/>
  </r>
  <r>
    <x v="1533"/>
    <s v="Kayode Abubakar"/>
    <n v="29"/>
    <x v="2"/>
    <x v="0"/>
    <s v="O-"/>
    <x v="5"/>
    <x v="0"/>
    <x v="69"/>
    <d v="2023-12-05T00:00:00"/>
    <n v="12"/>
    <s v="Federal Medical Centre Asaba"/>
    <x v="0"/>
    <s v="Dr. Emeka Okorie"/>
    <x v="0"/>
    <n v="53818"/>
    <s v="Amiodarone"/>
    <n v="7"/>
    <n v="319"/>
    <n v="36.1"/>
    <s v="Normal"/>
    <x v="1"/>
  </r>
  <r>
    <x v="1534"/>
    <s v="Biodun Johnson"/>
    <n v="63"/>
    <x v="3"/>
    <x v="0"/>
    <s v="O+"/>
    <x v="5"/>
    <x v="1"/>
    <x v="1064"/>
    <d v="2019-05-05T00:00:00"/>
    <n v="6"/>
    <s v="Bowen University Teaching Hospital"/>
    <x v="1"/>
    <s v="Dr. Emeka Okorie"/>
    <x v="0"/>
    <n v="47340.29"/>
    <s v="Digoxin"/>
    <n v="10"/>
    <n v="123"/>
    <n v="16.899999999999999"/>
    <s v="Inconclusive"/>
    <x v="0"/>
  </r>
  <r>
    <x v="1535"/>
    <s v="Fatima Dauda"/>
    <n v="63"/>
    <x v="3"/>
    <x v="1"/>
    <s v="B+"/>
    <x v="6"/>
    <x v="0"/>
    <x v="587"/>
    <d v="2022-10-27T00:00:00"/>
    <n v="8"/>
    <s v="Aminu Kano Teaching Hospital"/>
    <x v="2"/>
    <s v="Dr. Ngozi Eze-Williams"/>
    <x v="2"/>
    <n v="48381.86"/>
    <s v="Tiotropium"/>
    <n v="6"/>
    <n v="385"/>
    <n v="25.9"/>
    <s v="Normal"/>
    <x v="0"/>
  </r>
  <r>
    <x v="1536"/>
    <s v="Hauwa Abubakar"/>
    <n v="72"/>
    <x v="4"/>
    <x v="1"/>
    <s v="B+"/>
    <x v="5"/>
    <x v="0"/>
    <x v="707"/>
    <d v="2019-10-14T00:00:00"/>
    <n v="8"/>
    <s v="University of Calabar Teaching Hospital"/>
    <x v="0"/>
    <s v="Dr. Fatima Al-Hassan"/>
    <x v="4"/>
    <n v="84314"/>
    <s v="Metoprolol"/>
    <n v="10"/>
    <n v="307"/>
    <n v="19.899999999999999"/>
    <s v="Abnormal"/>
    <x v="0"/>
  </r>
  <r>
    <x v="1537"/>
    <s v="Zainab Okafor"/>
    <n v="59"/>
    <x v="3"/>
    <x v="1"/>
    <s v="A-"/>
    <x v="1"/>
    <x v="1"/>
    <x v="1065"/>
    <d v="2022-04-30T00:00:00"/>
    <n v="3"/>
    <s v="Lagos University Teaching Hospital"/>
    <x v="1"/>
    <s v="Dr. Ibrahim Musa"/>
    <x v="1"/>
    <n v="7977.5"/>
    <s v="Linagliptin"/>
    <n v="6"/>
    <n v="186"/>
    <n v="30"/>
    <s v="Normal"/>
    <x v="0"/>
  </r>
  <r>
    <x v="1538"/>
    <s v="Rachel Garba"/>
    <n v="72"/>
    <x v="4"/>
    <x v="1"/>
    <s v="B+"/>
    <x v="0"/>
    <x v="1"/>
    <x v="760"/>
    <d v="2023-10-12T00:00:00"/>
    <n v="16"/>
    <s v="Federal Medical Centre Asaba"/>
    <x v="0"/>
    <s v="Dr. Babatunde Fashola"/>
    <x v="0"/>
    <n v="38110"/>
    <s v="Trastuzumab"/>
    <n v="12"/>
    <n v="147"/>
    <m/>
    <s v="Abnormal"/>
    <x v="0"/>
  </r>
  <r>
    <x v="1539"/>
    <s v="Ifeoma Abubakar"/>
    <n v="73"/>
    <x v="4"/>
    <x v="1"/>
    <s v="AB-"/>
    <x v="0"/>
    <x v="0"/>
    <x v="1066"/>
    <d v="2024-04-02T00:00:00"/>
    <n v="22"/>
    <s v="University of Calabar Teaching Hospital"/>
    <x v="0"/>
    <s v="Dr. Babatunde Fashola"/>
    <x v="0"/>
    <n v="100829"/>
    <s v="Carboplatin"/>
    <n v="12"/>
    <n v="450"/>
    <n v="28.2"/>
    <s v="Normal"/>
    <x v="0"/>
  </r>
  <r>
    <x v="1540"/>
    <s v="Adewale Taylor"/>
    <n v="54"/>
    <x v="5"/>
    <x v="0"/>
    <s v="AB-"/>
    <x v="5"/>
    <x v="0"/>
    <x v="188"/>
    <d v="2021-12-21T00:00:00"/>
    <n v="10"/>
    <s v="National Hospital Abuja"/>
    <x v="4"/>
    <s v="Dr. Emeka Okorie"/>
    <x v="1"/>
    <n v="64739.14"/>
    <s v="Warfarin"/>
    <n v="9"/>
    <n v="382"/>
    <n v="25.6"/>
    <s v="Abnormal"/>
    <x v="0"/>
  </r>
  <r>
    <x v="1541"/>
    <s v="Perpetua Johnson"/>
    <n v="64"/>
    <x v="3"/>
    <x v="1"/>
    <s v="O-"/>
    <x v="4"/>
    <x v="1"/>
    <x v="870"/>
    <d v="2019-04-28T00:00:00"/>
    <n v="2"/>
    <s v="Federal Medical Centre Birnin Kebbi"/>
    <x v="2"/>
    <s v="Dr. Aisha Bello"/>
    <x v="1"/>
    <n v="9171.19"/>
    <s v="Ciprofloxacin"/>
    <n v="3"/>
    <n v="134"/>
    <n v="28.1"/>
    <s v="Normal"/>
    <x v="0"/>
  </r>
  <r>
    <x v="1542"/>
    <s v="Grace Anderson"/>
    <n v="51"/>
    <x v="5"/>
    <x v="1"/>
    <s v="AB-"/>
    <x v="6"/>
    <x v="1"/>
    <x v="1067"/>
    <d v="2019-07-04T00:00:00"/>
    <n v="3"/>
    <s v="Federal Medical Centre Birnin Kebbi"/>
    <x v="2"/>
    <s v="Dr. Yusuf Danjuma"/>
    <x v="3"/>
    <n v="26851"/>
    <s v="Prednisolone"/>
    <n v="7"/>
    <n v="191"/>
    <n v="33.200000000000003"/>
    <s v="Normal"/>
    <x v="0"/>
  </r>
  <r>
    <x v="1543"/>
    <s v="Chukwudi Ibrahim"/>
    <n v="16"/>
    <x v="0"/>
    <x v="0"/>
    <s v="A+"/>
    <x v="1"/>
    <x v="2"/>
    <x v="682"/>
    <d v="2019-04-24T00:00:00"/>
    <n v="5"/>
    <s v="Lagos University Teaching Hospital"/>
    <x v="1"/>
    <s v="Dr. Ibrahim Musa"/>
    <x v="0"/>
    <n v="9108.7199999999993"/>
    <s v="Sitagliptin"/>
    <n v="7"/>
    <n v="171"/>
    <n v="32.5"/>
    <s v="Abnormal"/>
    <x v="0"/>
  </r>
  <r>
    <x v="1544"/>
    <s v="David Onuoha"/>
    <n v="82"/>
    <x v="1"/>
    <x v="0"/>
    <s v="B-"/>
    <x v="2"/>
    <x v="0"/>
    <x v="1068"/>
    <d v="2023-10-09T00:00:00"/>
    <n v="11"/>
    <s v="Bowen University Teaching Hospital"/>
    <x v="1"/>
    <s v="Dr. Olumide Abiodun"/>
    <x v="1"/>
    <n v="63628"/>
    <s v="Aspirin"/>
    <n v="9"/>
    <n v="388"/>
    <n v="33.5"/>
    <s v="Normal"/>
    <x v="0"/>
  </r>
  <r>
    <x v="1545"/>
    <s v="Michael Hassan"/>
    <n v="85"/>
    <x v="1"/>
    <x v="0"/>
    <s v="O+"/>
    <x v="5"/>
    <x v="1"/>
    <x v="802"/>
    <d v="2021-02-13T00:00:00"/>
    <n v="11"/>
    <s v="Aminu Kano Teaching Hospital"/>
    <x v="2"/>
    <s v="Dr. Emeka Okorie"/>
    <x v="4"/>
    <n v="58362.7"/>
    <s v="Digoxin"/>
    <n v="7"/>
    <n v="186"/>
    <n v="31.6"/>
    <s v="Abnormal"/>
    <x v="1"/>
  </r>
  <r>
    <x v="1546"/>
    <s v="Aisha Garba"/>
    <n v="71"/>
    <x v="4"/>
    <x v="1"/>
    <s v="AB+"/>
    <x v="6"/>
    <x v="2"/>
    <x v="1069"/>
    <d v="2019-04-03T00:00:00"/>
    <n v="3"/>
    <s v="Bowen University Teaching Hospital"/>
    <x v="1"/>
    <s v="Dr. Ngozi Eze-Williams"/>
    <x v="1"/>
    <n v="21285.72"/>
    <s v="Tiotropium"/>
    <n v="5"/>
    <n v="103"/>
    <n v="25.1"/>
    <s v="Abnormal"/>
    <x v="0"/>
  </r>
  <r>
    <x v="1547"/>
    <s v="Ifeanyi Garba"/>
    <n v="92"/>
    <x v="1"/>
    <x v="0"/>
    <s v="O+"/>
    <x v="5"/>
    <x v="0"/>
    <x v="1070"/>
    <d v="2022-07-16T00:00:00"/>
    <n v="11"/>
    <s v="Federal Medical Centre Owerri"/>
    <x v="3"/>
    <s v="Dr. Fatima Al-Hassan"/>
    <x v="1"/>
    <n v="132909.26999999999"/>
    <s v="Warfarin"/>
    <n v="8"/>
    <n v="303"/>
    <n v="20.100000000000001"/>
    <s v="Abnormal"/>
    <x v="0"/>
  </r>
  <r>
    <x v="1548"/>
    <s v="Oluwaseun Okafor"/>
    <n v="90"/>
    <x v="1"/>
    <x v="0"/>
    <s v="B+"/>
    <x v="4"/>
    <x v="1"/>
    <x v="260"/>
    <d v="2020-06-24T00:00:00"/>
    <n v="3"/>
    <s v="University College Hospital Ibadan"/>
    <x v="1"/>
    <s v="Dr. Aisha Bello"/>
    <x v="0"/>
    <n v="14245.5"/>
    <s v="Omeprazole"/>
    <n v="5"/>
    <n v="145"/>
    <n v="31"/>
    <s v="Inconclusive"/>
    <x v="1"/>
  </r>
  <r>
    <x v="1549"/>
    <s v="James Osagie"/>
    <n v="64"/>
    <x v="3"/>
    <x v="0"/>
    <s v="B-"/>
    <x v="5"/>
    <x v="0"/>
    <x v="1071"/>
    <d v="2023-06-11T00:00:00"/>
    <n v="11"/>
    <s v="Federal Medical Centre Asaba"/>
    <x v="0"/>
    <s v="Dr. Emeka Okorie"/>
    <x v="1"/>
    <n v="62090.03"/>
    <s v="Furosemide"/>
    <n v="10"/>
    <n v="307"/>
    <n v="30.6"/>
    <s v="Inconclusive"/>
    <x v="0"/>
  </r>
  <r>
    <x v="1550"/>
    <s v="Mary Smith"/>
    <n v="37"/>
    <x v="5"/>
    <x v="1"/>
    <s v="A-"/>
    <x v="2"/>
    <x v="1"/>
    <x v="1072"/>
    <d v="2023-04-08T00:00:00"/>
    <n v="7"/>
    <s v="Bowen University Teaching Hospital"/>
    <x v="1"/>
    <s v="Dr. Zainab Sule"/>
    <x v="4"/>
    <n v="82610.34"/>
    <s v="Valproate"/>
    <n v="8"/>
    <n v="133"/>
    <n v="35.799999999999997"/>
    <s v="Abnormal"/>
    <x v="1"/>
  </r>
  <r>
    <x v="1551"/>
    <s v="Segun Okeke"/>
    <n v="68"/>
    <x v="4"/>
    <x v="0"/>
    <s v="O-"/>
    <x v="5"/>
    <x v="1"/>
    <x v="23"/>
    <d v="2021-07-08T00:00:00"/>
    <n v="6"/>
    <s v="University College Hospital Ibadan"/>
    <x v="1"/>
    <s v="Dr. Emeka Okorie"/>
    <x v="0"/>
    <n v="18291.830000000002"/>
    <s v="Aspirin"/>
    <n v="10"/>
    <n v="153"/>
    <n v="34.299999999999997"/>
    <s v="Abnormal"/>
    <x v="0"/>
  </r>
  <r>
    <x v="1552"/>
    <s v="Blessing Ajala"/>
    <n v="29"/>
    <x v="2"/>
    <x v="1"/>
    <s v="A+"/>
    <x v="0"/>
    <x v="1"/>
    <x v="1073"/>
    <d v="2021-09-14T00:00:00"/>
    <n v="10"/>
    <s v="University College Hospital Ibadan"/>
    <x v="1"/>
    <s v="Dr. Grace Oduya"/>
    <x v="1"/>
    <n v="30605.65"/>
    <s v="Ondansetron"/>
    <n v="12"/>
    <n v="161"/>
    <n v="20.9"/>
    <s v="Abnormal"/>
    <x v="0"/>
  </r>
  <r>
    <x v="1553"/>
    <s v="Kunle Williams"/>
    <n v="66"/>
    <x v="4"/>
    <x v="0"/>
    <s v="B+"/>
    <x v="5"/>
    <x v="0"/>
    <x v="935"/>
    <d v="2023-11-30T00:00:00"/>
    <n v="9"/>
    <s v="Ahmadu Bello University Teaching Hospital"/>
    <x v="2"/>
    <s v="Dr. Fatima Al-Hassan"/>
    <x v="4"/>
    <n v="73847.649999999994"/>
    <s v="Lisinopril"/>
    <n v="10"/>
    <n v="341"/>
    <n v="29.2"/>
    <s v="Abnormal"/>
    <x v="1"/>
  </r>
  <r>
    <x v="1554"/>
    <s v="Daniel Taylor"/>
    <n v="82"/>
    <x v="1"/>
    <x v="0"/>
    <s v="A+"/>
    <x v="3"/>
    <x v="0"/>
    <x v="976"/>
    <d v="2022-04-28T00:00:00"/>
    <n v="7"/>
    <s v="Lagos University Teaching Hospital"/>
    <x v="1"/>
    <s v="Dr. Kemi Adeyemi"/>
    <x v="4"/>
    <n v="36204.67"/>
    <s v="Morphine"/>
    <n v="6"/>
    <n v="253"/>
    <n v="27.5"/>
    <s v="Normal"/>
    <x v="0"/>
  </r>
  <r>
    <x v="1555"/>
    <s v="Emeka Nwosu"/>
    <n v="87"/>
    <x v="1"/>
    <x v="0"/>
    <s v="B+"/>
    <x v="5"/>
    <x v="2"/>
    <x v="1074"/>
    <d v="2024-05-31T00:00:00"/>
    <n v="8"/>
    <s v="University of Calabar Teaching Hospital"/>
    <x v="0"/>
    <s v="Dr. Fatima Al-Hassan"/>
    <x v="0"/>
    <n v="58591.47"/>
    <s v="Amiodarone"/>
    <n v="8"/>
    <n v="396"/>
    <n v="46.6"/>
    <s v="Abnormal"/>
    <x v="0"/>
  </r>
  <r>
    <x v="1556"/>
    <s v="Nnamdi Abubakar"/>
    <n v="73"/>
    <x v="4"/>
    <x v="0"/>
    <s v="O-"/>
    <x v="1"/>
    <x v="1"/>
    <x v="766"/>
    <d v="2020-11-27T00:00:00"/>
    <n v="2"/>
    <s v="Federal Medical Centre Birnin Kebbi"/>
    <x v="2"/>
    <s v="Dr. Chioma Nwankwo"/>
    <x v="3"/>
    <n v="28323.49"/>
    <s v="Empagliflozin"/>
    <n v="6"/>
    <n v="131"/>
    <n v="34.700000000000003"/>
    <s v="Abnormal"/>
    <x v="1"/>
  </r>
  <r>
    <x v="1557"/>
    <s v="Kunle Okonkwo"/>
    <n v="34"/>
    <x v="2"/>
    <x v="0"/>
    <s v="O-"/>
    <x v="4"/>
    <x v="1"/>
    <x v="802"/>
    <d v="2021-02-05T00:00:00"/>
    <n v="3"/>
    <s v="University of Calabar Teaching Hospital"/>
    <x v="0"/>
    <s v="Dr. Aisha Bello"/>
    <x v="0"/>
    <n v="5139.6400000000003"/>
    <s v="Loperamide"/>
    <n v="4"/>
    <n v="157"/>
    <n v="23.5"/>
    <s v="Abnormal"/>
    <x v="0"/>
  </r>
  <r>
    <x v="1558"/>
    <s v="Mary Ibrahim"/>
    <n v="33"/>
    <x v="2"/>
    <x v="1"/>
    <s v="B-"/>
    <x v="5"/>
    <x v="0"/>
    <x v="1027"/>
    <m/>
    <m/>
    <s v="Bowen University Teaching Hospital"/>
    <x v="1"/>
    <s v="Dr. Fatima Al-Hassan"/>
    <x v="4"/>
    <n v="70779.73"/>
    <s v="Furosemide"/>
    <n v="10"/>
    <n v="313"/>
    <n v="30.8"/>
    <s v="Inconclusive"/>
    <x v="0"/>
  </r>
  <r>
    <x v="1559"/>
    <s v="Daniel Danjuma"/>
    <n v="79"/>
    <x v="1"/>
    <x v="0"/>
    <s v="AB-"/>
    <x v="4"/>
    <x v="2"/>
    <x v="918"/>
    <d v="2022-08-15T00:00:00"/>
    <n v="2"/>
    <s v="Ahmadu Bello University Teaching Hospital"/>
    <x v="2"/>
    <s v="Dr. Aisha Bello"/>
    <x v="1"/>
    <n v="28404.25"/>
    <s v="Loperamide"/>
    <n v="5"/>
    <n v="258"/>
    <n v="21.9"/>
    <s v="Normal"/>
    <x v="0"/>
  </r>
  <r>
    <x v="1560"/>
    <s v="Tunde Smith"/>
    <n v="51"/>
    <x v="5"/>
    <x v="0"/>
    <s v="B+"/>
    <x v="3"/>
    <x v="2"/>
    <x v="1075"/>
    <d v="2021-07-07T00:00:00"/>
    <n v="6"/>
    <s v="Federal Medical Centre Birnin Kebbi"/>
    <x v="2"/>
    <s v="Dr. Lanre Ogundele"/>
    <x v="1"/>
    <n v="47879.83"/>
    <s v="Amoxicillin"/>
    <n v="6"/>
    <n v="331"/>
    <n v="23.9"/>
    <s v="Abnormal"/>
    <x v="0"/>
  </r>
  <r>
    <x v="1561"/>
    <s v="Uche Oni"/>
    <n v="71"/>
    <x v="4"/>
    <x v="0"/>
    <s v="B+"/>
    <x v="0"/>
    <x v="1"/>
    <x v="916"/>
    <d v="2022-08-19T00:00:00"/>
    <n v="17"/>
    <s v="Bowen University Teaching Hospital"/>
    <x v="1"/>
    <s v="Dr. Grace Oduya"/>
    <x v="2"/>
    <n v="66160.58"/>
    <s v="Bevacizumab"/>
    <n v="12"/>
    <n v="131"/>
    <n v="21.8"/>
    <s v="Abnormal"/>
    <x v="0"/>
  </r>
  <r>
    <x v="1562"/>
    <s v="Zainab Garba"/>
    <n v="44"/>
    <x v="5"/>
    <x v="1"/>
    <s v="AB-"/>
    <x v="0"/>
    <x v="0"/>
    <x v="219"/>
    <d v="2021-10-23T00:00:00"/>
    <n v="19"/>
    <s v="University of Calabar Teaching Hospital"/>
    <x v="0"/>
    <s v="Dr. Babatunde Fashola"/>
    <x v="4"/>
    <n v="146535.76999999999"/>
    <s v="Bevacizumab"/>
    <n v="11"/>
    <n v="398"/>
    <m/>
    <s v="Inconclusive"/>
    <x v="0"/>
  </r>
  <r>
    <x v="1563"/>
    <s v="Lanre Salami"/>
    <n v="40"/>
    <x v="5"/>
    <x v="0"/>
    <s v="A-"/>
    <x v="5"/>
    <x v="0"/>
    <x v="1076"/>
    <d v="2021-06-12T00:00:00"/>
    <n v="12"/>
    <s v="Aminu Kano Teaching Hospital"/>
    <x v="2"/>
    <s v="Dr. Emeka Okorie"/>
    <x v="4"/>
    <n v="92408.72"/>
    <s v="Metoprolol"/>
    <n v="9"/>
    <n v="339"/>
    <n v="21.2"/>
    <s v="Abnormal"/>
    <x v="0"/>
  </r>
  <r>
    <x v="1564"/>
    <s v="Tolulope Oni"/>
    <n v="75"/>
    <x v="1"/>
    <x v="1"/>
    <s v="O+"/>
    <x v="6"/>
    <x v="1"/>
    <x v="1077"/>
    <d v="2023-12-26T00:00:00"/>
    <n v="5"/>
    <s v="Aminu Kano Teaching Hospital"/>
    <x v="2"/>
    <s v="Dr. Yusuf Danjuma"/>
    <x v="0"/>
    <n v="37621"/>
    <s v="Montelukast"/>
    <n v="7"/>
    <n v="134"/>
    <n v="33"/>
    <s v="Abnormal"/>
    <x v="0"/>
  </r>
  <r>
    <x v="1565"/>
    <s v="Emeka Adebayo"/>
    <n v="25"/>
    <x v="2"/>
    <x v="0"/>
    <s v="A+"/>
    <x v="7"/>
    <x v="1"/>
    <x v="440"/>
    <d v="2020-05-05T00:00:00"/>
    <n v="4"/>
    <s v="Federal Medical Centre Asaba"/>
    <x v="0"/>
    <s v="Dr. Musa Aliyu"/>
    <x v="4"/>
    <n v="15079.18"/>
    <s v="Ibuprofen"/>
    <n v="5"/>
    <n v="131"/>
    <n v="26"/>
    <s v="Inconclusive"/>
    <x v="0"/>
  </r>
  <r>
    <x v="1566"/>
    <s v="Musa Onuoha"/>
    <n v="27"/>
    <x v="2"/>
    <x v="0"/>
    <s v="A-"/>
    <x v="5"/>
    <x v="1"/>
    <x v="1078"/>
    <d v="2022-02-18T00:00:00"/>
    <n v="2"/>
    <s v="National Hospital Abuja"/>
    <x v="4"/>
    <s v="Dr. Emeka Okorie"/>
    <x v="3"/>
    <n v="27740.06"/>
    <s v="Aspirin"/>
    <n v="10"/>
    <n v="103"/>
    <n v="33.6"/>
    <s v="Abnormal"/>
    <x v="1"/>
  </r>
  <r>
    <x v="1567"/>
    <s v="Ibrahim Hassan"/>
    <n v="61"/>
    <x v="3"/>
    <x v="0"/>
    <s v="O-"/>
    <x v="1"/>
    <x v="2"/>
    <x v="1079"/>
    <d v="2019-01-08T00:00:00"/>
    <n v="2"/>
    <s v="Federal Medical Centre Owerri"/>
    <x v="3"/>
    <s v="Dr. Ibrahim Musa"/>
    <x v="0"/>
    <n v="11984"/>
    <s v="Dapagliflozin"/>
    <n v="6"/>
    <n v="206"/>
    <n v="35.9"/>
    <s v="Inconclusive"/>
    <x v="0"/>
  </r>
  <r>
    <x v="1568"/>
    <s v="Aisha Brown"/>
    <n v="92"/>
    <x v="1"/>
    <x v="1"/>
    <s v="O-"/>
    <x v="6"/>
    <x v="1"/>
    <x v="379"/>
    <d v="2021-03-20T00:00:00"/>
    <n v="5"/>
    <s v="Bowen University Teaching Hospital"/>
    <x v="1"/>
    <s v="Dr. Ngozi Eze-Williams"/>
    <x v="0"/>
    <n v="22787.360000000001"/>
    <s v="Theophylline"/>
    <n v="7"/>
    <n v="174"/>
    <n v="30"/>
    <s v="Abnormal"/>
    <x v="1"/>
  </r>
  <r>
    <x v="1569"/>
    <s v="Chiamaka Onuoha"/>
    <n v="68"/>
    <x v="4"/>
    <x v="1"/>
    <s v="O+"/>
    <x v="3"/>
    <x v="0"/>
    <x v="646"/>
    <d v="2019-03-16T00:00:00"/>
    <n v="4"/>
    <s v="Federal Medical Centre Birnin Kebbi"/>
    <x v="2"/>
    <s v="Dr. Precious Obi"/>
    <x v="1"/>
    <n v="78665.960000000006"/>
    <s v="Morphine"/>
    <n v="6"/>
    <n v="161"/>
    <n v="39.799999999999997"/>
    <s v="Abnormal"/>
    <x v="0"/>
  </r>
  <r>
    <x v="1570"/>
    <s v="Grace Lawan"/>
    <n v="64"/>
    <x v="3"/>
    <x v="1"/>
    <s v="A-"/>
    <x v="5"/>
    <x v="2"/>
    <x v="1080"/>
    <d v="2020-04-18T00:00:00"/>
    <n v="12"/>
    <s v="Ahmadu Bello University Teaching Hospital"/>
    <x v="2"/>
    <s v="Dr. Adewale Ogundimu"/>
    <x v="0"/>
    <n v="25442"/>
    <s v="Digoxin"/>
    <n v="10"/>
    <n v="176"/>
    <n v="30.1"/>
    <s v="Abnormal"/>
    <x v="0"/>
  </r>
  <r>
    <x v="1571"/>
    <s v="Musa Adebayo"/>
    <n v="41"/>
    <x v="5"/>
    <x v="0"/>
    <s v="B+"/>
    <x v="0"/>
    <x v="2"/>
    <x v="1005"/>
    <d v="2020-08-05T00:00:00"/>
    <n v="20"/>
    <s v="Federal Medical Centre Asaba"/>
    <x v="0"/>
    <s v="Dr. Grace Oduya"/>
    <x v="0"/>
    <n v="66639"/>
    <s v="Paclitaxel"/>
    <n v="12"/>
    <n v="165"/>
    <n v="16.100000000000001"/>
    <s v="Normal"/>
    <x v="0"/>
  </r>
  <r>
    <x v="1572"/>
    <s v="Daniel Okafor"/>
    <n v="61"/>
    <x v="3"/>
    <x v="0"/>
    <s v="AB-"/>
    <x v="4"/>
    <x v="2"/>
    <x v="1081"/>
    <d v="2023-07-12T00:00:00"/>
    <n v="3"/>
    <s v="Federal Medical Centre Asaba"/>
    <x v="0"/>
    <s v="Dr. Aisha Bello"/>
    <x v="2"/>
    <n v="12304.13"/>
    <s v="Mesalazine"/>
    <n v="4"/>
    <n v="275"/>
    <m/>
    <s v="Inconclusive"/>
    <x v="0"/>
  </r>
  <r>
    <x v="1573"/>
    <s v="Chukwuemeka Adeleke"/>
    <n v="72"/>
    <x v="4"/>
    <x v="0"/>
    <s v="B-"/>
    <x v="3"/>
    <x v="1"/>
    <x v="362"/>
    <d v="2022-01-27T00:00:00"/>
    <n v="4"/>
    <s v="Federal Medical Centre Owerri"/>
    <x v="3"/>
    <s v="Dr. Lanre Ogundele"/>
    <x v="1"/>
    <n v="33341.629999999997"/>
    <s v="Enoxaparin"/>
    <n v="6"/>
    <n v="115"/>
    <n v="33.299999999999997"/>
    <s v="Abnormal"/>
    <x v="0"/>
  </r>
  <r>
    <x v="1574"/>
    <s v="Suleiman Sule"/>
    <n v="74"/>
    <x v="4"/>
    <x v="0"/>
    <s v="B+"/>
    <x v="5"/>
    <x v="1"/>
    <x v="1082"/>
    <d v="2022-11-11T00:00:00"/>
    <n v="5"/>
    <s v="University of Calabar Teaching Hospital"/>
    <x v="0"/>
    <s v="Dr. Emeka Okorie"/>
    <x v="2"/>
    <n v="82593"/>
    <s v="Spironolactone"/>
    <n v="10"/>
    <n v="166"/>
    <n v="24.9"/>
    <s v="Inconclusive"/>
    <x v="0"/>
  </r>
  <r>
    <x v="1575"/>
    <s v="Ibrahim Williams"/>
    <n v="73"/>
    <x v="4"/>
    <x v="0"/>
    <s v="AB+"/>
    <x v="5"/>
    <x v="1"/>
    <x v="1083"/>
    <d v="2024-08-25T00:00:00"/>
    <n v="9"/>
    <s v="University of Calabar Teaching Hospital"/>
    <x v="0"/>
    <s v="Dr. Adewale Ogundimu"/>
    <x v="0"/>
    <n v="46089.8"/>
    <s v="Spironolactone"/>
    <n v="10"/>
    <n v="193"/>
    <n v="35.799999999999997"/>
    <s v="Abnormal"/>
    <x v="1"/>
  </r>
  <r>
    <x v="1576"/>
    <s v="Musa Adeyemi"/>
    <n v="75"/>
    <x v="1"/>
    <x v="0"/>
    <s v="A+"/>
    <x v="0"/>
    <x v="2"/>
    <x v="1084"/>
    <d v="2020-07-29T00:00:00"/>
    <n v="18"/>
    <s v="University College Hospital Ibadan"/>
    <x v="1"/>
    <s v="Dr. Grace Oduya"/>
    <x v="0"/>
    <n v="149967.43"/>
    <s v="Filgrastim"/>
    <n v="9"/>
    <n v="339"/>
    <n v="23.3"/>
    <s v="Inconclusive"/>
    <x v="1"/>
  </r>
  <r>
    <x v="1577"/>
    <s v="Kemi Ogbonna"/>
    <n v="38"/>
    <x v="5"/>
    <x v="1"/>
    <s v="A-"/>
    <x v="2"/>
    <x v="2"/>
    <x v="1085"/>
    <d v="2020-10-30T00:00:00"/>
    <n v="6"/>
    <s v="University College Hospital Ibadan"/>
    <x v="1"/>
    <s v="Dr. Zainab Sule"/>
    <x v="0"/>
    <n v="31152.880000000001"/>
    <s v="Topiramate"/>
    <n v="9"/>
    <n v="156"/>
    <n v="27.3"/>
    <s v="Inconclusive"/>
    <x v="0"/>
  </r>
  <r>
    <x v="1578"/>
    <s v="Funke Onuoha"/>
    <n v="91"/>
    <x v="1"/>
    <x v="1"/>
    <s v="B+"/>
    <x v="1"/>
    <x v="2"/>
    <x v="1086"/>
    <d v="2020-03-11T00:00:00"/>
    <n v="3"/>
    <s v="Bowen University Teaching Hospital"/>
    <x v="1"/>
    <s v="Dr. Chioma Nwankwo"/>
    <x v="1"/>
    <n v="21082"/>
    <s v="Liraglutide"/>
    <n v="8"/>
    <n v="390"/>
    <n v="28.6"/>
    <s v="Abnormal"/>
    <x v="0"/>
  </r>
  <r>
    <x v="1579"/>
    <s v="Halima Brown"/>
    <n v="70"/>
    <x v="4"/>
    <x v="1"/>
    <s v="B+"/>
    <x v="4"/>
    <x v="0"/>
    <x v="585"/>
    <d v="2019-12-17T00:00:00"/>
    <n v="9"/>
    <s v="Aminu Kano Teaching Hospital"/>
    <x v="2"/>
    <s v="Dr. Segun Banke"/>
    <x v="0"/>
    <n v="19019.59"/>
    <s v="Metronidazole"/>
    <n v="5"/>
    <n v="144"/>
    <n v="29.7"/>
    <s v="Abnormal"/>
    <x v="0"/>
  </r>
  <r>
    <x v="1580"/>
    <s v="Tunde Taylor"/>
    <n v="88"/>
    <x v="1"/>
    <x v="0"/>
    <s v="O+"/>
    <x v="0"/>
    <x v="0"/>
    <x v="20"/>
    <d v="2022-06-20T00:00:00"/>
    <n v="22"/>
    <s v="Ahmadu Bello University Teaching Hospital"/>
    <x v="2"/>
    <s v="Dr. Grace Oduya"/>
    <x v="1"/>
    <n v="176939.94"/>
    <s v="Trastuzumab"/>
    <n v="11"/>
    <n v="161"/>
    <n v="19.5"/>
    <s v="Abnormal"/>
    <x v="0"/>
  </r>
  <r>
    <x v="1581"/>
    <s v="Rachel Eze"/>
    <n v="2"/>
    <x v="0"/>
    <x v="1"/>
    <s v="O-"/>
    <x v="4"/>
    <x v="1"/>
    <x v="1087"/>
    <d v="2021-01-15T00:00:00"/>
    <n v="3"/>
    <s v="National Hospital Abuja"/>
    <x v="4"/>
    <s v="Dr. Segun Banke"/>
    <x v="0"/>
    <n v="5777.99"/>
    <s v="Loperamide"/>
    <n v="5"/>
    <n v="142"/>
    <n v="21.8"/>
    <s v="Normal"/>
    <x v="0"/>
  </r>
  <r>
    <x v="1582"/>
    <s v="Oluwaseun Moore"/>
    <n v="58"/>
    <x v="3"/>
    <x v="0"/>
    <s v="A-"/>
    <x v="5"/>
    <x v="0"/>
    <x v="1088"/>
    <d v="2019-05-15T00:00:00"/>
    <n v="17"/>
    <s v="Federal Medical Centre Owerri"/>
    <x v="3"/>
    <s v="Dr. Fatima Al-Hassan"/>
    <x v="4"/>
    <n v="55786.97"/>
    <s v="Lisinopril"/>
    <n v="10"/>
    <n v="321"/>
    <n v="37.1"/>
    <s v="Abnormal"/>
    <x v="0"/>
  </r>
  <r>
    <x v="1583"/>
    <s v="Chukwuemeka Salami"/>
    <n v="65"/>
    <x v="4"/>
    <x v="0"/>
    <s v="B-"/>
    <x v="4"/>
    <x v="1"/>
    <x v="190"/>
    <d v="2019-03-29T00:00:00"/>
    <n v="3"/>
    <s v="Federal Medical Centre Birnin Kebbi"/>
    <x v="2"/>
    <s v="Dr. Aisha Bello"/>
    <x v="1"/>
    <n v="18212"/>
    <s v="Metronidazole"/>
    <n v="5"/>
    <n v="174"/>
    <n v="21.5"/>
    <s v="Inconclusive"/>
    <x v="1"/>
  </r>
  <r>
    <x v="1584"/>
    <s v="David Ogbonna"/>
    <n v="51"/>
    <x v="5"/>
    <x v="0"/>
    <s v="A-"/>
    <x v="5"/>
    <x v="0"/>
    <x v="1089"/>
    <d v="2024-01-10T00:00:00"/>
    <n v="11"/>
    <s v="Bowen University Teaching Hospital"/>
    <x v="1"/>
    <s v="Dr. Adewale Ogundimu"/>
    <x v="0"/>
    <n v="35293.15"/>
    <s v="Amlodipine"/>
    <n v="10"/>
    <n v="327"/>
    <n v="28.2"/>
    <s v="Inconclusive"/>
    <x v="0"/>
  </r>
  <r>
    <x v="1585"/>
    <s v="Zainab Abubakar"/>
    <n v="58"/>
    <x v="3"/>
    <x v="1"/>
    <s v="A+"/>
    <x v="1"/>
    <x v="2"/>
    <x v="1090"/>
    <d v="2020-04-23T00:00:00"/>
    <n v="2"/>
    <s v="University of Calabar Teaching Hospital"/>
    <x v="0"/>
    <s v="Dr. Chioma Nwankwo"/>
    <x v="1"/>
    <n v="20454.169999999998"/>
    <s v="Dapagliflozin"/>
    <n v="8"/>
    <n v="171"/>
    <n v="34.9"/>
    <s v="Abnormal"/>
    <x v="0"/>
  </r>
  <r>
    <x v="1586"/>
    <s v="Gbenga Igwe"/>
    <n v="57"/>
    <x v="3"/>
    <x v="0"/>
    <s v="AB-"/>
    <x v="1"/>
    <x v="1"/>
    <x v="223"/>
    <d v="2023-05-23T00:00:00"/>
    <n v="2"/>
    <s v="Aminu Kano Teaching Hospital"/>
    <x v="2"/>
    <s v="Dr. Ibrahim Musa"/>
    <x v="1"/>
    <n v="10723.44"/>
    <s v="Metformin"/>
    <n v="8"/>
    <n v="153"/>
    <n v="27.2"/>
    <s v="Abnormal"/>
    <x v="0"/>
  </r>
  <r>
    <x v="1587"/>
    <s v="Kemi Abiodun"/>
    <n v="68"/>
    <x v="4"/>
    <x v="1"/>
    <s v="AB+"/>
    <x v="1"/>
    <x v="1"/>
    <x v="850"/>
    <d v="2021-11-22T00:00:00"/>
    <n v="5"/>
    <s v="Federal Medical Centre Asaba"/>
    <x v="0"/>
    <s v="Dr. Ibrahim Musa"/>
    <x v="1"/>
    <n v="26439.59"/>
    <s v="Linagliptin"/>
    <n v="8"/>
    <n v="160"/>
    <n v="31.3"/>
    <s v="Normal"/>
    <x v="1"/>
  </r>
  <r>
    <x v="1588"/>
    <s v="Kemi Fashola"/>
    <n v="71"/>
    <x v="4"/>
    <x v="1"/>
    <s v="AB-"/>
    <x v="5"/>
    <x v="0"/>
    <x v="234"/>
    <d v="2024-12-13T00:00:00"/>
    <n v="5"/>
    <s v="University College Hospital Ibadan"/>
    <x v="1"/>
    <s v="Dr. Emeka Okorie"/>
    <x v="4"/>
    <n v="54915.51"/>
    <s v="Amlodipine"/>
    <n v="10"/>
    <n v="357"/>
    <n v="41.3"/>
    <s v="Abnormal"/>
    <x v="0"/>
  </r>
  <r>
    <x v="1589"/>
    <s v="Rotimi Moore"/>
    <n v="92"/>
    <x v="1"/>
    <x v="0"/>
    <s v="A-"/>
    <x v="3"/>
    <x v="0"/>
    <x v="1091"/>
    <d v="2022-09-03T00:00:00"/>
    <n v="13"/>
    <s v="University College Hospital Ibadan"/>
    <x v="1"/>
    <s v="Dr. Lanre Ogundele"/>
    <x v="1"/>
    <n v="59398"/>
    <s v="Enoxaparin"/>
    <n v="4"/>
    <n v="456"/>
    <n v="28.1"/>
    <s v="Normal"/>
    <x v="0"/>
  </r>
  <r>
    <x v="1590"/>
    <s v="Miriam Okeke"/>
    <n v="92"/>
    <x v="1"/>
    <x v="1"/>
    <s v="A+"/>
    <x v="3"/>
    <x v="2"/>
    <x v="649"/>
    <d v="2021-06-09T00:00:00"/>
    <n v="6"/>
    <s v="University of Calabar Teaching Hospital"/>
    <x v="0"/>
    <s v="Dr. Kemi Adeyemi"/>
    <x v="0"/>
    <n v="55963.12"/>
    <s v="Ondansetron"/>
    <n v="6"/>
    <n v="182"/>
    <n v="20"/>
    <s v="Normal"/>
    <x v="1"/>
  </r>
  <r>
    <x v="1591"/>
    <s v="Chidi Nwosu"/>
    <n v="18"/>
    <x v="2"/>
    <x v="0"/>
    <s v="AB+"/>
    <x v="2"/>
    <x v="2"/>
    <x v="1092"/>
    <d v="2020-01-06T00:00:00"/>
    <n v="12"/>
    <s v="Bowen University Teaching Hospital"/>
    <x v="1"/>
    <s v="Dr. Rotimi Fashola"/>
    <x v="0"/>
    <n v="50097.49"/>
    <s v="Phenytoin"/>
    <n v="8"/>
    <n v="463"/>
    <n v="36.700000000000003"/>
    <s v="Abnormal"/>
    <x v="0"/>
  </r>
  <r>
    <x v="1592"/>
    <s v="Mariam Danjuma"/>
    <n v="64"/>
    <x v="3"/>
    <x v="1"/>
    <s v="B+"/>
    <x v="1"/>
    <x v="1"/>
    <x v="880"/>
    <d v="2020-07-14T00:00:00"/>
    <n v="2"/>
    <s v="Federal Medical Centre Asaba"/>
    <x v="0"/>
    <s v="Dr. Taiwo Adeleke"/>
    <x v="4"/>
    <n v="10816.43"/>
    <s v="Glibenclamide"/>
    <n v="8"/>
    <n v="111"/>
    <n v="35.4"/>
    <s v="Abnormal"/>
    <x v="1"/>
  </r>
  <r>
    <x v="1593"/>
    <s v="Elizabeth Wilson"/>
    <n v="70"/>
    <x v="4"/>
    <x v="1"/>
    <s v="B-"/>
    <x v="5"/>
    <x v="3"/>
    <x v="227"/>
    <d v="2024-01-01T00:00:00"/>
    <n v="16"/>
    <s v="National Hospital Abuja"/>
    <x v="4"/>
    <s v="Dr. Adewale Ogundimu"/>
    <x v="0"/>
    <n v="73352.02"/>
    <s v="Lisinopril"/>
    <n v="10"/>
    <n v="158"/>
    <n v="34.4"/>
    <s v="Abnormal"/>
    <x v="1"/>
  </r>
  <r>
    <x v="1594"/>
    <s v="Fatima Bello"/>
    <n v="80"/>
    <x v="1"/>
    <x v="1"/>
    <s v="A+"/>
    <x v="5"/>
    <x v="0"/>
    <x v="1093"/>
    <d v="2019-04-04T00:00:00"/>
    <n v="8"/>
    <s v="Federal Medical Centre Asaba"/>
    <x v="0"/>
    <s v="Dr. Emeka Okorie"/>
    <x v="2"/>
    <n v="141992.29999999999"/>
    <s v="Atorvastatin"/>
    <n v="9"/>
    <n v="392"/>
    <n v="27.6"/>
    <s v="Abnormal"/>
    <x v="1"/>
  </r>
  <r>
    <x v="1595"/>
    <s v="Kayode Williams"/>
    <n v="64"/>
    <x v="3"/>
    <x v="0"/>
    <s v="A-"/>
    <x v="6"/>
    <x v="0"/>
    <x v="1094"/>
    <d v="2022-02-05T00:00:00"/>
    <n v="7"/>
    <s v="Federal Medical Centre Owerri"/>
    <x v="3"/>
    <s v="Dr. Yusuf Danjuma"/>
    <x v="4"/>
    <n v="29252.25"/>
    <s v="Salbutamol"/>
    <n v="7"/>
    <n v="320"/>
    <n v="29.1"/>
    <s v="Normal"/>
    <x v="0"/>
  </r>
  <r>
    <x v="1596"/>
    <s v="Rukayat Oni"/>
    <n v="69"/>
    <x v="4"/>
    <x v="1"/>
    <s v="A-"/>
    <x v="0"/>
    <x v="1"/>
    <x v="1095"/>
    <d v="2022-02-07T00:00:00"/>
    <n v="7"/>
    <s v="Bowen University Teaching Hospital"/>
    <x v="1"/>
    <s v="Dr. Grace Oduya"/>
    <x v="2"/>
    <n v="64093.13"/>
    <s v="Filgrastim"/>
    <n v="11"/>
    <n v="116"/>
    <n v="19"/>
    <s v="Abnormal"/>
    <x v="0"/>
  </r>
  <r>
    <x v="1597"/>
    <s v="Perpetua Abubakar"/>
    <n v="68"/>
    <x v="4"/>
    <x v="1"/>
    <s v="AB-"/>
    <x v="5"/>
    <x v="1"/>
    <x v="557"/>
    <d v="2023-12-20T00:00:00"/>
    <n v="6"/>
    <s v="University College Hospital Ibadan"/>
    <x v="1"/>
    <s v="Dr. Adewale Ogundimu"/>
    <x v="2"/>
    <n v="53125.43"/>
    <s v="Amiodarone"/>
    <n v="9"/>
    <n v="176"/>
    <n v="27.1"/>
    <s v="Abnormal"/>
    <x v="1"/>
  </r>
  <r>
    <x v="1598"/>
    <s v="Musa Lawan"/>
    <n v="67"/>
    <x v="4"/>
    <x v="0"/>
    <s v="O+"/>
    <x v="3"/>
    <x v="0"/>
    <x v="1096"/>
    <m/>
    <m/>
    <s v="Ahmadu Bello University Teaching Hospital"/>
    <x v="2"/>
    <s v="Dr. Lanre Ogundele"/>
    <x v="2"/>
    <n v="36921.910000000003"/>
    <s v="Enoxaparin"/>
    <n v="5"/>
    <n v="461"/>
    <n v="19.7"/>
    <s v="Abnormal"/>
    <x v="0"/>
  </r>
  <r>
    <x v="1599"/>
    <s v="Peter Lawal"/>
    <n v="80"/>
    <x v="1"/>
    <x v="0"/>
    <s v="A-"/>
    <x v="7"/>
    <x v="2"/>
    <x v="1097"/>
    <d v="2022-11-12T00:00:00"/>
    <n v="3"/>
    <s v="Federal Medical Centre Owerri"/>
    <x v="3"/>
    <s v="Dr. Musa Aliyu"/>
    <x v="0"/>
    <n v="34805.879999999997"/>
    <s v="Enoxaparin"/>
    <n v="5"/>
    <n v="171"/>
    <n v="22.7"/>
    <s v="Normal"/>
    <x v="0"/>
  </r>
  <r>
    <x v="1600"/>
    <s v="Hauwa Nwosu"/>
    <n v="84"/>
    <x v="1"/>
    <x v="1"/>
    <s v="A+"/>
    <x v="1"/>
    <x v="0"/>
    <x v="1098"/>
    <d v="2024-11-06T00:00:00"/>
    <n v="5"/>
    <s v="Lagos University Teaching Hospital"/>
    <x v="1"/>
    <s v="Dr. Chioma Nwankwo"/>
    <x v="3"/>
    <n v="26205.53"/>
    <s v="Sitagliptin"/>
    <n v="8"/>
    <n v="306"/>
    <n v="16.899999999999999"/>
    <s v="Inconclusive"/>
    <x v="0"/>
  </r>
  <r>
    <x v="1601"/>
    <s v="Kemi Anderson"/>
    <n v="61"/>
    <x v="3"/>
    <x v="1"/>
    <s v="B-"/>
    <x v="0"/>
    <x v="1"/>
    <x v="1099"/>
    <d v="2021-07-01T00:00:00"/>
    <n v="6"/>
    <s v="Lagos University Teaching Hospital"/>
    <x v="1"/>
    <s v="Dr. Amara Osei"/>
    <x v="1"/>
    <n v="54985.97"/>
    <s v="Paclitaxel"/>
    <n v="12"/>
    <n v="132"/>
    <n v="23.9"/>
    <s v="Abnormal"/>
    <x v="0"/>
  </r>
  <r>
    <x v="1602"/>
    <s v="Joseph Wilson"/>
    <n v="72"/>
    <x v="4"/>
    <x v="0"/>
    <s v="AB-"/>
    <x v="6"/>
    <x v="0"/>
    <x v="365"/>
    <d v="2019-10-30T00:00:00"/>
    <n v="10"/>
    <s v="Federal Medical Centre Asaba"/>
    <x v="0"/>
    <s v="Dr. Yusuf Danjuma"/>
    <x v="0"/>
    <n v="26867.93"/>
    <s v="Theophylline"/>
    <n v="6"/>
    <n v="349"/>
    <n v="28.7"/>
    <s v="Normal"/>
    <x v="0"/>
  </r>
  <r>
    <x v="1603"/>
    <s v="Kemi Abiodun"/>
    <n v="81"/>
    <x v="1"/>
    <x v="1"/>
    <s v="AB-"/>
    <x v="5"/>
    <x v="0"/>
    <x v="927"/>
    <d v="2020-09-18T00:00:00"/>
    <n v="13"/>
    <s v="University of Calabar Teaching Hospital"/>
    <x v="0"/>
    <s v="Dr. Emeka Okorie"/>
    <x v="4"/>
    <n v="70429.350000000006"/>
    <s v="Aspirin"/>
    <n v="10"/>
    <n v="304"/>
    <n v="30"/>
    <s v="Inconclusive"/>
    <x v="0"/>
  </r>
  <r>
    <x v="1604"/>
    <s v="Kunle Moore"/>
    <n v="78"/>
    <x v="1"/>
    <x v="0"/>
    <s v="A+"/>
    <x v="1"/>
    <x v="0"/>
    <x v="278"/>
    <d v="2020-07-30T00:00:00"/>
    <n v="6"/>
    <s v="Aminu Kano Teaching Hospital"/>
    <x v="2"/>
    <s v="Dr. Taiwo Adeleke"/>
    <x v="1"/>
    <n v="44142.67"/>
    <s v="Insulin Glargine"/>
    <n v="8"/>
    <n v="187"/>
    <n v="28.3"/>
    <s v="Abnormal"/>
    <x v="1"/>
  </r>
  <r>
    <x v="1605"/>
    <s v="Gbenga Dauda"/>
    <n v="69"/>
    <x v="4"/>
    <x v="0"/>
    <s v="A-"/>
    <x v="1"/>
    <x v="2"/>
    <x v="544"/>
    <d v="2024-10-28T00:00:00"/>
    <n v="5"/>
    <s v="Federal Medical Centre Owerri"/>
    <x v="3"/>
    <s v="Dr. Chioma Nwankwo"/>
    <x v="0"/>
    <n v="21006.43"/>
    <s v="Empagliflozin"/>
    <n v="8"/>
    <n v="244"/>
    <m/>
    <s v="Abnormal"/>
    <x v="0"/>
  </r>
  <r>
    <x v="1606"/>
    <s v="Rukayat Onuoha"/>
    <n v="35"/>
    <x v="5"/>
    <x v="1"/>
    <s v="O+"/>
    <x v="1"/>
    <x v="1"/>
    <x v="1100"/>
    <d v="2021-02-04T00:00:00"/>
    <n v="4"/>
    <s v="Federal Medical Centre Birnin Kebbi"/>
    <x v="2"/>
    <s v="Dr. Taiwo Adeleke"/>
    <x v="0"/>
    <n v="10496.52"/>
    <s v="Liraglutide"/>
    <n v="7"/>
    <n v="112"/>
    <n v="19.100000000000001"/>
    <s v="Abnormal"/>
    <x v="0"/>
  </r>
  <r>
    <x v="1607"/>
    <s v="Josephine Brown"/>
    <n v="47"/>
    <x v="5"/>
    <x v="1"/>
    <s v="B-"/>
    <x v="3"/>
    <x v="0"/>
    <x v="1101"/>
    <d v="2024-11-18T00:00:00"/>
    <n v="10"/>
    <s v="University College Hospital Ibadan"/>
    <x v="1"/>
    <s v="Dr. Lanre Ogundele"/>
    <x v="0"/>
    <n v="34615.980000000003"/>
    <s v="Amoxicillin"/>
    <n v="6"/>
    <n v="392"/>
    <n v="31.7"/>
    <s v="Abnormal"/>
    <x v="1"/>
  </r>
  <r>
    <x v="1608"/>
    <s v="Esther Bello"/>
    <n v="65"/>
    <x v="4"/>
    <x v="1"/>
    <s v="A+"/>
    <x v="5"/>
    <x v="0"/>
    <x v="1102"/>
    <d v="2022-02-14T00:00:00"/>
    <n v="18"/>
    <s v="University of Calabar Teaching Hospital"/>
    <x v="0"/>
    <s v="Dr. Emeka Okorie"/>
    <x v="0"/>
    <n v="33825.5"/>
    <s v="Furosemide"/>
    <n v="10"/>
    <n v="346"/>
    <n v="47.1"/>
    <s v="Inconclusive"/>
    <x v="0"/>
  </r>
  <r>
    <x v="1609"/>
    <s v="Esther Eze"/>
    <n v="57"/>
    <x v="3"/>
    <x v="1"/>
    <s v="O-"/>
    <x v="6"/>
    <x v="0"/>
    <x v="1103"/>
    <d v="2022-04-17T00:00:00"/>
    <n v="6"/>
    <s v="Federal Medical Centre Asaba"/>
    <x v="0"/>
    <s v="Dr. Ngozi Eze-Williams"/>
    <x v="1"/>
    <n v="45147.13"/>
    <s v="Prednisolone"/>
    <n v="7"/>
    <n v="352"/>
    <n v="35.299999999999997"/>
    <s v="Normal"/>
    <x v="0"/>
  </r>
  <r>
    <x v="1610"/>
    <s v="Emmanuel Adebayo"/>
    <n v="70"/>
    <x v="4"/>
    <x v="0"/>
    <s v="AB+"/>
    <x v="6"/>
    <x v="1"/>
    <x v="1104"/>
    <d v="2024-08-10T00:00:00"/>
    <n v="4"/>
    <s v="Lagos University Teaching Hospital"/>
    <x v="1"/>
    <s v="Dr. Halima Usman"/>
    <x v="1"/>
    <n v="16801"/>
    <s v="Prednisolone"/>
    <n v="5"/>
    <n v="113"/>
    <n v="24.3"/>
    <s v="Abnormal"/>
    <x v="1"/>
  </r>
  <r>
    <x v="1611"/>
    <s v="Suleiman Nwosu"/>
    <n v="69"/>
    <x v="4"/>
    <x v="0"/>
    <s v="O-"/>
    <x v="3"/>
    <x v="2"/>
    <x v="1105"/>
    <d v="2019-03-21T00:00:00"/>
    <n v="6"/>
    <s v="Aminu Kano Teaching Hospital"/>
    <x v="2"/>
    <s v="Dr. Precious Obi"/>
    <x v="1"/>
    <n v="31382"/>
    <s v="Enoxaparin"/>
    <n v="6"/>
    <n v="171"/>
    <m/>
    <s v="Abnormal"/>
    <x v="0"/>
  </r>
  <r>
    <x v="1612"/>
    <s v="Kayode Lawal"/>
    <n v="67"/>
    <x v="4"/>
    <x v="0"/>
    <s v="AB+"/>
    <x v="5"/>
    <x v="0"/>
    <x v="1106"/>
    <d v="2021-06-25T00:00:00"/>
    <n v="17"/>
    <s v="University of Calabar Teaching Hospital"/>
    <x v="0"/>
    <s v="Dr. Fatima Al-Hassan"/>
    <x v="0"/>
    <n v="107912"/>
    <s v="Warfarin"/>
    <n v="10"/>
    <n v="385"/>
    <n v="27.5"/>
    <s v="Abnormal"/>
    <x v="0"/>
  </r>
  <r>
    <x v="1613"/>
    <s v="James Lawal"/>
    <n v="84"/>
    <x v="1"/>
    <x v="0"/>
    <s v="B+"/>
    <x v="5"/>
    <x v="1"/>
    <x v="1107"/>
    <d v="2020-08-29T00:00:00"/>
    <n v="6"/>
    <s v="Federal Medical Centre Birnin Kebbi"/>
    <x v="2"/>
    <s v="Dr. Adewale Ogundimu"/>
    <x v="4"/>
    <n v="68119.759999999995"/>
    <s v="Aspirin"/>
    <n v="10"/>
    <n v="133"/>
    <n v="39.6"/>
    <s v="Abnormal"/>
    <x v="0"/>
  </r>
  <r>
    <x v="1614"/>
    <s v="Taiwo Usman"/>
    <n v="83"/>
    <x v="1"/>
    <x v="1"/>
    <s v="O-"/>
    <x v="0"/>
    <x v="0"/>
    <x v="1108"/>
    <d v="2024-07-17T00:00:00"/>
    <n v="11"/>
    <s v="Federal Medical Centre Birnin Kebbi"/>
    <x v="2"/>
    <s v="Dr. Babatunde Fashola"/>
    <x v="1"/>
    <n v="202880"/>
    <s v="Carboplatin"/>
    <n v="12"/>
    <n v="295"/>
    <m/>
    <s v="Abnormal"/>
    <x v="1"/>
  </r>
  <r>
    <x v="1615"/>
    <s v="Stella Abiodun"/>
    <n v="62"/>
    <x v="3"/>
    <x v="1"/>
    <s v="O-"/>
    <x v="0"/>
    <x v="1"/>
    <x v="1026"/>
    <d v="2024-08-23T00:00:00"/>
    <n v="18"/>
    <s v="Ahmadu Bello University Teaching Hospital"/>
    <x v="2"/>
    <s v="Dr. Amara Osei"/>
    <x v="0"/>
    <n v="22331.56"/>
    <s v="Rituximab"/>
    <n v="8"/>
    <n v="121"/>
    <n v="16.3"/>
    <s v="Abnormal"/>
    <x v="0"/>
  </r>
  <r>
    <x v="1616"/>
    <s v="James Danjuma"/>
    <n v="65"/>
    <x v="4"/>
    <x v="0"/>
    <s v="O-"/>
    <x v="5"/>
    <x v="0"/>
    <x v="1109"/>
    <d v="2021-01-04T00:00:00"/>
    <n v="10"/>
    <s v="Lagos University Teaching Hospital"/>
    <x v="1"/>
    <s v="Dr. Emeka Okorie"/>
    <x v="2"/>
    <n v="96511.54"/>
    <s v="Metoprolol"/>
    <n v="8"/>
    <n v="314"/>
    <n v="27.2"/>
    <s v="Abnormal"/>
    <x v="0"/>
  </r>
  <r>
    <x v="1617"/>
    <s v="Rebecca Johnson"/>
    <n v="54"/>
    <x v="5"/>
    <x v="1"/>
    <s v="AB+"/>
    <x v="4"/>
    <x v="1"/>
    <x v="1110"/>
    <d v="2024-07-08T00:00:00"/>
    <n v="2"/>
    <s v="Aminu Kano Teaching Hospital"/>
    <x v="2"/>
    <s v="Dr. Segun Banke"/>
    <x v="3"/>
    <n v="11431.92"/>
    <s v="Omeprazole"/>
    <n v="5"/>
    <n v="161"/>
    <n v="22.9"/>
    <s v="Inconclusive"/>
    <x v="1"/>
  </r>
  <r>
    <x v="1618"/>
    <s v="Ifeoma Eze"/>
    <n v="68"/>
    <x v="4"/>
    <x v="1"/>
    <s v="AB-"/>
    <x v="6"/>
    <x v="0"/>
    <x v="1111"/>
    <d v="2022-12-01T00:00:00"/>
    <n v="4"/>
    <s v="Ahmadu Bello University Teaching Hospital"/>
    <x v="2"/>
    <s v="Dr. Ngozi Eze-Williams"/>
    <x v="4"/>
    <n v="42800.76"/>
    <s v="Ipratropium"/>
    <n v="7"/>
    <n v="359"/>
    <n v="33.6"/>
    <s v="Inconclusive"/>
    <x v="0"/>
  </r>
  <r>
    <x v="1619"/>
    <s v="Chidi Ajala"/>
    <n v="91"/>
    <x v="1"/>
    <x v="0"/>
    <s v="O+"/>
    <x v="5"/>
    <x v="2"/>
    <x v="930"/>
    <d v="2022-10-18T00:00:00"/>
    <n v="12"/>
    <s v="Federal Medical Centre Birnin Kebbi"/>
    <x v="2"/>
    <s v="Dr. Emeka Okorie"/>
    <x v="2"/>
    <n v="85415.74"/>
    <s v="Amlodipine"/>
    <n v="10"/>
    <n v="240"/>
    <n v="24.5"/>
    <s v="Abnormal"/>
    <x v="1"/>
  </r>
  <r>
    <x v="1620"/>
    <s v="Segun Abubakar"/>
    <n v="57"/>
    <x v="3"/>
    <x v="0"/>
    <s v="B+"/>
    <x v="5"/>
    <x v="2"/>
    <x v="1112"/>
    <m/>
    <m/>
    <s v="Aminu Kano Teaching Hospital"/>
    <x v="2"/>
    <s v="Dr. Fatima Al-Hassan"/>
    <x v="0"/>
    <n v="17961.95"/>
    <s v="Atorvastatin"/>
    <n v="10"/>
    <n v="441"/>
    <n v="28.7"/>
    <s v="Abnormal"/>
    <x v="0"/>
  </r>
  <r>
    <x v="1621"/>
    <s v="Bashir Ogbonna"/>
    <n v="44"/>
    <x v="5"/>
    <x v="0"/>
    <s v="O-"/>
    <x v="5"/>
    <x v="0"/>
    <x v="987"/>
    <d v="2023-11-12T00:00:00"/>
    <n v="7"/>
    <s v="Ahmadu Bello University Teaching Hospital"/>
    <x v="2"/>
    <s v="Dr. Adewale Ogundimu"/>
    <x v="1"/>
    <n v="89409.67"/>
    <s v="Furosemide"/>
    <n v="8"/>
    <n v="368"/>
    <n v="38.5"/>
    <s v="Inconclusive"/>
    <x v="0"/>
  </r>
  <r>
    <x v="1622"/>
    <s v="David Martin"/>
    <n v="73"/>
    <x v="4"/>
    <x v="0"/>
    <s v="B-"/>
    <x v="1"/>
    <x v="1"/>
    <x v="995"/>
    <d v="2024-08-03T00:00:00"/>
    <n v="4"/>
    <s v="Federal Medical Centre Asaba"/>
    <x v="0"/>
    <s v="Dr. Ibrahim Musa"/>
    <x v="2"/>
    <n v="36359.18"/>
    <s v="Insulin Glargine"/>
    <n v="6"/>
    <n v="166"/>
    <n v="43.4"/>
    <s v="Abnormal"/>
    <x v="1"/>
  </r>
  <r>
    <x v="1623"/>
    <s v="Ibrahim Aliyu"/>
    <n v="53"/>
    <x v="5"/>
    <x v="0"/>
    <s v="O-"/>
    <x v="1"/>
    <x v="0"/>
    <x v="1113"/>
    <d v="2021-03-30T00:00:00"/>
    <n v="5"/>
    <s v="University College Hospital Ibadan"/>
    <x v="1"/>
    <s v="Dr. Ibrahim Musa"/>
    <x v="0"/>
    <n v="16351.1"/>
    <s v="Sitagliptin"/>
    <n v="5"/>
    <n v="248"/>
    <n v="45.8"/>
    <s v="Inconclusive"/>
    <x v="0"/>
  </r>
  <r>
    <x v="1624"/>
    <s v="Babatunde Osagie"/>
    <n v="77"/>
    <x v="1"/>
    <x v="0"/>
    <s v="A+"/>
    <x v="7"/>
    <x v="1"/>
    <x v="81"/>
    <d v="2021-12-07T00:00:00"/>
    <n v="3"/>
    <s v="University of Calabar Teaching Hospital"/>
    <x v="0"/>
    <s v="Dr. Sarah Adeyemi"/>
    <x v="4"/>
    <n v="18147"/>
    <s v="Calcium"/>
    <n v="5"/>
    <n v="198"/>
    <n v="17.5"/>
    <s v="Abnormal"/>
    <x v="0"/>
  </r>
  <r>
    <x v="1625"/>
    <s v="Adenike Aliyu"/>
    <n v="20"/>
    <x v="2"/>
    <x v="1"/>
    <s v="AB+"/>
    <x v="1"/>
    <x v="0"/>
    <x v="1041"/>
    <d v="2020-12-19T00:00:00"/>
    <n v="10"/>
    <s v="University of Calabar Teaching Hospital"/>
    <x v="0"/>
    <s v="Dr. Chioma Nwankwo"/>
    <x v="0"/>
    <n v="7613"/>
    <s v="Glibenclamide"/>
    <n v="8"/>
    <n v="193"/>
    <n v="37"/>
    <s v="Normal"/>
    <x v="0"/>
  </r>
  <r>
    <x v="1626"/>
    <s v="Perpetua Martin"/>
    <n v="66"/>
    <x v="4"/>
    <x v="1"/>
    <s v="B-"/>
    <x v="6"/>
    <x v="1"/>
    <x v="100"/>
    <d v="2023-10-30T00:00:00"/>
    <n v="5"/>
    <s v="Lagos University Teaching Hospital"/>
    <x v="1"/>
    <s v="Dr. Halima Usman"/>
    <x v="0"/>
    <n v="14269.78"/>
    <s v="Prednisolone"/>
    <n v="7"/>
    <n v="144"/>
    <n v="19.600000000000001"/>
    <s v="Abnormal"/>
    <x v="0"/>
  </r>
  <r>
    <x v="1627"/>
    <s v="Gbenga Moore"/>
    <n v="83"/>
    <x v="1"/>
    <x v="0"/>
    <s v="AB+"/>
    <x v="7"/>
    <x v="1"/>
    <x v="266"/>
    <d v="2020-02-16T00:00:00"/>
    <n v="3"/>
    <s v="Federal Medical Centre Birnin Kebbi"/>
    <x v="2"/>
    <s v="Dr. Sarah Adeyemi"/>
    <x v="1"/>
    <n v="25450.49"/>
    <s v="Enoxaparin"/>
    <n v="6"/>
    <n v="137"/>
    <n v="26.3"/>
    <s v="Abnormal"/>
    <x v="0"/>
  </r>
  <r>
    <x v="1628"/>
    <s v="Emeka Eze"/>
    <n v="43"/>
    <x v="5"/>
    <x v="0"/>
    <s v="AB-"/>
    <x v="0"/>
    <x v="2"/>
    <x v="1114"/>
    <d v="2024-10-05T00:00:00"/>
    <n v="16"/>
    <s v="Bowen University Teaching Hospital"/>
    <x v="1"/>
    <s v="Dr. Babatunde Fashola"/>
    <x v="2"/>
    <n v="96236.69"/>
    <s v="Trastuzumab"/>
    <n v="9"/>
    <n v="391"/>
    <n v="25.5"/>
    <s v="Normal"/>
    <x v="0"/>
  </r>
  <r>
    <x v="1629"/>
    <s v="Miriam Sule"/>
    <n v="12"/>
    <x v="0"/>
    <x v="1"/>
    <s v="A+"/>
    <x v="6"/>
    <x v="1"/>
    <x v="433"/>
    <d v="2024-11-06T00:00:00"/>
    <n v="2"/>
    <s v="Aminu Kano Teaching Hospital"/>
    <x v="2"/>
    <s v="Dr. Halima Usman"/>
    <x v="3"/>
    <n v="13424.9"/>
    <s v="Tiotropium"/>
    <n v="7"/>
    <n v="192"/>
    <n v="28.4"/>
    <s v="Normal"/>
    <x v="0"/>
  </r>
  <r>
    <x v="1630"/>
    <s v="Yusuf Okonkwo"/>
    <n v="35"/>
    <x v="5"/>
    <x v="0"/>
    <s v="B-"/>
    <x v="1"/>
    <x v="1"/>
    <x v="856"/>
    <d v="2023-01-27T00:00:00"/>
    <n v="4"/>
    <s v="Bowen University Teaching Hospital"/>
    <x v="1"/>
    <s v="Dr. Ibrahim Musa"/>
    <x v="0"/>
    <n v="9176"/>
    <s v="Empagliflozin"/>
    <n v="5"/>
    <n v="110"/>
    <n v="35"/>
    <s v="Inconclusive"/>
    <x v="0"/>
  </r>
  <r>
    <x v="1631"/>
    <s v="Ifeanyi Oni"/>
    <n v="68"/>
    <x v="4"/>
    <x v="0"/>
    <s v="A+"/>
    <x v="3"/>
    <x v="0"/>
    <x v="692"/>
    <d v="2019-03-02T00:00:00"/>
    <n v="9"/>
    <s v="Bowen University Teaching Hospital"/>
    <x v="1"/>
    <s v="Dr. Lanre Ogundele"/>
    <x v="1"/>
    <n v="49028.74"/>
    <s v="Metronidazole"/>
    <n v="5"/>
    <n v="267"/>
    <n v="24.7"/>
    <s v="Normal"/>
    <x v="0"/>
  </r>
  <r>
    <x v="1632"/>
    <s v="Amaka Usman"/>
    <n v="64"/>
    <x v="3"/>
    <x v="1"/>
    <s v="O-"/>
    <x v="4"/>
    <x v="1"/>
    <x v="705"/>
    <d v="2023-01-16T00:00:00"/>
    <n v="1"/>
    <s v="Lagos University Teaching Hospital"/>
    <x v="1"/>
    <s v="Dr. Aisha Bello"/>
    <x v="1"/>
    <n v="13023.27"/>
    <s v="Loperamide"/>
    <n v="4"/>
    <n v="190"/>
    <n v="14.4"/>
    <s v="Normal"/>
    <x v="0"/>
  </r>
  <r>
    <x v="1633"/>
    <s v="Samuel Okonkwo"/>
    <n v="85"/>
    <x v="1"/>
    <x v="0"/>
    <s v="A-"/>
    <x v="0"/>
    <x v="2"/>
    <x v="966"/>
    <d v="2024-09-25T00:00:00"/>
    <n v="16"/>
    <s v="Aminu Kano Teaching Hospital"/>
    <x v="2"/>
    <s v="Dr. Babatunde Fashola"/>
    <x v="0"/>
    <n v="105793.77"/>
    <s v="Bevacizumab"/>
    <n v="12"/>
    <n v="176"/>
    <n v="25.3"/>
    <s v="Abnormal"/>
    <x v="0"/>
  </r>
  <r>
    <x v="1634"/>
    <s v="James Davis"/>
    <n v="87"/>
    <x v="1"/>
    <x v="0"/>
    <s v="B-"/>
    <x v="0"/>
    <x v="0"/>
    <x v="831"/>
    <d v="2020-09-15T00:00:00"/>
    <n v="11"/>
    <s v="National Hospital Abuja"/>
    <x v="4"/>
    <s v="Dr. Amara Osei"/>
    <x v="1"/>
    <n v="130181.79"/>
    <s v="Dexamethasone"/>
    <n v="12"/>
    <n v="145"/>
    <n v="20.3"/>
    <s v="Abnormal"/>
    <x v="0"/>
  </r>
  <r>
    <x v="1635"/>
    <s v="Rebecca Wilson"/>
    <n v="64"/>
    <x v="3"/>
    <x v="1"/>
    <s v="O+"/>
    <x v="4"/>
    <x v="1"/>
    <x v="57"/>
    <d v="2022-08-12T00:00:00"/>
    <n v="1"/>
    <s v="Lagos University Teaching Hospital"/>
    <x v="1"/>
    <s v="Dr. Nnamdi Okafor"/>
    <x v="3"/>
    <n v="19686.14"/>
    <s v="Omeprazole"/>
    <n v="5"/>
    <n v="159"/>
    <n v="27.1"/>
    <s v="Abnormal"/>
    <x v="1"/>
  </r>
  <r>
    <x v="1636"/>
    <s v="Chioma Yakubu"/>
    <n v="54"/>
    <x v="5"/>
    <x v="1"/>
    <s v="O-"/>
    <x v="1"/>
    <x v="2"/>
    <x v="250"/>
    <d v="2022-11-19T00:00:00"/>
    <n v="3"/>
    <s v="University College Hospital Ibadan"/>
    <x v="1"/>
    <s v="Dr. Chioma Nwankwo"/>
    <x v="3"/>
    <n v="22088.68"/>
    <s v="Empagliflozin"/>
    <n v="6"/>
    <n v="301"/>
    <n v="35.299999999999997"/>
    <s v="Abnormal"/>
    <x v="0"/>
  </r>
  <r>
    <x v="1637"/>
    <s v="Blessing Taylor"/>
    <n v="68"/>
    <x v="4"/>
    <x v="1"/>
    <s v="AB+"/>
    <x v="0"/>
    <x v="1"/>
    <x v="3"/>
    <d v="2022-04-29T00:00:00"/>
    <n v="12"/>
    <s v="Aminu Kano Teaching Hospital"/>
    <x v="2"/>
    <s v="Dr. Babatunde Fashola"/>
    <x v="2"/>
    <n v="90644.59"/>
    <s v="Ondansetron"/>
    <n v="12"/>
    <n v="162"/>
    <n v="17"/>
    <s v="Abnormal"/>
    <x v="0"/>
  </r>
  <r>
    <x v="1638"/>
    <s v="Emeka Ogbonna"/>
    <n v="46"/>
    <x v="5"/>
    <x v="0"/>
    <s v="AB-"/>
    <x v="3"/>
    <x v="1"/>
    <x v="614"/>
    <d v="2021-02-09T00:00:00"/>
    <n v="5"/>
    <s v="Federal Medical Centre Asaba"/>
    <x v="0"/>
    <s v="Dr. Precious Obi"/>
    <x v="1"/>
    <n v="27188.74"/>
    <s v="Paracetamol"/>
    <n v="3"/>
    <n v="185"/>
    <n v="27.9"/>
    <s v="Normal"/>
    <x v="0"/>
  </r>
  <r>
    <x v="1639"/>
    <s v="Lanre Obi"/>
    <n v="66"/>
    <x v="4"/>
    <x v="0"/>
    <s v="AB+"/>
    <x v="0"/>
    <x v="0"/>
    <x v="1115"/>
    <d v="2023-05-17T00:00:00"/>
    <n v="10"/>
    <s v="Bowen University Teaching Hospital"/>
    <x v="1"/>
    <s v="Dr. Amara Osei"/>
    <x v="1"/>
    <n v="94939.34"/>
    <s v="Paclitaxel"/>
    <n v="12"/>
    <n v="481"/>
    <n v="25.2"/>
    <s v="Abnormal"/>
    <x v="1"/>
  </r>
  <r>
    <x v="1640"/>
    <s v="Adaeze Musa"/>
    <n v="38"/>
    <x v="5"/>
    <x v="1"/>
    <s v="AB+"/>
    <x v="5"/>
    <x v="0"/>
    <x v="423"/>
    <d v="2023-10-22T00:00:00"/>
    <n v="12"/>
    <s v="University of Calabar Teaching Hospital"/>
    <x v="0"/>
    <s v="Dr. Emeka Okorie"/>
    <x v="4"/>
    <n v="44082.02"/>
    <s v="Atorvastatin"/>
    <n v="10"/>
    <n v="344"/>
    <n v="39.299999999999997"/>
    <s v="Abnormal"/>
    <x v="0"/>
  </r>
  <r>
    <x v="1641"/>
    <s v="Fatima Abiodun"/>
    <n v="71"/>
    <x v="4"/>
    <x v="1"/>
    <s v="B+"/>
    <x v="7"/>
    <x v="1"/>
    <x v="1116"/>
    <d v="2021-09-14T00:00:00"/>
    <n v="3"/>
    <s v="Federal Medical Centre Asaba"/>
    <x v="0"/>
    <s v="Dr. Chukwuemeka Nwosu"/>
    <x v="0"/>
    <n v="41986.18"/>
    <s v="Vitamin D"/>
    <n v="3"/>
    <n v="161"/>
    <n v="21.4"/>
    <s v="Inconclusive"/>
    <x v="1"/>
  </r>
  <r>
    <x v="1642"/>
    <s v="Ifeanyi Bankole"/>
    <n v="87"/>
    <x v="1"/>
    <x v="0"/>
    <s v="A+"/>
    <x v="5"/>
    <x v="1"/>
    <x v="1117"/>
    <d v="2020-07-11T00:00:00"/>
    <n v="15"/>
    <s v="Ahmadu Bello University Teaching Hospital"/>
    <x v="2"/>
    <s v="Dr. Emeka Okorie"/>
    <x v="1"/>
    <n v="86730.48"/>
    <s v="Digoxin"/>
    <n v="10"/>
    <n v="161"/>
    <n v="29.1"/>
    <s v="Abnormal"/>
    <x v="0"/>
  </r>
  <r>
    <x v="1643"/>
    <s v="Halima Oni"/>
    <n v="70"/>
    <x v="4"/>
    <x v="1"/>
    <s v="O-"/>
    <x v="1"/>
    <x v="0"/>
    <x v="895"/>
    <d v="2019-06-07T00:00:00"/>
    <n v="8"/>
    <s v="University College Hospital Ibadan"/>
    <x v="1"/>
    <s v="Dr. Taiwo Adeleke"/>
    <x v="0"/>
    <n v="22888.79"/>
    <s v="Metformin"/>
    <n v="8"/>
    <n v="456"/>
    <n v="32"/>
    <s v="Normal"/>
    <x v="0"/>
  </r>
  <r>
    <x v="1644"/>
    <s v="Adenike Adebayo"/>
    <n v="59"/>
    <x v="3"/>
    <x v="1"/>
    <s v="B+"/>
    <x v="4"/>
    <x v="2"/>
    <x v="940"/>
    <d v="2023-12-10T00:00:00"/>
    <n v="3"/>
    <s v="Federal Medical Centre Owerri"/>
    <x v="3"/>
    <s v="Dr. Aisha Bello"/>
    <x v="0"/>
    <n v="16826.38"/>
    <s v="Metronidazole"/>
    <n v="5"/>
    <n v="259"/>
    <n v="28.8"/>
    <s v="Normal"/>
    <x v="0"/>
  </r>
  <r>
    <x v="1645"/>
    <s v="Lanre Usman"/>
    <n v="30"/>
    <x v="2"/>
    <x v="0"/>
    <s v="B+"/>
    <x v="2"/>
    <x v="0"/>
    <x v="393"/>
    <d v="2022-04-01T00:00:00"/>
    <n v="8"/>
    <s v="National Hospital Abuja"/>
    <x v="4"/>
    <s v="Dr. Olumide Abiodun"/>
    <x v="3"/>
    <n v="87951.41"/>
    <s v="Clopidogrel"/>
    <n v="9"/>
    <n v="362"/>
    <n v="28"/>
    <s v="Normal"/>
    <x v="0"/>
  </r>
  <r>
    <x v="1646"/>
    <s v="Mary Aliyu"/>
    <n v="72"/>
    <x v="4"/>
    <x v="1"/>
    <s v="AB-"/>
    <x v="1"/>
    <x v="1"/>
    <x v="261"/>
    <d v="2024-09-02T00:00:00"/>
    <n v="6"/>
    <s v="Federal Medical Centre Asaba"/>
    <x v="0"/>
    <s v="Dr. Ibrahim Musa"/>
    <x v="0"/>
    <n v="11621.6"/>
    <s v="Liraglutide"/>
    <n v="8"/>
    <n v="134"/>
    <n v="30.7"/>
    <s v="Abnormal"/>
    <x v="1"/>
  </r>
  <r>
    <x v="1647"/>
    <s v="Ifeoma Osagie"/>
    <n v="91"/>
    <x v="1"/>
    <x v="1"/>
    <s v="O+"/>
    <x v="6"/>
    <x v="0"/>
    <x v="505"/>
    <d v="2020-02-24T00:00:00"/>
    <n v="13"/>
    <s v="Federal Medical Centre Asaba"/>
    <x v="0"/>
    <s v="Dr. Yusuf Danjuma"/>
    <x v="0"/>
    <n v="32582.400000000001"/>
    <s v="Montelukast"/>
    <n v="6"/>
    <n v="347"/>
    <n v="34.799999999999997"/>
    <s v="Abnormal"/>
    <x v="0"/>
  </r>
  <r>
    <x v="1648"/>
    <s v="Chukwuemeka Nwosu"/>
    <n v="57"/>
    <x v="3"/>
    <x v="0"/>
    <s v="B+"/>
    <x v="5"/>
    <x v="0"/>
    <x v="1118"/>
    <d v="2021-12-12T00:00:00"/>
    <n v="8"/>
    <s v="Federal Medical Centre Asaba"/>
    <x v="0"/>
    <s v="Dr. Adewale Ogundimu"/>
    <x v="4"/>
    <n v="28885.57"/>
    <s v="Amiodarone"/>
    <n v="10"/>
    <n v="338"/>
    <n v="31"/>
    <s v="Abnormal"/>
    <x v="0"/>
  </r>
  <r>
    <x v="1649"/>
    <s v="Emeka Musa"/>
    <n v="67"/>
    <x v="4"/>
    <x v="0"/>
    <s v="A-"/>
    <x v="7"/>
    <x v="2"/>
    <x v="482"/>
    <d v="2023-09-02T00:00:00"/>
    <n v="4"/>
    <s v="Aminu Kano Teaching Hospital"/>
    <x v="2"/>
    <s v="Dr. Musa Aliyu"/>
    <x v="2"/>
    <n v="37170.949999999997"/>
    <s v="Enoxaparin"/>
    <n v="6"/>
    <n v="477"/>
    <n v="28.9"/>
    <s v="Inconclusive"/>
    <x v="0"/>
  </r>
  <r>
    <x v="1650"/>
    <s v="Lydia Martin"/>
    <n v="66"/>
    <x v="4"/>
    <x v="1"/>
    <s v="A+"/>
    <x v="6"/>
    <x v="1"/>
    <x v="1119"/>
    <d v="2021-05-09T00:00:00"/>
    <n v="2"/>
    <s v="Aminu Kano Teaching Hospital"/>
    <x v="2"/>
    <s v="Dr. Halima Usman"/>
    <x v="2"/>
    <n v="17680.93"/>
    <s v="Montelukast"/>
    <n v="7"/>
    <n v="188"/>
    <n v="29.2"/>
    <s v="Normal"/>
    <x v="0"/>
  </r>
  <r>
    <x v="1651"/>
    <s v="Mariam Martin"/>
    <n v="63"/>
    <x v="3"/>
    <x v="1"/>
    <s v="B+"/>
    <x v="7"/>
    <x v="1"/>
    <x v="228"/>
    <d v="2021-02-20T00:00:00"/>
    <n v="5"/>
    <s v="Federal Medical Centre Birnin Kebbi"/>
    <x v="2"/>
    <s v="Dr. Sarah Adeyemi"/>
    <x v="0"/>
    <n v="20097.41"/>
    <s v="Calcium"/>
    <n v="6"/>
    <n v="161"/>
    <m/>
    <s v="Normal"/>
    <x v="0"/>
  </r>
  <r>
    <x v="1652"/>
    <s v="Grace Salami"/>
    <n v="31"/>
    <x v="2"/>
    <x v="1"/>
    <s v="B-"/>
    <x v="0"/>
    <x v="2"/>
    <x v="87"/>
    <d v="2021-11-30T00:00:00"/>
    <n v="22"/>
    <s v="Federal Medical Centre Birnin Kebbi"/>
    <x v="2"/>
    <s v="Dr. Babatunde Fashola"/>
    <x v="0"/>
    <n v="28654.91"/>
    <s v="Paclitaxel"/>
    <n v="11"/>
    <n v="471"/>
    <m/>
    <s v="Normal"/>
    <x v="1"/>
  </r>
  <r>
    <x v="1653"/>
    <s v="Zainab Akintola"/>
    <n v="60"/>
    <x v="3"/>
    <x v="1"/>
    <s v="B-"/>
    <x v="6"/>
    <x v="1"/>
    <x v="299"/>
    <d v="2022-07-07T00:00:00"/>
    <n v="8"/>
    <s v="Ahmadu Bello University Teaching Hospital"/>
    <x v="2"/>
    <s v="Dr. Yusuf Danjuma"/>
    <x v="0"/>
    <n v="17805.87"/>
    <s v="Prednisolone"/>
    <n v="7"/>
    <n v="123"/>
    <n v="26.8"/>
    <s v="Inconclusive"/>
    <x v="0"/>
  </r>
  <r>
    <x v="1654"/>
    <s v="Deborah Lawal"/>
    <n v="9"/>
    <x v="0"/>
    <x v="1"/>
    <s v="B+"/>
    <x v="0"/>
    <x v="2"/>
    <x v="1120"/>
    <d v="2024-07-16T00:00:00"/>
    <n v="12"/>
    <s v="Aminu Kano Teaching Hospital"/>
    <x v="2"/>
    <s v="Dr. Amara Osei"/>
    <x v="2"/>
    <n v="47501.82"/>
    <s v="Carboplatin"/>
    <n v="12"/>
    <n v="447"/>
    <n v="20.8"/>
    <s v="Abnormal"/>
    <x v="0"/>
  </r>
  <r>
    <x v="1655"/>
    <s v="Oluwaseun Eze"/>
    <n v="81"/>
    <x v="1"/>
    <x v="0"/>
    <s v="A-"/>
    <x v="6"/>
    <x v="1"/>
    <x v="1121"/>
    <d v="2023-09-02T00:00:00"/>
    <n v="4"/>
    <s v="Bowen University Teaching Hospital"/>
    <x v="1"/>
    <s v="Dr. Ngozi Eze-Williams"/>
    <x v="1"/>
    <n v="41279.4"/>
    <s v="Montelukast"/>
    <n v="7"/>
    <n v="182"/>
    <n v="23.5"/>
    <s v="Normal"/>
    <x v="0"/>
  </r>
  <r>
    <x v="1656"/>
    <s v="Daniel Okeke"/>
    <n v="74"/>
    <x v="4"/>
    <x v="0"/>
    <s v="AB+"/>
    <x v="6"/>
    <x v="0"/>
    <x v="1122"/>
    <d v="2024-12-23T00:00:00"/>
    <n v="5"/>
    <s v="Bowen University Teaching Hospital"/>
    <x v="1"/>
    <s v="Dr. Halima Usman"/>
    <x v="1"/>
    <n v="54538.13"/>
    <s v="Salbutamol"/>
    <n v="7"/>
    <n v="358"/>
    <n v="27.2"/>
    <s v="Normal"/>
    <x v="1"/>
  </r>
  <r>
    <x v="1657"/>
    <s v="Mary Adebayo"/>
    <n v="43"/>
    <x v="5"/>
    <x v="1"/>
    <s v="O+"/>
    <x v="7"/>
    <x v="0"/>
    <x v="369"/>
    <d v="2023-08-10T00:00:00"/>
    <n v="5"/>
    <s v="Aminu Kano Teaching Hospital"/>
    <x v="2"/>
    <s v="Dr. Sarah Adeyemi"/>
    <x v="4"/>
    <n v="22484"/>
    <s v="Ibuprofen"/>
    <n v="4"/>
    <n v="210"/>
    <n v="30.7"/>
    <s v="Abnormal"/>
    <x v="0"/>
  </r>
  <r>
    <x v="1658"/>
    <s v="Biodun Eze"/>
    <n v="52"/>
    <x v="5"/>
    <x v="0"/>
    <s v="B-"/>
    <x v="2"/>
    <x v="0"/>
    <x v="132"/>
    <d v="2023-02-13T00:00:00"/>
    <n v="13"/>
    <s v="Federal Medical Centre Owerri"/>
    <x v="3"/>
    <s v="Dr. Olumide Abiodun"/>
    <x v="4"/>
    <n v="16429.099999999999"/>
    <s v="Phenytoin"/>
    <n v="9"/>
    <n v="347"/>
    <n v="21.7"/>
    <s v="Abnormal"/>
    <x v="0"/>
  </r>
  <r>
    <x v="1659"/>
    <s v="Miriam Wilson"/>
    <n v="72"/>
    <x v="4"/>
    <x v="1"/>
    <s v="A+"/>
    <x v="6"/>
    <x v="0"/>
    <x v="1123"/>
    <d v="2019-12-03T00:00:00"/>
    <n v="8"/>
    <s v="University College Hospital Ibadan"/>
    <x v="1"/>
    <s v="Dr. Ngozi Eze-Williams"/>
    <x v="1"/>
    <n v="40927.78"/>
    <s v="Tiotropium"/>
    <n v="7"/>
    <n v="311"/>
    <n v="21.1"/>
    <s v="Inconclusive"/>
    <x v="0"/>
  </r>
  <r>
    <x v="1660"/>
    <s v="Daniel Taylor"/>
    <n v="67"/>
    <x v="4"/>
    <x v="0"/>
    <s v="A-"/>
    <x v="2"/>
    <x v="0"/>
    <x v="1124"/>
    <d v="2024-03-12T00:00:00"/>
    <n v="4"/>
    <s v="Aminu Kano Teaching Hospital"/>
    <x v="2"/>
    <s v="Dr. Zainab Sule"/>
    <x v="1"/>
    <n v="123860.3"/>
    <s v="Memantine"/>
    <n v="9"/>
    <n v="321"/>
    <n v="21"/>
    <s v="Normal"/>
    <x v="0"/>
  </r>
  <r>
    <x v="1661"/>
    <s v="Kayode Bankole"/>
    <n v="13"/>
    <x v="0"/>
    <x v="0"/>
    <s v="B+"/>
    <x v="1"/>
    <x v="1"/>
    <x v="0"/>
    <d v="2021-06-18T00:00:00"/>
    <n v="4"/>
    <s v="Bowen University Teaching Hospital"/>
    <x v="1"/>
    <s v="Dr. Ibrahim Musa"/>
    <x v="2"/>
    <n v="12195.94"/>
    <s v="Insulin Glargine"/>
    <n v="8"/>
    <n v="197"/>
    <n v="34.299999999999997"/>
    <s v="Abnormal"/>
    <x v="0"/>
  </r>
  <r>
    <x v="1662"/>
    <s v="Esther Usman"/>
    <n v="53"/>
    <x v="5"/>
    <x v="1"/>
    <s v="O+"/>
    <x v="0"/>
    <x v="1"/>
    <x v="1125"/>
    <d v="2019-02-15T00:00:00"/>
    <n v="13"/>
    <s v="Ahmadu Bello University Teaching Hospital"/>
    <x v="2"/>
    <s v="Dr. Grace Oduya"/>
    <x v="0"/>
    <n v="19502.98"/>
    <s v="Bevacizumab"/>
    <n v="11"/>
    <n v="183"/>
    <n v="19.899999999999999"/>
    <s v="Normal"/>
    <x v="0"/>
  </r>
  <r>
    <x v="1663"/>
    <s v="Deborah Yakubu"/>
    <n v="52"/>
    <x v="5"/>
    <x v="1"/>
    <s v="O-"/>
    <x v="2"/>
    <x v="0"/>
    <x v="1126"/>
    <d v="2024-03-11T00:00:00"/>
    <n v="10"/>
    <s v="National Hospital Abuja"/>
    <x v="4"/>
    <s v="Dr. Zainab Sule"/>
    <x v="1"/>
    <n v="39855.199999999997"/>
    <s v="Clopidogrel"/>
    <n v="9"/>
    <n v="317"/>
    <n v="28"/>
    <s v="Normal"/>
    <x v="1"/>
  </r>
  <r>
    <x v="1664"/>
    <s v="Rachel Onuoha"/>
    <n v="51"/>
    <x v="5"/>
    <x v="1"/>
    <s v="AB-"/>
    <x v="6"/>
    <x v="0"/>
    <x v="1127"/>
    <d v="2024-09-12T00:00:00"/>
    <n v="5"/>
    <s v="Bowen University Teaching Hospital"/>
    <x v="1"/>
    <s v="Dr. Yusuf Danjuma"/>
    <x v="4"/>
    <n v="24715.85"/>
    <s v="Tiotropium"/>
    <n v="6"/>
    <n v="315"/>
    <n v="22.8"/>
    <s v="Abnormal"/>
    <x v="0"/>
  </r>
  <r>
    <x v="1665"/>
    <s v="Miriam Akintola"/>
    <n v="62"/>
    <x v="3"/>
    <x v="1"/>
    <s v="B-"/>
    <x v="4"/>
    <x v="2"/>
    <x v="1128"/>
    <d v="2021-09-05T00:00:00"/>
    <n v="3"/>
    <s v="Federal Medical Centre Owerri"/>
    <x v="3"/>
    <s v="Dr. Segun Banke"/>
    <x v="1"/>
    <n v="15242.34"/>
    <s v="Ciprofloxacin"/>
    <n v="3"/>
    <n v="202"/>
    <n v="28.6"/>
    <s v="Inconclusive"/>
    <x v="0"/>
  </r>
  <r>
    <x v="1666"/>
    <s v="Babatunde Abiodun"/>
    <n v="63"/>
    <x v="3"/>
    <x v="0"/>
    <s v="B-"/>
    <x v="1"/>
    <x v="0"/>
    <x v="572"/>
    <d v="2023-08-27T00:00:00"/>
    <n v="5"/>
    <s v="Federal Medical Centre Asaba"/>
    <x v="0"/>
    <s v="Dr. Taiwo Adeleke"/>
    <x v="2"/>
    <n v="35532.44"/>
    <s v="Insulin Glargine"/>
    <n v="8"/>
    <n v="486"/>
    <n v="35"/>
    <s v="Abnormal"/>
    <x v="0"/>
  </r>
  <r>
    <x v="1667"/>
    <s v="Ngozi Bello"/>
    <n v="92"/>
    <x v="1"/>
    <x v="1"/>
    <s v="B+"/>
    <x v="7"/>
    <x v="0"/>
    <x v="737"/>
    <d v="2019-07-10T00:00:00"/>
    <n v="2"/>
    <s v="Aminu Kano Teaching Hospital"/>
    <x v="2"/>
    <s v="Dr. Sarah Adeyemi"/>
    <x v="1"/>
    <n v="114430.36"/>
    <s v="Vitamin D"/>
    <n v="5"/>
    <n v="417"/>
    <n v="19"/>
    <s v="Normal"/>
    <x v="0"/>
  </r>
  <r>
    <x v="1668"/>
    <s v="Joseph Adeleke"/>
    <n v="59"/>
    <x v="3"/>
    <x v="0"/>
    <s v="B-"/>
    <x v="5"/>
    <x v="2"/>
    <x v="283"/>
    <d v="2019-11-24T00:00:00"/>
    <n v="7"/>
    <s v="University of Calabar Teaching Hospital"/>
    <x v="0"/>
    <s v="Dr. Fatima Al-Hassan"/>
    <x v="2"/>
    <n v="50241.120000000003"/>
    <s v="Atorvastatin"/>
    <n v="10"/>
    <n v="220"/>
    <n v="37.5"/>
    <s v="Normal"/>
    <x v="0"/>
  </r>
  <r>
    <x v="1669"/>
    <s v="Ibrahim Okonkwo"/>
    <n v="47"/>
    <x v="5"/>
    <x v="0"/>
    <s v="B+"/>
    <x v="2"/>
    <x v="0"/>
    <x v="782"/>
    <d v="2023-09-30T00:00:00"/>
    <n v="11"/>
    <s v="Federal Medical Centre Asaba"/>
    <x v="0"/>
    <s v="Dr. Olumide Abiodun"/>
    <x v="0"/>
    <n v="27066.45"/>
    <s v="Aspirin"/>
    <n v="7"/>
    <n v="395"/>
    <n v="21.6"/>
    <s v="Normal"/>
    <x v="0"/>
  </r>
  <r>
    <x v="1670"/>
    <s v="Hauwa Moore"/>
    <n v="63"/>
    <x v="3"/>
    <x v="1"/>
    <s v="B-"/>
    <x v="4"/>
    <x v="3"/>
    <x v="771"/>
    <d v="2024-10-26T00:00:00"/>
    <n v="4"/>
    <s v="Lagos University Teaching Hospital"/>
    <x v="1"/>
    <s v="Dr. Aisha Bello"/>
    <x v="0"/>
    <n v="8586.27"/>
    <s v="Metronidazole"/>
    <n v="4"/>
    <n v="228"/>
    <n v="29.2"/>
    <s v="Normal"/>
    <x v="1"/>
  </r>
  <r>
    <x v="1671"/>
    <s v="Rebecca Salami"/>
    <n v="66"/>
    <x v="4"/>
    <x v="1"/>
    <s v="B-"/>
    <x v="6"/>
    <x v="1"/>
    <x v="1129"/>
    <d v="2021-02-18T00:00:00"/>
    <n v="2"/>
    <s v="Aminu Kano Teaching Hospital"/>
    <x v="2"/>
    <s v="Dr. Yusuf Danjuma"/>
    <x v="1"/>
    <n v="44431"/>
    <s v="Montelukast"/>
    <n v="7"/>
    <n v="103"/>
    <n v="31.5"/>
    <s v="Abnormal"/>
    <x v="0"/>
  </r>
  <r>
    <x v="1672"/>
    <s v="Mariam Aliyu"/>
    <n v="60"/>
    <x v="3"/>
    <x v="1"/>
    <s v="A+"/>
    <x v="6"/>
    <x v="1"/>
    <x v="285"/>
    <d v="2023-10-19T00:00:00"/>
    <n v="4"/>
    <s v="Federal Medical Centre Asaba"/>
    <x v="0"/>
    <s v="Dr. Ngozi Eze-Williams"/>
    <x v="1"/>
    <n v="16763.16"/>
    <s v="Theophylline"/>
    <n v="7"/>
    <n v="163"/>
    <n v="22.6"/>
    <s v="Normal"/>
    <x v="0"/>
  </r>
  <r>
    <x v="1673"/>
    <s v="Babatunde Ajala"/>
    <n v="27"/>
    <x v="2"/>
    <x v="0"/>
    <s v="O+"/>
    <x v="5"/>
    <x v="0"/>
    <x v="431"/>
    <d v="2019-11-14T00:00:00"/>
    <n v="10"/>
    <s v="University College Hospital Ibadan"/>
    <x v="1"/>
    <s v="Dr. Emeka Okorie"/>
    <x v="4"/>
    <n v="32328.560000000001"/>
    <s v="Amlodipine"/>
    <n v="10"/>
    <n v="372"/>
    <n v="23.5"/>
    <s v="Abnormal"/>
    <x v="1"/>
  </r>
  <r>
    <x v="1674"/>
    <s v="Halima Onuoha"/>
    <n v="70"/>
    <x v="4"/>
    <x v="1"/>
    <s v="B-"/>
    <x v="0"/>
    <x v="0"/>
    <x v="1130"/>
    <d v="2022-03-14T00:00:00"/>
    <n v="10"/>
    <s v="Lagos University Teaching Hospital"/>
    <x v="1"/>
    <s v="Dr. Babatunde Fashola"/>
    <x v="3"/>
    <n v="244884"/>
    <s v="Ondansetron"/>
    <n v="10"/>
    <n v="127"/>
    <n v="18.7"/>
    <s v="Abnormal"/>
    <x v="0"/>
  </r>
  <r>
    <x v="1675"/>
    <s v="Ifeanyi Aliyu"/>
    <n v="65"/>
    <x v="4"/>
    <x v="0"/>
    <s v="A+"/>
    <x v="5"/>
    <x v="2"/>
    <x v="1131"/>
    <d v="2024-04-11T00:00:00"/>
    <n v="9"/>
    <s v="University College Hospital Ibadan"/>
    <x v="1"/>
    <s v="Dr. Emeka Okorie"/>
    <x v="0"/>
    <n v="73001"/>
    <s v="Amlodipine"/>
    <n v="6"/>
    <n v="215"/>
    <n v="30.2"/>
    <s v="Abnormal"/>
    <x v="0"/>
  </r>
  <r>
    <x v="1676"/>
    <s v="Rukayat Igwe"/>
    <n v="91"/>
    <x v="1"/>
    <x v="1"/>
    <s v="O+"/>
    <x v="6"/>
    <x v="1"/>
    <x v="1004"/>
    <d v="2021-03-18T00:00:00"/>
    <n v="5"/>
    <s v="Aminu Kano Teaching Hospital"/>
    <x v="2"/>
    <s v="Dr. Yusuf Danjuma"/>
    <x v="1"/>
    <n v="33993"/>
    <s v="Salbutamol"/>
    <n v="5"/>
    <n v="146"/>
    <n v="24.2"/>
    <s v="Abnormal"/>
    <x v="0"/>
  </r>
  <r>
    <x v="1677"/>
    <s v="Chiamaka Chukwu"/>
    <n v="69"/>
    <x v="4"/>
    <x v="1"/>
    <s v="B+"/>
    <x v="7"/>
    <x v="1"/>
    <x v="192"/>
    <d v="2023-04-13T00:00:00"/>
    <n v="3"/>
    <s v="Ahmadu Bello University Teaching Hospital"/>
    <x v="2"/>
    <s v="Dr. Chukwuemeka Nwosu"/>
    <x v="0"/>
    <n v="43412.639999999999"/>
    <s v="Enoxaparin"/>
    <n v="6"/>
    <n v="108"/>
    <n v="27.2"/>
    <s v="Abnormal"/>
    <x v="0"/>
  </r>
  <r>
    <x v="1678"/>
    <s v="Chukwudi Smith"/>
    <n v="63"/>
    <x v="3"/>
    <x v="0"/>
    <s v="B-"/>
    <x v="6"/>
    <x v="0"/>
    <x v="1132"/>
    <d v="2023-02-01T00:00:00"/>
    <n v="14"/>
    <s v="Federal Medical Centre Asaba"/>
    <x v="0"/>
    <s v="Dr. Halima Usman"/>
    <x v="0"/>
    <n v="47280.03"/>
    <s v="Ipratropium"/>
    <n v="6"/>
    <n v="346"/>
    <n v="25.3"/>
    <s v="Inconclusive"/>
    <x v="0"/>
  </r>
  <r>
    <x v="1679"/>
    <s v="Daniel Abubakar"/>
    <n v="85"/>
    <x v="1"/>
    <x v="0"/>
    <s v="B+"/>
    <x v="2"/>
    <x v="2"/>
    <x v="1133"/>
    <d v="2020-10-28T00:00:00"/>
    <n v="17"/>
    <s v="University of Calabar Teaching Hospital"/>
    <x v="0"/>
    <s v="Dr. Rotimi Fashola"/>
    <x v="4"/>
    <n v="32779.65"/>
    <s v="Valproate"/>
    <n v="8"/>
    <n v="236"/>
    <m/>
    <s v="Abnormal"/>
    <x v="1"/>
  </r>
  <r>
    <x v="1680"/>
    <s v="Grace Akintola"/>
    <n v="73"/>
    <x v="4"/>
    <x v="1"/>
    <s v="O+"/>
    <x v="6"/>
    <x v="2"/>
    <x v="1134"/>
    <d v="2020-04-01T00:00:00"/>
    <n v="4"/>
    <s v="University of Calabar Teaching Hospital"/>
    <x v="0"/>
    <s v="Dr. Ngozi Eze-Williams"/>
    <x v="5"/>
    <n v="30879.16"/>
    <s v="Azithromycin"/>
    <n v="5"/>
    <n v="201"/>
    <n v="19.5"/>
    <s v="Inconclusive"/>
    <x v="0"/>
  </r>
  <r>
    <x v="1681"/>
    <s v="Esther Okafor"/>
    <n v="86"/>
    <x v="1"/>
    <x v="1"/>
    <s v="B-"/>
    <x v="6"/>
    <x v="1"/>
    <x v="320"/>
    <d v="2021-10-23T00:00:00"/>
    <n v="3"/>
    <s v="Bowen University Teaching Hospital"/>
    <x v="1"/>
    <s v="Dr. Halima Usman"/>
    <x v="2"/>
    <n v="26697.41"/>
    <s v="Azithromycin"/>
    <n v="5"/>
    <n v="180"/>
    <n v="31.5"/>
    <s v="Abnormal"/>
    <x v="0"/>
  </r>
  <r>
    <x v="1682"/>
    <s v="Adaeze Akintola"/>
    <n v="21"/>
    <x v="2"/>
    <x v="1"/>
    <s v="O-"/>
    <x v="3"/>
    <x v="1"/>
    <x v="710"/>
    <d v="2023-03-20T00:00:00"/>
    <n v="9"/>
    <s v="National Hospital Abuja"/>
    <x v="4"/>
    <s v="Dr. Lanre Ogundele"/>
    <x v="0"/>
    <n v="20231.61"/>
    <s v="Enoxaparin"/>
    <n v="5"/>
    <n v="102"/>
    <n v="30.5"/>
    <s v="Inconclusive"/>
    <x v="0"/>
  </r>
  <r>
    <x v="1683"/>
    <s v="James Nwosu"/>
    <n v="73"/>
    <x v="4"/>
    <x v="0"/>
    <s v="O-"/>
    <x v="5"/>
    <x v="0"/>
    <x v="1064"/>
    <d v="2019-05-09T00:00:00"/>
    <n v="10"/>
    <s v="Aminu Kano Teaching Hospital"/>
    <x v="2"/>
    <s v="Dr. Adewale Ogundimu"/>
    <x v="1"/>
    <n v="92113.4"/>
    <s v="Amlodipine"/>
    <n v="8"/>
    <n v="321"/>
    <n v="28.5"/>
    <s v="Normal"/>
    <x v="1"/>
  </r>
  <r>
    <x v="1684"/>
    <s v="Adewale Onuoha"/>
    <n v="26"/>
    <x v="2"/>
    <x v="0"/>
    <s v="AB+"/>
    <x v="5"/>
    <x v="0"/>
    <x v="194"/>
    <d v="2021-01-19T00:00:00"/>
    <n v="10"/>
    <s v="Federal Medical Centre Owerri"/>
    <x v="3"/>
    <s v="Dr. Fatima Al-Hassan"/>
    <x v="0"/>
    <n v="24329.759999999998"/>
    <s v="Furosemide"/>
    <n v="10"/>
    <n v="322"/>
    <n v="35"/>
    <s v="Normal"/>
    <x v="0"/>
  </r>
  <r>
    <x v="1685"/>
    <s v="Aisha Dauda"/>
    <n v="74"/>
    <x v="4"/>
    <x v="1"/>
    <s v="B-"/>
    <x v="6"/>
    <x v="2"/>
    <x v="910"/>
    <d v="2019-10-07T00:00:00"/>
    <n v="9"/>
    <s v="University of Calabar Teaching Hospital"/>
    <x v="0"/>
    <s v="Dr. Yusuf Danjuma"/>
    <x v="2"/>
    <n v="34258.660000000003"/>
    <s v="Salbutamol"/>
    <n v="6"/>
    <n v="493"/>
    <n v="14"/>
    <s v="Abnormal"/>
    <x v="0"/>
  </r>
  <r>
    <x v="1686"/>
    <s v="Nnamdi Lawal"/>
    <n v="52"/>
    <x v="5"/>
    <x v="0"/>
    <s v="B+"/>
    <x v="7"/>
    <x v="0"/>
    <x v="343"/>
    <d v="2019-08-24T00:00:00"/>
    <n v="4"/>
    <s v="Bowen University Teaching Hospital"/>
    <x v="1"/>
    <s v="Dr. Chukwuemeka Nwosu"/>
    <x v="4"/>
    <n v="33145.54"/>
    <s v="Calcium"/>
    <n v="1"/>
    <n v="242"/>
    <m/>
    <s v="Normal"/>
    <x v="0"/>
  </r>
  <r>
    <x v="1687"/>
    <s v="Ngozi Dauda"/>
    <n v="79"/>
    <x v="1"/>
    <x v="1"/>
    <s v="AB+"/>
    <x v="6"/>
    <x v="1"/>
    <x v="510"/>
    <d v="2020-11-15T00:00:00"/>
    <n v="3"/>
    <s v="Ahmadu Bello University Teaching Hospital"/>
    <x v="2"/>
    <s v="Dr. Ngozi Eze-Williams"/>
    <x v="3"/>
    <n v="21119"/>
    <s v="Montelukast"/>
    <n v="7"/>
    <n v="150"/>
    <n v="31.6"/>
    <s v="Inconclusive"/>
    <x v="0"/>
  </r>
  <r>
    <x v="1688"/>
    <s v="Nnamdi Anderson"/>
    <n v="72"/>
    <x v="4"/>
    <x v="0"/>
    <s v="AB-"/>
    <x v="1"/>
    <x v="1"/>
    <x v="890"/>
    <m/>
    <m/>
    <s v="Ahmadu Bello University Teaching Hospital"/>
    <x v="2"/>
    <s v="Dr. Ibrahim Musa"/>
    <x v="4"/>
    <n v="14263.59"/>
    <s v="Dapagliflozin"/>
    <n v="8"/>
    <n v="113"/>
    <n v="26.8"/>
    <s v="Abnormal"/>
    <x v="0"/>
  </r>
  <r>
    <x v="1689"/>
    <s v="Musa Ajala"/>
    <n v="61"/>
    <x v="3"/>
    <x v="0"/>
    <s v="AB+"/>
    <x v="7"/>
    <x v="0"/>
    <x v="88"/>
    <d v="2021-07-05T00:00:00"/>
    <n v="3"/>
    <s v="University College Hospital Ibadan"/>
    <x v="1"/>
    <s v="Dr. Chukwuemeka Nwosu"/>
    <x v="3"/>
    <n v="62346.14"/>
    <s v="Vitamin D"/>
    <n v="4"/>
    <n v="235"/>
    <n v="20.100000000000001"/>
    <s v="Normal"/>
    <x v="0"/>
  </r>
  <r>
    <x v="1690"/>
    <s v="Elizabeth Ogbonna"/>
    <n v="42"/>
    <x v="5"/>
    <x v="1"/>
    <s v="A-"/>
    <x v="6"/>
    <x v="0"/>
    <x v="1135"/>
    <d v="2022-01-29T00:00:00"/>
    <n v="5"/>
    <s v="Aminu Kano Teaching Hospital"/>
    <x v="2"/>
    <s v="Dr. Halima Usman"/>
    <x v="1"/>
    <n v="18001.189999999999"/>
    <s v="Prednisolone"/>
    <n v="5"/>
    <n v="396"/>
    <n v="29.5"/>
    <s v="Abnormal"/>
    <x v="0"/>
  </r>
  <r>
    <x v="1691"/>
    <s v="Samuel Williams"/>
    <n v="38"/>
    <x v="5"/>
    <x v="0"/>
    <s v="O-"/>
    <x v="5"/>
    <x v="1"/>
    <x v="1136"/>
    <d v="2024-11-30T00:00:00"/>
    <n v="6"/>
    <s v="National Hospital Abuja"/>
    <x v="4"/>
    <s v="Dr. Emeka Okorie"/>
    <x v="1"/>
    <n v="49201.67"/>
    <s v="Aspirin"/>
    <n v="10"/>
    <n v="185"/>
    <n v="24.5"/>
    <s v="Normal"/>
    <x v="1"/>
  </r>
  <r>
    <x v="1692"/>
    <s v="Michael Danjuma"/>
    <n v="56"/>
    <x v="3"/>
    <x v="0"/>
    <s v=""/>
    <x v="4"/>
    <x v="1"/>
    <x v="450"/>
    <d v="2020-06-29T00:00:00"/>
    <n v="2"/>
    <s v="Federal Medical Centre Birnin Kebbi"/>
    <x v="2"/>
    <s v="Dr. Aisha Bello"/>
    <x v="3"/>
    <n v="14916.31"/>
    <s v="Mesalazine"/>
    <n v="4"/>
    <n v="146"/>
    <n v="26.4"/>
    <s v="Abnormal"/>
    <x v="0"/>
  </r>
  <r>
    <x v="1693"/>
    <s v="Peter Johnson"/>
    <n v="73"/>
    <x v="4"/>
    <x v="0"/>
    <s v="A+"/>
    <x v="6"/>
    <x v="2"/>
    <x v="521"/>
    <d v="2019-01-25T00:00:00"/>
    <n v="6"/>
    <s v="National Hospital Abuja"/>
    <x v="4"/>
    <s v="Dr. Ngozi Eze-Williams"/>
    <x v="4"/>
    <n v="26422.400000000001"/>
    <s v="Prednisolone"/>
    <n v="4"/>
    <n v="428"/>
    <n v="34.799999999999997"/>
    <s v="Abnormal"/>
    <x v="0"/>
  </r>
  <r>
    <x v="1694"/>
    <s v="Tolulope Ogbonna"/>
    <n v="80"/>
    <x v="1"/>
    <x v="1"/>
    <s v="O-"/>
    <x v="5"/>
    <x v="1"/>
    <x v="436"/>
    <d v="2023-06-26T00:00:00"/>
    <n v="7"/>
    <s v="Federal Medical Centre Asaba"/>
    <x v="0"/>
    <s v="Dr. Fatima Al-Hassan"/>
    <x v="0"/>
    <n v="39860.550000000003"/>
    <s v="Warfarin"/>
    <n v="10"/>
    <n v="199"/>
    <n v="35.1"/>
    <s v="Abnormal"/>
    <x v="0"/>
  </r>
  <r>
    <x v="1695"/>
    <s v="Uche Bankole"/>
    <n v="70"/>
    <x v="4"/>
    <x v="0"/>
    <s v="AB+"/>
    <x v="2"/>
    <x v="2"/>
    <x v="729"/>
    <d v="2024-02-21T00:00:00"/>
    <n v="6"/>
    <s v="Bowen University Teaching Hospital"/>
    <x v="1"/>
    <s v="Dr. Olumide Abiodun"/>
    <x v="1"/>
    <n v="60364.45"/>
    <s v="Aspirin"/>
    <n v="8"/>
    <n v="356"/>
    <n v="28.7"/>
    <s v="Abnormal"/>
    <x v="0"/>
  </r>
  <r>
    <x v="1696"/>
    <s v="Blessing Musa"/>
    <n v="25"/>
    <x v="2"/>
    <x v="1"/>
    <s v="O+"/>
    <x v="1"/>
    <x v="1"/>
    <x v="464"/>
    <d v="2023-04-22T00:00:00"/>
    <n v="3"/>
    <s v="National Hospital Abuja"/>
    <x v="4"/>
    <s v="Dr. Chioma Nwankwo"/>
    <x v="3"/>
    <n v="12885.34"/>
    <s v="Glibenclamide"/>
    <n v="7"/>
    <n v="113"/>
    <n v="48.5"/>
    <s v="Abnormal"/>
    <x v="0"/>
  </r>
  <r>
    <x v="1697"/>
    <s v="Amaka Nwosu"/>
    <n v="75"/>
    <x v="1"/>
    <x v="1"/>
    <s v="O-"/>
    <x v="6"/>
    <x v="0"/>
    <x v="1137"/>
    <d v="2022-12-07T00:00:00"/>
    <n v="6"/>
    <s v="Federal Medical Centre Birnin Kebbi"/>
    <x v="2"/>
    <s v="Dr. Halima Usman"/>
    <x v="2"/>
    <n v="32724.2"/>
    <s v="Prednisolone"/>
    <n v="7"/>
    <n v="319"/>
    <n v="28.6"/>
    <s v="Abnormal"/>
    <x v="0"/>
  </r>
  <r>
    <x v="1698"/>
    <s v="Adenike Fashola"/>
    <n v="24"/>
    <x v="2"/>
    <x v="1"/>
    <s v="A+"/>
    <x v="7"/>
    <x v="3"/>
    <x v="135"/>
    <d v="2022-04-03T00:00:00"/>
    <n v="1"/>
    <s v="University College Hospital Ibadan"/>
    <x v="1"/>
    <s v="Dr. Sarah Adeyemi"/>
    <x v="1"/>
    <n v="23164"/>
    <s v="Calcium"/>
    <n v="2"/>
    <n v="153"/>
    <n v="25.7"/>
    <s v="Abnormal"/>
    <x v="0"/>
  </r>
  <r>
    <x v="1699"/>
    <s v="Lydia Abiodun"/>
    <n v="30"/>
    <x v="2"/>
    <x v="1"/>
    <s v="B+"/>
    <x v="3"/>
    <x v="0"/>
    <x v="1138"/>
    <d v="2024-03-07T00:00:00"/>
    <n v="6"/>
    <s v="University of Calabar Teaching Hospital"/>
    <x v="0"/>
    <s v="Dr. Precious Obi"/>
    <x v="3"/>
    <n v="46393"/>
    <s v="Ondansetron"/>
    <n v="5"/>
    <n v="331"/>
    <n v="18.8"/>
    <s v="Normal"/>
    <x v="0"/>
  </r>
  <r>
    <x v="1700"/>
    <s v="Peter Okafor"/>
    <n v="72"/>
    <x v="4"/>
    <x v="0"/>
    <s v="O+"/>
    <x v="4"/>
    <x v="2"/>
    <x v="1139"/>
    <d v="2021-07-03T00:00:00"/>
    <n v="3"/>
    <s v="Federal Medical Centre Owerri"/>
    <x v="3"/>
    <s v="Dr. Aisha Bello"/>
    <x v="2"/>
    <n v="19867"/>
    <s v="Ciprofloxacin"/>
    <n v="1"/>
    <n v="189"/>
    <m/>
    <s v="Normal"/>
    <x v="0"/>
  </r>
  <r>
    <x v="1701"/>
    <s v="Rukayat Bankole"/>
    <n v="56"/>
    <x v="3"/>
    <x v="1"/>
    <s v="O-"/>
    <x v="6"/>
    <x v="0"/>
    <x v="659"/>
    <d v="2024-06-18T00:00:00"/>
    <n v="3"/>
    <s v="National Hospital Abuja"/>
    <x v="4"/>
    <s v="Dr. Yusuf Danjuma"/>
    <x v="2"/>
    <n v="38465.480000000003"/>
    <s v="Ipratropium"/>
    <n v="7"/>
    <n v="332"/>
    <n v="33.9"/>
    <s v="Abnormal"/>
    <x v="0"/>
  </r>
  <r>
    <x v="1702"/>
    <s v="Biodun Thompson"/>
    <n v="55"/>
    <x v="3"/>
    <x v="0"/>
    <s v="A-"/>
    <x v="3"/>
    <x v="1"/>
    <x v="293"/>
    <d v="2024-01-17T00:00:00"/>
    <n v="4"/>
    <s v="Bowen University Teaching Hospital"/>
    <x v="1"/>
    <s v="Dr. Lanre Ogundele"/>
    <x v="2"/>
    <n v="38910.17"/>
    <s v="Metronidazole"/>
    <n v="6"/>
    <n v="107"/>
    <n v="37.9"/>
    <s v="Normal"/>
    <x v="0"/>
  </r>
  <r>
    <x v="1703"/>
    <s v="Chidi Danjuma"/>
    <n v="51"/>
    <x v="5"/>
    <x v="0"/>
    <s v="AB-"/>
    <x v="0"/>
    <x v="1"/>
    <x v="57"/>
    <d v="2022-08-26T00:00:00"/>
    <n v="15"/>
    <s v="Ahmadu Bello University Teaching Hospital"/>
    <x v="2"/>
    <s v="Dr. Grace Oduya"/>
    <x v="0"/>
    <n v="39435.089999999997"/>
    <s v="Ondansetron"/>
    <n v="10"/>
    <n v="156"/>
    <n v="26.2"/>
    <s v="Normal"/>
    <x v="0"/>
  </r>
  <r>
    <x v="1704"/>
    <s v="Funke Lawal"/>
    <n v="72"/>
    <x v="4"/>
    <x v="1"/>
    <s v="AB-"/>
    <x v="6"/>
    <x v="1"/>
    <x v="834"/>
    <d v="2024-12-13T00:00:00"/>
    <n v="3"/>
    <s v="Lagos University Teaching Hospital"/>
    <x v="1"/>
    <s v="Dr. Halima Usman"/>
    <x v="1"/>
    <n v="43674.48"/>
    <s v="Ipratropium"/>
    <n v="7"/>
    <n v="114"/>
    <n v="34.4"/>
    <s v="Normal"/>
    <x v="0"/>
  </r>
  <r>
    <x v="1705"/>
    <s v="Hauwa Adeleke"/>
    <n v="62"/>
    <x v="3"/>
    <x v="1"/>
    <s v="A+"/>
    <x v="0"/>
    <x v="1"/>
    <x v="688"/>
    <d v="2024-11-05T00:00:00"/>
    <n v="7"/>
    <s v="University College Hospital Ibadan"/>
    <x v="1"/>
    <s v="Dr. Babatunde Fashola"/>
    <x v="1"/>
    <n v="69957.98"/>
    <s v="Methotrexate"/>
    <n v="12"/>
    <n v="169"/>
    <n v="29.9"/>
    <s v="Normal"/>
    <x v="0"/>
  </r>
  <r>
    <x v="1706"/>
    <s v="Ibrahim Bello"/>
    <n v="76"/>
    <x v="1"/>
    <x v="0"/>
    <s v="A+"/>
    <x v="2"/>
    <x v="2"/>
    <x v="1140"/>
    <d v="2022-04-09T00:00:00"/>
    <n v="12"/>
    <s v="University of Calabar Teaching Hospital"/>
    <x v="0"/>
    <s v="Dr. Olumide Abiodun"/>
    <x v="4"/>
    <n v="63651.02"/>
    <s v="Donepezil"/>
    <n v="8"/>
    <n v="494"/>
    <n v="24.4"/>
    <s v="Abnormal"/>
    <x v="1"/>
  </r>
  <r>
    <x v="1707"/>
    <s v="Babatunde Bankole"/>
    <n v="56"/>
    <x v="3"/>
    <x v="0"/>
    <s v="B+"/>
    <x v="3"/>
    <x v="2"/>
    <x v="857"/>
    <d v="2024-03-25T00:00:00"/>
    <n v="6"/>
    <s v="Ahmadu Bello University Teaching Hospital"/>
    <x v="2"/>
    <s v="Dr. Kemi Adeyemi"/>
    <x v="0"/>
    <n v="29938.61"/>
    <s v="Enoxaparin"/>
    <n v="6"/>
    <n v="171"/>
    <n v="32.700000000000003"/>
    <s v="Normal"/>
    <x v="0"/>
  </r>
  <r>
    <x v="1708"/>
    <s v="Musa Garba"/>
    <n v="65"/>
    <x v="4"/>
    <x v="0"/>
    <s v="A-"/>
    <x v="2"/>
    <x v="1"/>
    <x v="676"/>
    <d v="2020-04-14T00:00:00"/>
    <n v="10"/>
    <s v="Federal Medical Centre Owerri"/>
    <x v="3"/>
    <s v="Dr. Zainab Sule"/>
    <x v="0"/>
    <n v="57240.25"/>
    <s v="Levetiracetam"/>
    <n v="8"/>
    <n v="162"/>
    <m/>
    <s v="Normal"/>
    <x v="1"/>
  </r>
  <r>
    <x v="1709"/>
    <s v="Rukayat Wilson"/>
    <n v="70"/>
    <x v="4"/>
    <x v="1"/>
    <s v="A-"/>
    <x v="5"/>
    <x v="0"/>
    <x v="1141"/>
    <d v="2020-10-28T00:00:00"/>
    <n v="7"/>
    <s v="Federal Medical Centre Asaba"/>
    <x v="0"/>
    <s v="Dr. Emeka Okorie"/>
    <x v="0"/>
    <n v="186053.14"/>
    <s v="Warfarin"/>
    <n v="10"/>
    <n v="310"/>
    <n v="29.3"/>
    <s v="Inconclusive"/>
    <x v="0"/>
  </r>
  <r>
    <x v="1710"/>
    <s v="Mary Garba"/>
    <n v="61"/>
    <x v="3"/>
    <x v="1"/>
    <s v="A+"/>
    <x v="4"/>
    <x v="1"/>
    <x v="1083"/>
    <d v="2024-08-19T00:00:00"/>
    <n v="3"/>
    <s v="Bowen University Teaching Hospital"/>
    <x v="1"/>
    <s v="Dr. Aisha Bello"/>
    <x v="4"/>
    <n v="10286"/>
    <s v="Loperamide"/>
    <n v="5"/>
    <n v="104"/>
    <n v="33.9"/>
    <s v="Inconclusive"/>
    <x v="0"/>
  </r>
  <r>
    <x v="1711"/>
    <s v="Taiwo Onuoha"/>
    <n v="76"/>
    <x v="1"/>
    <x v="1"/>
    <s v="O+"/>
    <x v="1"/>
    <x v="2"/>
    <x v="722"/>
    <d v="2024-08-03T00:00:00"/>
    <n v="3"/>
    <s v="Ahmadu Bello University Teaching Hospital"/>
    <x v="2"/>
    <s v="Dr. Taiwo Adeleke"/>
    <x v="2"/>
    <n v="28882.14"/>
    <s v="Glibenclamide"/>
    <n v="8"/>
    <n v="420"/>
    <n v="22.4"/>
    <s v="Abnormal"/>
    <x v="0"/>
  </r>
  <r>
    <x v="1712"/>
    <s v="Kayode Sule"/>
    <n v="57"/>
    <x v="3"/>
    <x v="0"/>
    <s v="B+"/>
    <x v="7"/>
    <x v="0"/>
    <x v="366"/>
    <d v="2019-12-27T00:00:00"/>
    <n v="5"/>
    <s v="Federal Medical Centre Birnin Kebbi"/>
    <x v="2"/>
    <s v="Dr. Sarah Adeyemi"/>
    <x v="1"/>
    <n v="45620.11"/>
    <s v="Ibuprofen"/>
    <n v="4"/>
    <n v="459"/>
    <n v="37.9"/>
    <s v="Normal"/>
    <x v="0"/>
  </r>
  <r>
    <x v="1713"/>
    <s v="Amaka Okeke"/>
    <n v="88"/>
    <x v="1"/>
    <x v="1"/>
    <s v="B+"/>
    <x v="6"/>
    <x v="1"/>
    <x v="1142"/>
    <d v="2023-11-04T00:00:00"/>
    <n v="2"/>
    <s v="Ahmadu Bello University Teaching Hospital"/>
    <x v="2"/>
    <s v="Dr. Halima Usman"/>
    <x v="1"/>
    <n v="24221.26"/>
    <s v="Azithromycin"/>
    <n v="7"/>
    <n v="107"/>
    <n v="31.7"/>
    <s v="Abnormal"/>
    <x v="0"/>
  </r>
  <r>
    <x v="1714"/>
    <s v="James Ogbonna"/>
    <n v="59"/>
    <x v="3"/>
    <x v="0"/>
    <s v="B+"/>
    <x v="7"/>
    <x v="2"/>
    <x v="592"/>
    <d v="2019-10-23T00:00:00"/>
    <n v="2"/>
    <s v="Lagos University Teaching Hospital"/>
    <x v="1"/>
    <s v="Dr. Musa Aliyu"/>
    <x v="3"/>
    <n v="40237.08"/>
    <s v="Tramadol"/>
    <n v="5"/>
    <n v="347"/>
    <n v="30.6"/>
    <s v="Normal"/>
    <x v="0"/>
  </r>
  <r>
    <x v="1715"/>
    <s v="Amaka Obi"/>
    <n v="71"/>
    <x v="4"/>
    <x v="1"/>
    <s v="O-"/>
    <x v="2"/>
    <x v="0"/>
    <x v="1143"/>
    <d v="2024-03-16T00:00:00"/>
    <n v="11"/>
    <s v="University of Calabar Teaching Hospital"/>
    <x v="0"/>
    <s v="Dr. Olumide Abiodun"/>
    <x v="0"/>
    <n v="122542.83"/>
    <s v="Levetiracetam"/>
    <n v="7"/>
    <n v="392"/>
    <n v="21.5"/>
    <s v="Abnormal"/>
    <x v="0"/>
  </r>
  <r>
    <x v="1716"/>
    <s v="John Yakubu"/>
    <n v="79"/>
    <x v="1"/>
    <x v="0"/>
    <s v="B+"/>
    <x v="1"/>
    <x v="0"/>
    <x v="1144"/>
    <d v="2019-11-08T00:00:00"/>
    <n v="7"/>
    <s v="Federal Medical Centre Owerri"/>
    <x v="3"/>
    <s v="Dr. Chioma Nwankwo"/>
    <x v="1"/>
    <n v="79505.94"/>
    <s v="Dapagliflozin"/>
    <n v="7"/>
    <n v="347"/>
    <n v="33"/>
    <s v="Inconclusive"/>
    <x v="1"/>
  </r>
  <r>
    <x v="1717"/>
    <s v="Mariam Obi"/>
    <n v="15"/>
    <x v="0"/>
    <x v="1"/>
    <s v="B+"/>
    <x v="2"/>
    <x v="0"/>
    <x v="399"/>
    <d v="2019-12-05T00:00:00"/>
    <n v="7"/>
    <s v="University College Hospital Ibadan"/>
    <x v="1"/>
    <s v="Dr. Olumide Abiodun"/>
    <x v="1"/>
    <n v="44577"/>
    <s v="Memantine"/>
    <n v="9"/>
    <n v="339"/>
    <n v="29.2"/>
    <s v="Inconclusive"/>
    <x v="0"/>
  </r>
  <r>
    <x v="1718"/>
    <s v="Grace Okonkwo"/>
    <n v="74"/>
    <x v="4"/>
    <x v="1"/>
    <s v="B-"/>
    <x v="5"/>
    <x v="1"/>
    <x v="375"/>
    <d v="2019-04-14T00:00:00"/>
    <n v="14"/>
    <s v="Lagos University Teaching Hospital"/>
    <x v="1"/>
    <s v="Dr. Emeka Okorie"/>
    <x v="0"/>
    <n v="27284.7"/>
    <s v="Furosemide"/>
    <n v="10"/>
    <n v="107"/>
    <n v="28.4"/>
    <s v="Abnormal"/>
    <x v="0"/>
  </r>
  <r>
    <x v="1719"/>
    <s v="Segun Ajala"/>
    <n v="76"/>
    <x v="1"/>
    <x v="0"/>
    <s v="B-"/>
    <x v="6"/>
    <x v="0"/>
    <x v="1145"/>
    <d v="2023-11-29T00:00:00"/>
    <n v="14"/>
    <s v="National Hospital Abuja"/>
    <x v="4"/>
    <s v="Dr. Yusuf Danjuma"/>
    <x v="0"/>
    <n v="53315"/>
    <s v="Azithromycin"/>
    <n v="7"/>
    <n v="394"/>
    <n v="14.8"/>
    <s v="Inconclusive"/>
    <x v="0"/>
  </r>
  <r>
    <x v="1720"/>
    <s v="Rotimi Okonkwo"/>
    <n v="59"/>
    <x v="3"/>
    <x v="0"/>
    <s v="O+"/>
    <x v="5"/>
    <x v="1"/>
    <x v="150"/>
    <d v="2024-04-02T00:00:00"/>
    <n v="11"/>
    <s v="Federal Medical Centre Owerri"/>
    <x v="3"/>
    <s v="Dr. Fatima Al-Hassan"/>
    <x v="0"/>
    <n v="30366.959999999999"/>
    <s v="Metoprolol"/>
    <n v="7"/>
    <n v="160"/>
    <n v="28"/>
    <s v="Abnormal"/>
    <x v="0"/>
  </r>
  <r>
    <x v="1721"/>
    <s v="Ruth Akintola"/>
    <n v="27"/>
    <x v="2"/>
    <x v="1"/>
    <s v="AB-"/>
    <x v="6"/>
    <x v="0"/>
    <x v="919"/>
    <d v="2020-05-07T00:00:00"/>
    <n v="3"/>
    <s v="Federal Medical Centre Owerri"/>
    <x v="3"/>
    <s v="Dr. Halima Usman"/>
    <x v="3"/>
    <n v="33818.559999999998"/>
    <s v="Ipratropium"/>
    <n v="6"/>
    <n v="371"/>
    <n v="38.700000000000003"/>
    <s v="Normal"/>
    <x v="0"/>
  </r>
  <r>
    <x v="1722"/>
    <s v="Gbenga Akintola"/>
    <n v="73"/>
    <x v="4"/>
    <x v="0"/>
    <s v="B+"/>
    <x v="5"/>
    <x v="0"/>
    <x v="1055"/>
    <d v="2023-03-22T00:00:00"/>
    <n v="10"/>
    <s v="Lagos University Teaching Hospital"/>
    <x v="1"/>
    <s v="Dr. Emeka Okorie"/>
    <x v="1"/>
    <n v="220717.74"/>
    <s v="Lisinopril"/>
    <n v="10"/>
    <n v="310"/>
    <n v="15.9"/>
    <s v="Abnormal"/>
    <x v="0"/>
  </r>
  <r>
    <x v="1723"/>
    <s v="Adenike Aliyu"/>
    <n v="90"/>
    <x v="1"/>
    <x v="1"/>
    <s v="A-"/>
    <x v="0"/>
    <x v="1"/>
    <x v="201"/>
    <d v="2024-12-08T00:00:00"/>
    <n v="5"/>
    <s v="National Hospital Abuja"/>
    <x v="4"/>
    <s v="Dr. Babatunde Fashola"/>
    <x v="4"/>
    <n v="46009.34"/>
    <s v="Filgrastim"/>
    <n v="9"/>
    <n v="129"/>
    <n v="30.4"/>
    <s v="Inconclusive"/>
    <x v="0"/>
  </r>
  <r>
    <x v="1724"/>
    <s v="Perpetua Lawal"/>
    <n v="89"/>
    <x v="1"/>
    <x v="1"/>
    <s v="B-"/>
    <x v="0"/>
    <x v="2"/>
    <x v="191"/>
    <d v="2022-03-29T00:00:00"/>
    <n v="24"/>
    <s v="Aminu Kano Teaching Hospital"/>
    <x v="2"/>
    <s v="Dr. Babatunde Fashola"/>
    <x v="0"/>
    <n v="201676.48"/>
    <s v="Ondansetron"/>
    <n v="9"/>
    <n v="189"/>
    <n v="27.3"/>
    <s v="Abnormal"/>
    <x v="0"/>
  </r>
  <r>
    <x v="1725"/>
    <s v="Joseph Williams"/>
    <n v="36"/>
    <x v="5"/>
    <x v="0"/>
    <s v="A+"/>
    <x v="5"/>
    <x v="2"/>
    <x v="591"/>
    <d v="2020-05-01T00:00:00"/>
    <n v="16"/>
    <s v="Aminu Kano Teaching Hospital"/>
    <x v="2"/>
    <s v="Dr. Adewale Ogundimu"/>
    <x v="0"/>
    <n v="19698.900000000001"/>
    <s v="Furosemide"/>
    <n v="10"/>
    <n v="100"/>
    <n v="21.4"/>
    <s v="Abnormal"/>
    <x v="0"/>
  </r>
  <r>
    <x v="1726"/>
    <s v="Nnamdi Abubakar"/>
    <n v="68"/>
    <x v="4"/>
    <x v="0"/>
    <s v="AB+"/>
    <x v="4"/>
    <x v="2"/>
    <x v="1146"/>
    <d v="2021-01-18T00:00:00"/>
    <n v="2"/>
    <s v="University of Calabar Teaching Hospital"/>
    <x v="0"/>
    <s v="Dr. Nnamdi Okafor"/>
    <x v="2"/>
    <n v="17848.39"/>
    <s v="Ciprofloxacin"/>
    <n v="2"/>
    <n v="467"/>
    <m/>
    <s v="Abnormal"/>
    <x v="0"/>
  </r>
  <r>
    <x v="1727"/>
    <s v="David Osagie"/>
    <n v="50"/>
    <x v="5"/>
    <x v="0"/>
    <s v="AB-"/>
    <x v="2"/>
    <x v="1"/>
    <x v="1147"/>
    <d v="2020-05-19T00:00:00"/>
    <n v="9"/>
    <s v="Aminu Kano Teaching Hospital"/>
    <x v="2"/>
    <s v="Dr. Rotimi Fashola"/>
    <x v="1"/>
    <n v="18910"/>
    <s v="Donepezil"/>
    <n v="9"/>
    <n v="100"/>
    <n v="30.6"/>
    <s v="Normal"/>
    <x v="0"/>
  </r>
  <r>
    <x v="1728"/>
    <s v="Amaka Akintola"/>
    <n v="63"/>
    <x v="3"/>
    <x v="1"/>
    <s v="A+"/>
    <x v="1"/>
    <x v="3"/>
    <x v="143"/>
    <d v="2019-06-12T00:00:00"/>
    <n v="5"/>
    <s v="Federal Medical Centre Asaba"/>
    <x v="0"/>
    <s v="Dr. Chioma Nwankwo"/>
    <x v="1"/>
    <n v="17797.14"/>
    <s v="Liraglutide"/>
    <n v="7"/>
    <n v="174"/>
    <n v="28.8"/>
    <s v="Normal"/>
    <x v="0"/>
  </r>
  <r>
    <x v="1729"/>
    <s v="Rukayat Bello"/>
    <n v="69"/>
    <x v="4"/>
    <x v="1"/>
    <s v="B-"/>
    <x v="7"/>
    <x v="1"/>
    <x v="100"/>
    <d v="2023-10-29T00:00:00"/>
    <n v="4"/>
    <s v="National Hospital Abuja"/>
    <x v="4"/>
    <s v="Dr. Musa Aliyu"/>
    <x v="1"/>
    <n v="34705.78"/>
    <s v="Calcium"/>
    <n v="6"/>
    <n v="150"/>
    <m/>
    <s v="Normal"/>
    <x v="0"/>
  </r>
  <r>
    <x v="1730"/>
    <s v="Fatima Martin"/>
    <n v="61"/>
    <x v="3"/>
    <x v="1"/>
    <s v="A+"/>
    <x v="3"/>
    <x v="2"/>
    <x v="1148"/>
    <d v="2021-05-29T00:00:00"/>
    <n v="3"/>
    <s v="National Hospital Abuja"/>
    <x v="4"/>
    <s v="Dr. Kemi Adeyemi"/>
    <x v="1"/>
    <n v="60814"/>
    <s v="Metronidazole"/>
    <n v="6"/>
    <n v="344"/>
    <n v="29.3"/>
    <s v="Abnormal"/>
    <x v="0"/>
  </r>
  <r>
    <x v="1731"/>
    <s v="Segun Usman"/>
    <n v="61"/>
    <x v="3"/>
    <x v="0"/>
    <s v="AB+"/>
    <x v="4"/>
    <x v="2"/>
    <x v="1149"/>
    <d v="2021-10-18T00:00:00"/>
    <n v="4"/>
    <s v="University College Hospital Ibadan"/>
    <x v="1"/>
    <s v="Dr. Aisha Bello"/>
    <x v="1"/>
    <n v="8293.48"/>
    <s v="Metronidazole"/>
    <n v="4"/>
    <n v="114"/>
    <n v="23.4"/>
    <s v="Abnormal"/>
    <x v="0"/>
  </r>
  <r>
    <x v="1732"/>
    <s v="Grace Eze"/>
    <n v="80"/>
    <x v="1"/>
    <x v="1"/>
    <s v="O+"/>
    <x v="4"/>
    <x v="0"/>
    <x v="924"/>
    <d v="2023-05-08T00:00:00"/>
    <n v="5"/>
    <s v="Aminu Kano Teaching Hospital"/>
    <x v="2"/>
    <s v="Dr. Aisha Bello"/>
    <x v="2"/>
    <n v="31327.48"/>
    <s v="Omeprazole"/>
    <n v="4"/>
    <n v="362"/>
    <m/>
    <s v="Normal"/>
    <x v="1"/>
  </r>
  <r>
    <x v="1733"/>
    <s v="Rotimi Danjuma"/>
    <n v="84"/>
    <x v="1"/>
    <x v="0"/>
    <s v="A+"/>
    <x v="6"/>
    <x v="1"/>
    <x v="709"/>
    <d v="2019-05-09T00:00:00"/>
    <n v="5"/>
    <s v="University College Hospital Ibadan"/>
    <x v="1"/>
    <s v="Dr. Ngozi Eze-Williams"/>
    <x v="2"/>
    <n v="22344.06"/>
    <s v="Tiotropium"/>
    <n v="6"/>
    <n v="155"/>
    <n v="27.5"/>
    <s v="Inconclusive"/>
    <x v="0"/>
  </r>
  <r>
    <x v="1734"/>
    <s v="Chioma Hassan"/>
    <n v="66"/>
    <x v="4"/>
    <x v="1"/>
    <s v=""/>
    <x v="7"/>
    <x v="0"/>
    <x v="724"/>
    <d v="2023-11-07T00:00:00"/>
    <n v="6"/>
    <s v="National Hospital Abuja"/>
    <x v="4"/>
    <s v="Dr. Sarah Adeyemi"/>
    <x v="1"/>
    <n v="47040"/>
    <s v="Tramadol"/>
    <n v="6"/>
    <n v="144"/>
    <n v="25.9"/>
    <s v="Normal"/>
    <x v="1"/>
  </r>
  <r>
    <x v="1735"/>
    <s v="Miriam Chukwu"/>
    <n v="59"/>
    <x v="3"/>
    <x v="1"/>
    <s v="A+"/>
    <x v="0"/>
    <x v="0"/>
    <x v="1150"/>
    <d v="2019-08-20T00:00:00"/>
    <n v="12"/>
    <s v="National Hospital Abuja"/>
    <x v="4"/>
    <s v="Dr. Amara Osei"/>
    <x v="1"/>
    <n v="105725.29"/>
    <s v="Bevacizumab"/>
    <n v="12"/>
    <n v="443"/>
    <n v="17.600000000000001"/>
    <s v="Abnormal"/>
    <x v="0"/>
  </r>
  <r>
    <x v="1736"/>
    <s v="Esther Davis"/>
    <n v="72"/>
    <x v="4"/>
    <x v="1"/>
    <s v="AB+"/>
    <x v="5"/>
    <x v="1"/>
    <x v="1151"/>
    <d v="2024-03-15T00:00:00"/>
    <n v="6"/>
    <s v="University College Hospital Ibadan"/>
    <x v="1"/>
    <s v="Dr. Fatima Al-Hassan"/>
    <x v="1"/>
    <n v="62078.77"/>
    <s v="Aspirin"/>
    <n v="10"/>
    <n v="189"/>
    <n v="31.7"/>
    <s v="Inconclusive"/>
    <x v="0"/>
  </r>
  <r>
    <x v="1737"/>
    <s v="Oluwaseun Usman"/>
    <n v="68"/>
    <x v="4"/>
    <x v="0"/>
    <s v="A+"/>
    <x v="3"/>
    <x v="2"/>
    <x v="417"/>
    <d v="2019-09-28T00:00:00"/>
    <n v="10"/>
    <s v="University of Calabar Teaching Hospital"/>
    <x v="0"/>
    <s v="Dr. Lanre Ogundele"/>
    <x v="1"/>
    <n v="38236.339999999997"/>
    <s v="Enoxaparin"/>
    <n v="4"/>
    <n v="448"/>
    <n v="18.899999999999999"/>
    <s v="Normal"/>
    <x v="0"/>
  </r>
  <r>
    <x v="1738"/>
    <s v="Peter Williams"/>
    <n v="85"/>
    <x v="1"/>
    <x v="0"/>
    <s v="B-"/>
    <x v="4"/>
    <x v="1"/>
    <x v="195"/>
    <m/>
    <m/>
    <s v="Aminu Kano Teaching Hospital"/>
    <x v="2"/>
    <s v="Dr. Segun Banke"/>
    <x v="2"/>
    <n v="20904.8"/>
    <s v="Loperamide"/>
    <n v="2"/>
    <n v="188"/>
    <n v="24.4"/>
    <s v="Normal"/>
    <x v="0"/>
  </r>
  <r>
    <x v="1739"/>
    <s v="Tunde Thompson"/>
    <n v="66"/>
    <x v="4"/>
    <x v="0"/>
    <s v="AB+"/>
    <x v="4"/>
    <x v="0"/>
    <x v="1152"/>
    <d v="2020-04-28T00:00:00"/>
    <n v="8"/>
    <s v="Aminu Kano Teaching Hospital"/>
    <x v="2"/>
    <s v="Dr. Aisha Bello"/>
    <x v="0"/>
    <n v="29884"/>
    <s v="Loperamide"/>
    <n v="4"/>
    <n v="182"/>
    <n v="20"/>
    <s v="Abnormal"/>
    <x v="0"/>
  </r>
  <r>
    <x v="1740"/>
    <s v="Uche Dauda"/>
    <n v="65"/>
    <x v="4"/>
    <x v="0"/>
    <s v="O+"/>
    <x v="1"/>
    <x v="1"/>
    <x v="1153"/>
    <d v="2022-10-30T00:00:00"/>
    <n v="5"/>
    <s v="Federal Medical Centre Birnin Kebbi"/>
    <x v="2"/>
    <s v="Dr. Taiwo Adeleke"/>
    <x v="0"/>
    <n v="11600.05"/>
    <s v="Linagliptin"/>
    <n v="8"/>
    <n v="134"/>
    <m/>
    <s v="Inconclusive"/>
    <x v="0"/>
  </r>
  <r>
    <x v="1741"/>
    <s v="Deborah Williams"/>
    <n v="56"/>
    <x v="3"/>
    <x v="1"/>
    <s v="O+"/>
    <x v="0"/>
    <x v="2"/>
    <x v="1154"/>
    <d v="2024-06-18T00:00:00"/>
    <n v="22"/>
    <s v="Ahmadu Bello University Teaching Hospital"/>
    <x v="2"/>
    <s v="Dr. Babatunde Fashola"/>
    <x v="1"/>
    <n v="128130"/>
    <s v="Paclitaxel"/>
    <n v="12"/>
    <n v="211"/>
    <n v="28.5"/>
    <s v="Normal"/>
    <x v="0"/>
  </r>
  <r>
    <x v="1742"/>
    <s v="James Bello"/>
    <n v="83"/>
    <x v="1"/>
    <x v="0"/>
    <s v="A+"/>
    <x v="6"/>
    <x v="0"/>
    <x v="1155"/>
    <d v="2022-05-16T00:00:00"/>
    <n v="3"/>
    <s v="Federal Medical Centre Owerri"/>
    <x v="3"/>
    <s v="Dr. Halima Usman"/>
    <x v="3"/>
    <n v="74268.399999999994"/>
    <s v="Theophylline"/>
    <n v="7"/>
    <n v="380"/>
    <n v="27.8"/>
    <s v="Abnormal"/>
    <x v="0"/>
  </r>
  <r>
    <x v="1743"/>
    <s v="Ibrahim Ibrahim"/>
    <n v="56"/>
    <x v="3"/>
    <x v="0"/>
    <s v="AB+"/>
    <x v="7"/>
    <x v="2"/>
    <x v="1142"/>
    <d v="2023-11-08T00:00:00"/>
    <n v="6"/>
    <s v="Federal Medical Centre Asaba"/>
    <x v="0"/>
    <s v="Dr. Chukwuemeka Nwosu"/>
    <x v="0"/>
    <n v="28467.63"/>
    <s v="Celecoxib"/>
    <n v="6"/>
    <n v="132"/>
    <n v="29.9"/>
    <s v="Normal"/>
    <x v="1"/>
  </r>
  <r>
    <x v="1744"/>
    <s v="Bukola Garba"/>
    <n v="58"/>
    <x v="3"/>
    <x v="1"/>
    <s v="AB-"/>
    <x v="6"/>
    <x v="0"/>
    <x v="836"/>
    <d v="2019-12-22T00:00:00"/>
    <n v="6"/>
    <s v="Lagos University Teaching Hospital"/>
    <x v="1"/>
    <s v="Dr. Ngozi Eze-Williams"/>
    <x v="3"/>
    <n v="29438"/>
    <s v="Salbutamol"/>
    <n v="7"/>
    <n v="311"/>
    <n v="34.5"/>
    <s v="Normal"/>
    <x v="0"/>
  </r>
  <r>
    <x v="1745"/>
    <s v="Ifeanyi Aliyu"/>
    <n v="28"/>
    <x v="2"/>
    <x v="0"/>
    <s v="B-"/>
    <x v="1"/>
    <x v="1"/>
    <x v="569"/>
    <d v="2024-01-23T00:00:00"/>
    <n v="4"/>
    <s v="Federal Medical Centre Owerri"/>
    <x v="3"/>
    <s v="Dr. Taiwo Adeleke"/>
    <x v="4"/>
    <n v="5781.61"/>
    <s v="Linagliptin"/>
    <n v="8"/>
    <n v="126"/>
    <n v="19.2"/>
    <s v="Abnormal"/>
    <x v="0"/>
  </r>
  <r>
    <x v="1746"/>
    <s v="James Danjuma"/>
    <n v="38"/>
    <x v="5"/>
    <x v="0"/>
    <s v="AB+"/>
    <x v="7"/>
    <x v="2"/>
    <x v="1147"/>
    <d v="2020-05-17T00:00:00"/>
    <n v="7"/>
    <s v="University College Hospital Ibadan"/>
    <x v="1"/>
    <s v="Dr. Chukwuemeka Nwosu"/>
    <x v="4"/>
    <n v="11444"/>
    <s v="Celecoxib"/>
    <n v="2"/>
    <n v="313"/>
    <n v="18.899999999999999"/>
    <s v="Normal"/>
    <x v="0"/>
  </r>
  <r>
    <x v="1747"/>
    <s v="Ruth Okeke"/>
    <n v="68"/>
    <x v="4"/>
    <x v="1"/>
    <s v="A+"/>
    <x v="0"/>
    <x v="1"/>
    <x v="502"/>
    <d v="2021-09-19T00:00:00"/>
    <n v="12"/>
    <s v="Aminu Kano Teaching Hospital"/>
    <x v="2"/>
    <s v="Dr. Amara Osei"/>
    <x v="1"/>
    <n v="90213.31"/>
    <s v="Cyclophosphamide"/>
    <n v="12"/>
    <n v="148"/>
    <n v="19.7"/>
    <s v="Abnormal"/>
    <x v="1"/>
  </r>
  <r>
    <x v="1748"/>
    <s v="Josephine Davis"/>
    <n v="63"/>
    <x v="3"/>
    <x v="1"/>
    <s v="AB-"/>
    <x v="6"/>
    <x v="1"/>
    <x v="1156"/>
    <d v="2023-07-08T00:00:00"/>
    <n v="4"/>
    <s v="Federal Medical Centre Owerri"/>
    <x v="3"/>
    <s v="Dr. Ngozi Eze-Williams"/>
    <x v="0"/>
    <n v="23763.74"/>
    <s v="Ipratropium"/>
    <n v="7"/>
    <n v="103"/>
    <n v="44.7"/>
    <s v="Abnormal"/>
    <x v="0"/>
  </r>
  <r>
    <x v="1749"/>
    <s v="Aisha Bankole"/>
    <n v="64"/>
    <x v="3"/>
    <x v="1"/>
    <s v="O-"/>
    <x v="5"/>
    <x v="1"/>
    <x v="419"/>
    <d v="2020-11-18T00:00:00"/>
    <n v="9"/>
    <s v="University College Hospital Ibadan"/>
    <x v="1"/>
    <s v="Dr. Adewale Ogundimu"/>
    <x v="1"/>
    <n v="23774.29"/>
    <s v="Digoxin"/>
    <n v="7"/>
    <n v="158"/>
    <n v="33.1"/>
    <s v="Abnormal"/>
    <x v="1"/>
  </r>
  <r>
    <x v="1750"/>
    <s v="Daniel Lawan"/>
    <n v="32"/>
    <x v="2"/>
    <x v="0"/>
    <s v="B+"/>
    <x v="6"/>
    <x v="2"/>
    <x v="1157"/>
    <d v="2020-11-03T00:00:00"/>
    <n v="5"/>
    <s v="Federal Medical Centre Birnin Kebbi"/>
    <x v="2"/>
    <s v="Dr. Yusuf Danjuma"/>
    <x v="4"/>
    <n v="10761.93"/>
    <s v="Salbutamol"/>
    <n v="7"/>
    <n v="101"/>
    <n v="32.5"/>
    <s v="Inconclusive"/>
    <x v="0"/>
  </r>
  <r>
    <x v="1751"/>
    <s v="Rukayat Bello"/>
    <n v="26"/>
    <x v="2"/>
    <x v="1"/>
    <s v="AB-"/>
    <x v="1"/>
    <x v="0"/>
    <x v="1022"/>
    <d v="2023-04-18T00:00:00"/>
    <n v="5"/>
    <s v="Bowen University Teaching Hospital"/>
    <x v="1"/>
    <s v="Dr. Taiwo Adeleke"/>
    <x v="1"/>
    <n v="24692"/>
    <s v="Metformin"/>
    <n v="7"/>
    <n v="239"/>
    <n v="37.1"/>
    <s v="Abnormal"/>
    <x v="1"/>
  </r>
  <r>
    <x v="1752"/>
    <s v="Ifeanyi Onuoha"/>
    <n v="54"/>
    <x v="5"/>
    <x v="0"/>
    <s v="AB+"/>
    <x v="7"/>
    <x v="2"/>
    <x v="784"/>
    <d v="2022-12-27T00:00:00"/>
    <n v="6"/>
    <s v="Federal Medical Centre Owerri"/>
    <x v="3"/>
    <s v="Dr. Sarah Adeyemi"/>
    <x v="4"/>
    <n v="23395"/>
    <s v="Ibuprofen"/>
    <n v="6"/>
    <n v="273"/>
    <m/>
    <s v="Abnormal"/>
    <x v="0"/>
  </r>
  <r>
    <x v="1753"/>
    <s v="Emeka Lawal"/>
    <n v="69"/>
    <x v="4"/>
    <x v="0"/>
    <s v="A+"/>
    <x v="6"/>
    <x v="0"/>
    <x v="393"/>
    <d v="2022-04-01T00:00:00"/>
    <n v="8"/>
    <s v="Bowen University Teaching Hospital"/>
    <x v="1"/>
    <s v="Dr. Halima Usman"/>
    <x v="0"/>
    <n v="24336"/>
    <s v="Prednisolone"/>
    <n v="4"/>
    <n v="363"/>
    <n v="32.799999999999997"/>
    <s v="Abnormal"/>
    <x v="1"/>
  </r>
  <r>
    <x v="1754"/>
    <s v="Segun Akintola"/>
    <n v="59"/>
    <x v="3"/>
    <x v="0"/>
    <s v="A-"/>
    <x v="5"/>
    <x v="0"/>
    <x v="955"/>
    <d v="2019-11-11T00:00:00"/>
    <n v="10"/>
    <s v="Federal Medical Centre Birnin Kebbi"/>
    <x v="2"/>
    <s v="Dr. Fatima Al-Hassan"/>
    <x v="3"/>
    <n v="118149.12"/>
    <s v="Amlodipine"/>
    <n v="10"/>
    <n v="399"/>
    <n v="23.9"/>
    <s v="Abnormal"/>
    <x v="1"/>
  </r>
  <r>
    <x v="1755"/>
    <s v="Peter Bello"/>
    <n v="61"/>
    <x v="3"/>
    <x v="0"/>
    <s v="B-"/>
    <x v="1"/>
    <x v="0"/>
    <x v="581"/>
    <d v="2021-05-28T00:00:00"/>
    <n v="3"/>
    <s v="Ahmadu Bello University Teaching Hospital"/>
    <x v="2"/>
    <s v="Dr. Chioma Nwankwo"/>
    <x v="3"/>
    <n v="37486.5"/>
    <s v="Sitagliptin"/>
    <n v="8"/>
    <n v="364"/>
    <n v="35"/>
    <s v="Abnormal"/>
    <x v="0"/>
  </r>
  <r>
    <x v="1756"/>
    <s v="Biodun Dauda"/>
    <n v="64"/>
    <x v="3"/>
    <x v="0"/>
    <s v="AB-"/>
    <x v="1"/>
    <x v="2"/>
    <x v="604"/>
    <d v="2023-02-23T00:00:00"/>
    <n v="4"/>
    <s v="Bowen University Teaching Hospital"/>
    <x v="1"/>
    <s v="Dr. Taiwo Adeleke"/>
    <x v="1"/>
    <n v="21579.81"/>
    <s v="Dapagliflozin"/>
    <n v="8"/>
    <n v="148"/>
    <n v="32.200000000000003"/>
    <s v="Abnormal"/>
    <x v="1"/>
  </r>
  <r>
    <x v="1757"/>
    <s v="Halima Bello"/>
    <n v="87"/>
    <x v="1"/>
    <x v="1"/>
    <s v="AB-"/>
    <x v="4"/>
    <x v="1"/>
    <x v="1158"/>
    <d v="2024-05-11T00:00:00"/>
    <n v="2"/>
    <s v="Federal Medical Centre Asaba"/>
    <x v="0"/>
    <s v="Dr. Aisha Bello"/>
    <x v="0"/>
    <n v="14944.51"/>
    <s v="Metronidazole"/>
    <n v="5"/>
    <n v="117"/>
    <n v="20.6"/>
    <s v="Inconclusive"/>
    <x v="0"/>
  </r>
  <r>
    <x v="1758"/>
    <s v="Adaeze Adebayo"/>
    <n v="64"/>
    <x v="3"/>
    <x v="1"/>
    <s v="O-"/>
    <x v="5"/>
    <x v="0"/>
    <x v="748"/>
    <d v="2022-10-18T00:00:00"/>
    <n v="11"/>
    <s v="Aminu Kano Teaching Hospital"/>
    <x v="2"/>
    <s v="Dr. Emeka Okorie"/>
    <x v="0"/>
    <n v="99452.26"/>
    <s v="Metoprolol"/>
    <n v="10"/>
    <n v="312"/>
    <n v="35.200000000000003"/>
    <s v="Abnormal"/>
    <x v="0"/>
  </r>
  <r>
    <x v="1759"/>
    <s v="Deborah Sule"/>
    <n v="57"/>
    <x v="3"/>
    <x v="1"/>
    <s v="A-"/>
    <x v="5"/>
    <x v="0"/>
    <x v="1159"/>
    <d v="2022-04-16T00:00:00"/>
    <n v="25"/>
    <s v="University College Hospital Ibadan"/>
    <x v="1"/>
    <s v="Dr. Emeka Okorie"/>
    <x v="0"/>
    <n v="141695.07"/>
    <s v="Amiodarone"/>
    <n v="8"/>
    <n v="388"/>
    <n v="31.6"/>
    <s v="Abnormal"/>
    <x v="0"/>
  </r>
  <r>
    <x v="1760"/>
    <s v="Perpetua Okafor"/>
    <n v="29"/>
    <x v="2"/>
    <x v="1"/>
    <s v="AB+"/>
    <x v="0"/>
    <x v="2"/>
    <x v="1160"/>
    <d v="2024-11-15T00:00:00"/>
    <n v="10"/>
    <s v="Ahmadu Bello University Teaching Hospital"/>
    <x v="2"/>
    <s v="Dr. Babatunde Fashola"/>
    <x v="2"/>
    <n v="21808.33"/>
    <s v="Dexamethasone"/>
    <n v="11"/>
    <n v="437"/>
    <n v="16.3"/>
    <s v="Abnormal"/>
    <x v="0"/>
  </r>
  <r>
    <x v="1761"/>
    <s v="Musa Okafor"/>
    <n v="56"/>
    <x v="3"/>
    <x v="0"/>
    <s v="B+"/>
    <x v="1"/>
    <x v="0"/>
    <x v="1161"/>
    <d v="2024-12-31T00:00:00"/>
    <n v="16"/>
    <s v="Bowen University Teaching Hospital"/>
    <x v="1"/>
    <s v="Dr. Taiwo Adeleke"/>
    <x v="0"/>
    <n v="16638.41"/>
    <s v="Metformin"/>
    <n v="6"/>
    <n v="151"/>
    <n v="28.8"/>
    <s v="Abnormal"/>
    <x v="0"/>
  </r>
  <r>
    <x v="1762"/>
    <s v="Uche Adebayo"/>
    <n v="59"/>
    <x v="3"/>
    <x v="0"/>
    <s v="A-"/>
    <x v="5"/>
    <x v="1"/>
    <x v="845"/>
    <d v="2024-10-19T00:00:00"/>
    <n v="12"/>
    <s v="Ahmadu Bello University Teaching Hospital"/>
    <x v="2"/>
    <s v="Dr. Emeka Okorie"/>
    <x v="0"/>
    <n v="27826.79"/>
    <s v="Furosemide"/>
    <n v="10"/>
    <n v="129"/>
    <n v="41.2"/>
    <s v="Normal"/>
    <x v="0"/>
  </r>
  <r>
    <x v="1763"/>
    <s v="Chukwudi Hassan"/>
    <n v="91"/>
    <x v="1"/>
    <x v="0"/>
    <s v="AB+"/>
    <x v="6"/>
    <x v="2"/>
    <x v="1162"/>
    <d v="2022-12-21T00:00:00"/>
    <n v="4"/>
    <s v="Bowen University Teaching Hospital"/>
    <x v="1"/>
    <s v="Dr. Yusuf Danjuma"/>
    <x v="1"/>
    <n v="24959.82"/>
    <s v="Tiotropium"/>
    <n v="7"/>
    <n v="188"/>
    <n v="35.5"/>
    <s v="Abnormal"/>
    <x v="1"/>
  </r>
  <r>
    <x v="1764"/>
    <s v="Emeka Johnson"/>
    <n v="70"/>
    <x v="4"/>
    <x v="0"/>
    <s v="O-"/>
    <x v="2"/>
    <x v="0"/>
    <x v="1163"/>
    <m/>
    <m/>
    <s v="Bowen University Teaching Hospital"/>
    <x v="1"/>
    <s v="Dr. Zainab Sule"/>
    <x v="0"/>
    <n v="52846.37"/>
    <s v="Levetiracetam"/>
    <n v="9"/>
    <n v="388"/>
    <n v="25.7"/>
    <s v="Normal"/>
    <x v="0"/>
  </r>
  <r>
    <x v="1765"/>
    <s v="David Salami"/>
    <n v="72"/>
    <x v="4"/>
    <x v="0"/>
    <s v="O+"/>
    <x v="5"/>
    <x v="2"/>
    <x v="13"/>
    <d v="2023-12-25T00:00:00"/>
    <n v="10"/>
    <s v="National Hospital Abuja"/>
    <x v="4"/>
    <s v="Dr. Fatima Al-Hassan"/>
    <x v="0"/>
    <n v="33775.96"/>
    <s v="Amiodarone"/>
    <n v="8"/>
    <n v="160"/>
    <m/>
    <s v="Inconclusive"/>
    <x v="0"/>
  </r>
  <r>
    <x v="1766"/>
    <s v="John Adebayo"/>
    <n v="86"/>
    <x v="1"/>
    <x v="0"/>
    <s v="AB+"/>
    <x v="3"/>
    <x v="2"/>
    <x v="580"/>
    <d v="2022-03-31T00:00:00"/>
    <n v="4"/>
    <s v="Federal Medical Centre Owerri"/>
    <x v="3"/>
    <s v="Dr. Kemi Adeyemi"/>
    <x v="2"/>
    <n v="26710"/>
    <s v="Morphine"/>
    <n v="6"/>
    <n v="386"/>
    <n v="15.3"/>
    <s v="Normal"/>
    <x v="0"/>
  </r>
  <r>
    <x v="1767"/>
    <s v="Emeka Martin"/>
    <n v="89"/>
    <x v="1"/>
    <x v="0"/>
    <s v="AB-"/>
    <x v="4"/>
    <x v="0"/>
    <x v="614"/>
    <d v="2021-09-04T00:00:00"/>
    <n v="7"/>
    <s v="Federal Medical Centre Birnin Kebbi"/>
    <x v="2"/>
    <s v="Dr. Nnamdi Okafor"/>
    <x v="0"/>
    <n v="23224.74"/>
    <s v="Ciprofloxacin"/>
    <n v="4"/>
    <n v="154"/>
    <n v="19.100000000000001"/>
    <s v="Normal"/>
    <x v="0"/>
  </r>
  <r>
    <x v="1768"/>
    <s v="Kemi Usman"/>
    <n v="43"/>
    <x v="5"/>
    <x v="1"/>
    <s v="B+"/>
    <x v="0"/>
    <x v="1"/>
    <x v="1164"/>
    <d v="2021-02-19T00:00:00"/>
    <n v="6"/>
    <s v="Aminu Kano Teaching Hospital"/>
    <x v="2"/>
    <s v="Dr. Grace Oduya"/>
    <x v="2"/>
    <n v="72159.960000000006"/>
    <s v="Trastuzumab"/>
    <n v="10"/>
    <n v="191"/>
    <n v="14"/>
    <s v="Inconclusive"/>
    <x v="0"/>
  </r>
  <r>
    <x v="1769"/>
    <s v="Ifeoma Usman"/>
    <n v="73"/>
    <x v="4"/>
    <x v="1"/>
    <s v="AB+"/>
    <x v="4"/>
    <x v="3"/>
    <x v="560"/>
    <d v="2023-11-11T00:00:00"/>
    <n v="4"/>
    <s v="University College Hospital Ibadan"/>
    <x v="1"/>
    <s v="Dr. Segun Banke"/>
    <x v="4"/>
    <n v="13527.88"/>
    <s v="Metronidazole"/>
    <n v="1"/>
    <n v="131"/>
    <n v="25.2"/>
    <s v="Normal"/>
    <x v="0"/>
  </r>
  <r>
    <x v="1770"/>
    <s v="John Lawal"/>
    <n v="57"/>
    <x v="3"/>
    <x v="0"/>
    <s v="B+"/>
    <x v="5"/>
    <x v="0"/>
    <x v="8"/>
    <d v="2020-11-12T00:00:00"/>
    <n v="26"/>
    <s v="Lagos University Teaching Hospital"/>
    <x v="1"/>
    <s v="Dr. Fatima Al-Hassan"/>
    <x v="0"/>
    <n v="62308.45"/>
    <s v="Metoprolol"/>
    <n v="8"/>
    <n v="362"/>
    <n v="30.5"/>
    <s v="Abnormal"/>
    <x v="0"/>
  </r>
  <r>
    <x v="1771"/>
    <s v="Rukayat Anderson"/>
    <n v="85"/>
    <x v="1"/>
    <x v="1"/>
    <s v="O-"/>
    <x v="1"/>
    <x v="3"/>
    <x v="1165"/>
    <d v="2020-06-07T00:00:00"/>
    <n v="6"/>
    <s v="Federal Medical Centre Owerri"/>
    <x v="3"/>
    <s v="Dr. Chioma Nwankwo"/>
    <x v="0"/>
    <n v="16236.02"/>
    <s v="Linagliptin"/>
    <n v="8"/>
    <n v="210"/>
    <n v="32.4"/>
    <s v="Inconclusive"/>
    <x v="0"/>
  </r>
  <r>
    <x v="1772"/>
    <s v="Samuel Fashola"/>
    <n v="26"/>
    <x v="2"/>
    <x v="0"/>
    <s v="O-"/>
    <x v="3"/>
    <x v="2"/>
    <x v="1166"/>
    <d v="2022-09-21T00:00:00"/>
    <n v="6"/>
    <s v="University of Calabar Teaching Hospital"/>
    <x v="0"/>
    <s v="Dr. Precious Obi"/>
    <x v="2"/>
    <n v="43224.63"/>
    <s v="Ondansetron"/>
    <n v="6"/>
    <n v="448"/>
    <n v="14"/>
    <s v="Normal"/>
    <x v="0"/>
  </r>
  <r>
    <x v="1773"/>
    <s v="James Sule"/>
    <n v="80"/>
    <x v="1"/>
    <x v="0"/>
    <s v="A+"/>
    <x v="6"/>
    <x v="2"/>
    <x v="1167"/>
    <d v="2024-12-30T00:00:00"/>
    <n v="7"/>
    <s v="Bowen University Teaching Hospital"/>
    <x v="1"/>
    <s v="Dr. Halima Usman"/>
    <x v="0"/>
    <n v="35048.76"/>
    <s v="Tiotropium"/>
    <n v="7"/>
    <n v="442"/>
    <n v="29.2"/>
    <s v="Abnormal"/>
    <x v="1"/>
  </r>
  <r>
    <x v="1774"/>
    <s v="Amaka Fashola"/>
    <n v="78"/>
    <x v="1"/>
    <x v="1"/>
    <s v="B+"/>
    <x v="6"/>
    <x v="0"/>
    <x v="720"/>
    <d v="2023-12-07T00:00:00"/>
    <n v="16"/>
    <s v="Lagos University Teaching Hospital"/>
    <x v="1"/>
    <s v="Dr. Yusuf Danjuma"/>
    <x v="4"/>
    <n v="34464.65"/>
    <s v="Prednisolone"/>
    <n v="7"/>
    <n v="323"/>
    <m/>
    <s v="Abnormal"/>
    <x v="1"/>
  </r>
  <r>
    <x v="1775"/>
    <s v="Mariam Okonkwo"/>
    <n v="61"/>
    <x v="3"/>
    <x v="1"/>
    <s v="O+"/>
    <x v="5"/>
    <x v="1"/>
    <x v="1168"/>
    <d v="2022-02-21T00:00:00"/>
    <n v="13"/>
    <s v="Federal Medical Centre Birnin Kebbi"/>
    <x v="2"/>
    <s v="Dr. Adewale Ogundimu"/>
    <x v="2"/>
    <n v="28514.16"/>
    <s v="Digoxin"/>
    <n v="8"/>
    <n v="136"/>
    <n v="29.6"/>
    <s v="Abnormal"/>
    <x v="0"/>
  </r>
  <r>
    <x v="1776"/>
    <s v="Chidi Wilson"/>
    <n v="62"/>
    <x v="3"/>
    <x v="0"/>
    <s v="AB+"/>
    <x v="5"/>
    <x v="0"/>
    <x v="1169"/>
    <m/>
    <m/>
    <s v="University College Hospital Ibadan"/>
    <x v="1"/>
    <s v="Dr. Emeka Okorie"/>
    <x v="3"/>
    <n v="59235.78"/>
    <s v="Spironolactone"/>
    <n v="8"/>
    <n v="338"/>
    <n v="33.4"/>
    <s v="Abnormal"/>
    <x v="0"/>
  </r>
  <r>
    <x v="1777"/>
    <s v="Amaka Osagie"/>
    <n v="49"/>
    <x v="5"/>
    <x v="1"/>
    <s v="A+"/>
    <x v="5"/>
    <x v="1"/>
    <x v="1170"/>
    <d v="2020-11-25T00:00:00"/>
    <n v="4"/>
    <s v="Federal Medical Centre Owerri"/>
    <x v="3"/>
    <s v="Dr. Adewale Ogundimu"/>
    <x v="0"/>
    <n v="39612.14"/>
    <s v="Lisinopril"/>
    <n v="8"/>
    <n v="163"/>
    <n v="36"/>
    <s v="Normal"/>
    <x v="1"/>
  </r>
  <r>
    <x v="1778"/>
    <s v="Esther Igwe"/>
    <n v="70"/>
    <x v="4"/>
    <x v="1"/>
    <s v="AB+"/>
    <x v="0"/>
    <x v="1"/>
    <x v="1171"/>
    <d v="2023-12-23T00:00:00"/>
    <n v="10"/>
    <s v="Federal Medical Centre Asaba"/>
    <x v="0"/>
    <s v="Dr. Amara Osei"/>
    <x v="1"/>
    <n v="195162.46"/>
    <s v="Carboplatin"/>
    <n v="11"/>
    <n v="186"/>
    <n v="23.9"/>
    <s v="Abnormal"/>
    <x v="0"/>
  </r>
  <r>
    <x v="1779"/>
    <s v="Uche Johnson"/>
    <n v="56"/>
    <x v="3"/>
    <x v="0"/>
    <s v="AB+"/>
    <x v="5"/>
    <x v="0"/>
    <x v="1172"/>
    <d v="2021-04-03T00:00:00"/>
    <n v="7"/>
    <s v="Bowen University Teaching Hospital"/>
    <x v="1"/>
    <s v="Dr. Fatima Al-Hassan"/>
    <x v="5"/>
    <n v="121395.11"/>
    <s v="Amiodarone"/>
    <n v="9"/>
    <n v="332"/>
    <n v="29.8"/>
    <s v="Abnormal"/>
    <x v="0"/>
  </r>
  <r>
    <x v="1780"/>
    <s v="Biodun Abubakar"/>
    <n v="85"/>
    <x v="1"/>
    <x v="0"/>
    <s v="AB-"/>
    <x v="5"/>
    <x v="2"/>
    <x v="322"/>
    <d v="2025-02-01T00:00:00"/>
    <n v="13"/>
    <s v="Bowen University Teaching Hospital"/>
    <x v="1"/>
    <s v="Dr. Emeka Okorie"/>
    <x v="0"/>
    <n v="66576.42"/>
    <s v="Warfarin"/>
    <n v="7"/>
    <n v="479"/>
    <n v="32.4"/>
    <s v="Inconclusive"/>
    <x v="1"/>
  </r>
  <r>
    <x v="1781"/>
    <s v="Femi Abubakar"/>
    <n v="66"/>
    <x v="4"/>
    <x v="0"/>
    <s v="O-"/>
    <x v="5"/>
    <x v="0"/>
    <x v="1173"/>
    <d v="2019-01-09T00:00:00"/>
    <n v="7"/>
    <s v="Ahmadu Bello University Teaching Hospital"/>
    <x v="2"/>
    <s v="Dr. Adewale Ogundimu"/>
    <x v="4"/>
    <n v="48901.279999999999"/>
    <s v="Furosemide"/>
    <n v="7"/>
    <n v="343"/>
    <n v="37.5"/>
    <s v="Inconclusive"/>
    <x v="0"/>
  </r>
  <r>
    <x v="1782"/>
    <s v="Sarah Williams"/>
    <n v="27"/>
    <x v="2"/>
    <x v="1"/>
    <s v="A-"/>
    <x v="5"/>
    <x v="0"/>
    <x v="1174"/>
    <d v="2021-10-19T00:00:00"/>
    <n v="12"/>
    <s v="University College Hospital Ibadan"/>
    <x v="1"/>
    <s v="Dr. Adewale Ogundimu"/>
    <x v="4"/>
    <n v="27761.05"/>
    <s v="Digoxin"/>
    <n v="10"/>
    <n v="332"/>
    <n v="33.200000000000003"/>
    <s v="Abnormal"/>
    <x v="0"/>
  </r>
  <r>
    <x v="1783"/>
    <s v="Mariam Usman"/>
    <n v="68"/>
    <x v="4"/>
    <x v="1"/>
    <s v="A-"/>
    <x v="5"/>
    <x v="0"/>
    <x v="470"/>
    <d v="2019-01-19T00:00:00"/>
    <n v="9"/>
    <s v="Ahmadu Bello University Teaching Hospital"/>
    <x v="2"/>
    <s v="Dr. Fatima Al-Hassan"/>
    <x v="1"/>
    <n v="73550.490000000005"/>
    <s v="Warfarin"/>
    <n v="9"/>
    <n v="330"/>
    <n v="31.2"/>
    <s v="Abnormal"/>
    <x v="1"/>
  </r>
  <r>
    <x v="1784"/>
    <s v="Peter Adeyemi"/>
    <n v="49"/>
    <x v="5"/>
    <x v="0"/>
    <s v=""/>
    <x v="4"/>
    <x v="1"/>
    <x v="1175"/>
    <d v="2022-10-11T00:00:00"/>
    <n v="3"/>
    <s v="Aminu Kano Teaching Hospital"/>
    <x v="2"/>
    <s v="Dr. Segun Banke"/>
    <x v="1"/>
    <n v="14278.17"/>
    <s v="Ciprofloxacin"/>
    <n v="3"/>
    <n v="107"/>
    <n v="30.4"/>
    <s v="Normal"/>
    <x v="0"/>
  </r>
  <r>
    <x v="1785"/>
    <s v="Funke Ogbonna"/>
    <n v="61"/>
    <x v="3"/>
    <x v="1"/>
    <s v="AB-"/>
    <x v="7"/>
    <x v="0"/>
    <x v="15"/>
    <d v="2023-07-25T00:00:00"/>
    <n v="10"/>
    <s v="Aminu Kano Teaching Hospital"/>
    <x v="2"/>
    <s v="Dr. Sarah Adeyemi"/>
    <x v="0"/>
    <n v="27668.98"/>
    <s v="Ibuprofen"/>
    <n v="4"/>
    <n v="197"/>
    <n v="27.8"/>
    <s v="Abnormal"/>
    <x v="0"/>
  </r>
  <r>
    <x v="1786"/>
    <s v="Nneka Oni"/>
    <n v="91"/>
    <x v="1"/>
    <x v="1"/>
    <s v="AB+"/>
    <x v="4"/>
    <x v="1"/>
    <x v="660"/>
    <m/>
    <m/>
    <s v="National Hospital Abuja"/>
    <x v="4"/>
    <s v="Dr. Nnamdi Okafor"/>
    <x v="1"/>
    <n v="15784"/>
    <s v="Mesalazine"/>
    <n v="5"/>
    <n v="141"/>
    <n v="20"/>
    <s v="Normal"/>
    <x v="0"/>
  </r>
  <r>
    <x v="1787"/>
    <s v="Kunle Taylor"/>
    <n v="53"/>
    <x v="5"/>
    <x v="0"/>
    <s v="B-"/>
    <x v="1"/>
    <x v="0"/>
    <x v="384"/>
    <d v="2023-09-29T00:00:00"/>
    <n v="3"/>
    <s v="Federal Medical Centre Birnin Kebbi"/>
    <x v="2"/>
    <s v="Dr. Chioma Nwankwo"/>
    <x v="4"/>
    <n v="28032.84"/>
    <s v="Linagliptin"/>
    <n v="7"/>
    <n v="425"/>
    <n v="35.5"/>
    <s v="Abnormal"/>
    <x v="0"/>
  </r>
  <r>
    <x v="1788"/>
    <s v="Rukayat Ajala"/>
    <n v="57"/>
    <x v="3"/>
    <x v="1"/>
    <s v="AB+"/>
    <x v="2"/>
    <x v="0"/>
    <x v="1176"/>
    <d v="2022-04-05T00:00:00"/>
    <n v="25"/>
    <s v="University College Hospital Ibadan"/>
    <x v="1"/>
    <s v="Dr. Zainab Sule"/>
    <x v="1"/>
    <n v="105846.29"/>
    <s v="Phenytoin"/>
    <n v="9"/>
    <n v="320"/>
    <n v="33"/>
    <s v="Normal"/>
    <x v="0"/>
  </r>
  <r>
    <x v="1789"/>
    <s v="Elizabeth Martin"/>
    <n v="56"/>
    <x v="3"/>
    <x v="1"/>
    <s v="A+"/>
    <x v="6"/>
    <x v="1"/>
    <x v="1177"/>
    <d v="2024-04-20T00:00:00"/>
    <n v="4"/>
    <s v="University College Hospital Ibadan"/>
    <x v="1"/>
    <s v="Dr. Halima Usman"/>
    <x v="3"/>
    <n v="12561.63"/>
    <s v="Tiotropium"/>
    <n v="7"/>
    <n v="178"/>
    <n v="37.6"/>
    <s v="Inconclusive"/>
    <x v="0"/>
  </r>
  <r>
    <x v="1790"/>
    <s v="Emeka Wilson"/>
    <n v="70"/>
    <x v="4"/>
    <x v="0"/>
    <s v="O+"/>
    <x v="4"/>
    <x v="1"/>
    <x v="1178"/>
    <d v="2022-06-19T00:00:00"/>
    <n v="3"/>
    <s v="Aminu Kano Teaching Hospital"/>
    <x v="2"/>
    <s v="Dr. Nnamdi Okafor"/>
    <x v="2"/>
    <n v="15312"/>
    <s v="Metronidazole"/>
    <n v="5"/>
    <n v="114"/>
    <n v="30.6"/>
    <s v="Abnormal"/>
    <x v="0"/>
  </r>
  <r>
    <x v="1791"/>
    <s v="Ifeanyi Davis"/>
    <n v="86"/>
    <x v="1"/>
    <x v="0"/>
    <s v="AB-"/>
    <x v="5"/>
    <x v="0"/>
    <x v="560"/>
    <d v="2023-11-17T00:00:00"/>
    <n v="10"/>
    <s v="Aminu Kano Teaching Hospital"/>
    <x v="2"/>
    <s v="Dr. Emeka Okorie"/>
    <x v="3"/>
    <n v="111339.52"/>
    <s v="Aspirin"/>
    <n v="9"/>
    <n v="321"/>
    <n v="30.8"/>
    <s v="Abnormal"/>
    <x v="0"/>
  </r>
  <r>
    <x v="1792"/>
    <s v="Tolulope Igwe"/>
    <n v="64"/>
    <x v="3"/>
    <x v="1"/>
    <s v=""/>
    <x v="5"/>
    <x v="0"/>
    <x v="1179"/>
    <d v="2022-08-18T00:00:00"/>
    <n v="9"/>
    <s v="Bowen University Teaching Hospital"/>
    <x v="1"/>
    <s v="Dr. Emeka Okorie"/>
    <x v="3"/>
    <n v="56959.39"/>
    <s v="Spironolactone"/>
    <n v="10"/>
    <n v="318"/>
    <n v="25.4"/>
    <s v="Abnormal"/>
    <x v="1"/>
  </r>
  <r>
    <x v="1793"/>
    <s v="Perpetua Onuoha"/>
    <n v="86"/>
    <x v="1"/>
    <x v="1"/>
    <s v="O+"/>
    <x v="5"/>
    <x v="1"/>
    <x v="413"/>
    <d v="2020-11-22T00:00:00"/>
    <n v="19"/>
    <s v="Ahmadu Bello University Teaching Hospital"/>
    <x v="2"/>
    <s v="Dr. Fatima Al-Hassan"/>
    <x v="0"/>
    <n v="65588.83"/>
    <s v="Digoxin"/>
    <n v="8"/>
    <n v="190"/>
    <n v="35"/>
    <s v="Abnormal"/>
    <x v="0"/>
  </r>
  <r>
    <x v="1794"/>
    <s v="Chiamaka Adeyemi"/>
    <n v="70"/>
    <x v="4"/>
    <x v="1"/>
    <s v="B+"/>
    <x v="2"/>
    <x v="0"/>
    <x v="1180"/>
    <d v="2022-09-01T00:00:00"/>
    <n v="5"/>
    <s v="National Hospital Abuja"/>
    <x v="4"/>
    <s v="Dr. Zainab Sule"/>
    <x v="1"/>
    <n v="58215.3"/>
    <s v="Levetiracetam"/>
    <n v="8"/>
    <n v="303"/>
    <n v="30.8"/>
    <s v="Abnormal"/>
    <x v="1"/>
  </r>
  <r>
    <x v="1795"/>
    <s v="Miriam Okafor"/>
    <n v="53"/>
    <x v="5"/>
    <x v="1"/>
    <s v="B+"/>
    <x v="0"/>
    <x v="3"/>
    <x v="1181"/>
    <d v="2021-12-05T00:00:00"/>
    <n v="13"/>
    <s v="Lagos University Teaching Hospital"/>
    <x v="1"/>
    <s v="Dr. Grace Oduya"/>
    <x v="1"/>
    <n v="45267"/>
    <s v="Methotrexate"/>
    <n v="12"/>
    <n v="447"/>
    <n v="19.5"/>
    <s v="Abnormal"/>
    <x v="0"/>
  </r>
  <r>
    <x v="1796"/>
    <s v="Bukola Smith"/>
    <n v="35"/>
    <x v="5"/>
    <x v="1"/>
    <s v="B-"/>
    <x v="5"/>
    <x v="1"/>
    <x v="311"/>
    <d v="2020-05-29T00:00:00"/>
    <n v="9"/>
    <s v="National Hospital Abuja"/>
    <x v="4"/>
    <s v="Dr. Emeka Okorie"/>
    <x v="0"/>
    <n v="18645.259999999998"/>
    <s v="Amlodipine"/>
    <n v="7"/>
    <n v="159"/>
    <m/>
    <s v="Abnormal"/>
    <x v="1"/>
  </r>
  <r>
    <x v="1797"/>
    <s v="Kemi Thompson"/>
    <n v="3"/>
    <x v="0"/>
    <x v="1"/>
    <s v="B-"/>
    <x v="6"/>
    <x v="0"/>
    <x v="1182"/>
    <d v="2022-02-06T00:00:00"/>
    <n v="4"/>
    <s v="Lagos University Teaching Hospital"/>
    <x v="1"/>
    <s v="Dr. Halima Usman"/>
    <x v="4"/>
    <n v="14746.05"/>
    <s v="Ipratropium"/>
    <n v="5"/>
    <n v="355"/>
    <n v="27.4"/>
    <s v="Normal"/>
    <x v="0"/>
  </r>
  <r>
    <x v="1798"/>
    <s v="Nnamdi Nwosu"/>
    <n v="66"/>
    <x v="4"/>
    <x v="0"/>
    <s v="AB+"/>
    <x v="5"/>
    <x v="0"/>
    <x v="1183"/>
    <d v="2020-07-13T00:00:00"/>
    <n v="14"/>
    <s v="University of Calabar Teaching Hospital"/>
    <x v="0"/>
    <s v="Dr. Emeka Okorie"/>
    <x v="2"/>
    <n v="74634.679999999993"/>
    <s v="Spironolactone"/>
    <n v="10"/>
    <n v="335"/>
    <n v="29.2"/>
    <s v="Abnormal"/>
    <x v="0"/>
  </r>
  <r>
    <x v="1799"/>
    <s v="Mary Salami"/>
    <n v="72"/>
    <x v="4"/>
    <x v="1"/>
    <s v="A+"/>
    <x v="4"/>
    <x v="2"/>
    <x v="850"/>
    <d v="2021-11-20T00:00:00"/>
    <n v="3"/>
    <s v="University College Hospital Ibadan"/>
    <x v="1"/>
    <s v="Dr. Aisha Bello"/>
    <x v="3"/>
    <n v="24809.98"/>
    <s v="Omeprazole"/>
    <n v="4"/>
    <n v="158"/>
    <n v="25"/>
    <s v="Normal"/>
    <x v="0"/>
  </r>
  <r>
    <x v="1800"/>
    <s v="Nneka Williams"/>
    <n v="76"/>
    <x v="1"/>
    <x v="1"/>
    <s v="AB+"/>
    <x v="2"/>
    <x v="0"/>
    <x v="541"/>
    <d v="2019-10-13T00:00:00"/>
    <n v="10"/>
    <s v="National Hospital Abuja"/>
    <x v="4"/>
    <s v="Dr. Olumide Abiodun"/>
    <x v="3"/>
    <n v="73312"/>
    <s v="Levetiracetam"/>
    <n v="9"/>
    <n v="399"/>
    <n v="23.2"/>
    <s v="Abnormal"/>
    <x v="1"/>
  </r>
  <r>
    <x v="1801"/>
    <s v="Miriam Ibrahim"/>
    <n v="20"/>
    <x v="2"/>
    <x v="1"/>
    <s v="O-"/>
    <x v="1"/>
    <x v="2"/>
    <x v="1184"/>
    <d v="2020-06-27T00:00:00"/>
    <n v="3"/>
    <s v="National Hospital Abuja"/>
    <x v="4"/>
    <s v="Dr. Taiwo Adeleke"/>
    <x v="0"/>
    <n v="8166.4"/>
    <s v="Metformin"/>
    <n v="8"/>
    <n v="481"/>
    <n v="43.7"/>
    <s v="Inconclusive"/>
    <x v="1"/>
  </r>
  <r>
    <x v="1802"/>
    <s v="David Brown"/>
    <n v="51"/>
    <x v="5"/>
    <x v="0"/>
    <s v="O-"/>
    <x v="1"/>
    <x v="1"/>
    <x v="1185"/>
    <d v="2022-12-29T00:00:00"/>
    <n v="4"/>
    <s v="Ahmadu Bello University Teaching Hospital"/>
    <x v="2"/>
    <s v="Dr. Ibrahim Musa"/>
    <x v="0"/>
    <n v="7558.51"/>
    <s v="Insulin Glargine"/>
    <n v="5"/>
    <n v="101"/>
    <n v="30.5"/>
    <s v="Normal"/>
    <x v="0"/>
  </r>
  <r>
    <x v="1803"/>
    <s v="Bukola Aliyu"/>
    <n v="70"/>
    <x v="4"/>
    <x v="1"/>
    <s v="B+"/>
    <x v="2"/>
    <x v="0"/>
    <x v="707"/>
    <d v="2019-10-20T00:00:00"/>
    <n v="14"/>
    <s v="University of Calabar Teaching Hospital"/>
    <x v="0"/>
    <s v="Dr. Rotimi Fashola"/>
    <x v="0"/>
    <n v="60637.96"/>
    <s v="Valproate"/>
    <n v="7"/>
    <n v="396"/>
    <n v="18.5"/>
    <s v="Abnormal"/>
    <x v="1"/>
  </r>
  <r>
    <x v="1804"/>
    <s v="Stella Oni"/>
    <n v="64"/>
    <x v="3"/>
    <x v="1"/>
    <s v="O-"/>
    <x v="7"/>
    <x v="1"/>
    <x v="1186"/>
    <d v="2023-12-03T00:00:00"/>
    <n v="3"/>
    <s v="Aminu Kano Teaching Hospital"/>
    <x v="2"/>
    <s v="Dr. Chukwuemeka Nwosu"/>
    <x v="5"/>
    <n v="26193.93"/>
    <s v="Celecoxib"/>
    <n v="3"/>
    <n v="116"/>
    <n v="36.200000000000003"/>
    <s v="Normal"/>
    <x v="0"/>
  </r>
  <r>
    <x v="1805"/>
    <s v="Bashir Anderson"/>
    <n v="48"/>
    <x v="5"/>
    <x v="0"/>
    <s v="O+"/>
    <x v="3"/>
    <x v="1"/>
    <x v="785"/>
    <d v="2021-12-23T00:00:00"/>
    <n v="2"/>
    <s v="University of Calabar Teaching Hospital"/>
    <x v="0"/>
    <s v="Dr. Precious Obi"/>
    <x v="1"/>
    <n v="33349.18"/>
    <s v="Morphine"/>
    <n v="6"/>
    <n v="173"/>
    <n v="22.3"/>
    <s v="Inconclusive"/>
    <x v="0"/>
  </r>
  <r>
    <x v="1806"/>
    <s v="Yusuf Taylor"/>
    <n v="39"/>
    <x v="5"/>
    <x v="0"/>
    <s v="AB+"/>
    <x v="2"/>
    <x v="0"/>
    <x v="726"/>
    <d v="2020-02-06T00:00:00"/>
    <n v="13"/>
    <s v="Ahmadu Bello University Teaching Hospital"/>
    <x v="2"/>
    <s v="Dr. Olumide Abiodun"/>
    <x v="0"/>
    <n v="38855.160000000003"/>
    <s v="Levetiracetam"/>
    <n v="9"/>
    <n v="351"/>
    <n v="25.9"/>
    <s v="Abnormal"/>
    <x v="0"/>
  </r>
  <r>
    <x v="1807"/>
    <s v="Deborah Eze"/>
    <n v="69"/>
    <x v="4"/>
    <x v="1"/>
    <s v="AB-"/>
    <x v="7"/>
    <x v="0"/>
    <x v="243"/>
    <d v="2023-12-18T00:00:00"/>
    <n v="7"/>
    <s v="Ahmadu Bello University Teaching Hospital"/>
    <x v="2"/>
    <s v="Dr. Musa Aliyu"/>
    <x v="0"/>
    <n v="65929.100000000006"/>
    <s v="Vitamin D"/>
    <n v="4"/>
    <n v="485"/>
    <n v="30"/>
    <s v="Normal"/>
    <x v="1"/>
  </r>
  <r>
    <x v="1808"/>
    <s v="Elizabeth Danjuma"/>
    <n v="34"/>
    <x v="2"/>
    <x v="1"/>
    <s v="B+"/>
    <x v="0"/>
    <x v="3"/>
    <x v="98"/>
    <d v="2024-11-01T00:00:00"/>
    <n v="15"/>
    <s v="Lagos University Teaching Hospital"/>
    <x v="1"/>
    <s v="Dr. Grace Oduya"/>
    <x v="4"/>
    <n v="16608.18"/>
    <s v="Tamoxifen"/>
    <n v="12"/>
    <n v="265"/>
    <n v="25.2"/>
    <s v="Normal"/>
    <x v="0"/>
  </r>
  <r>
    <x v="1809"/>
    <s v="Taiwo Lawal"/>
    <n v="61"/>
    <x v="3"/>
    <x v="1"/>
    <s v="AB-"/>
    <x v="7"/>
    <x v="1"/>
    <x v="1187"/>
    <d v="2023-07-23T00:00:00"/>
    <n v="2"/>
    <s v="National Hospital Abuja"/>
    <x v="4"/>
    <s v="Dr. Chukwuemeka Nwosu"/>
    <x v="1"/>
    <n v="28707.15"/>
    <s v="Ibuprofen"/>
    <n v="5"/>
    <n v="110"/>
    <n v="24.7"/>
    <s v="Inconclusive"/>
    <x v="0"/>
  </r>
  <r>
    <x v="1810"/>
    <s v="Musa Akintola"/>
    <n v="71"/>
    <x v="4"/>
    <x v="0"/>
    <s v="AB+"/>
    <x v="5"/>
    <x v="0"/>
    <x v="340"/>
    <d v="2020-08-23T00:00:00"/>
    <n v="12"/>
    <s v="Lagos University Teaching Hospital"/>
    <x v="1"/>
    <s v="Dr. Emeka Okorie"/>
    <x v="0"/>
    <n v="98844"/>
    <s v="Amlodipine"/>
    <n v="10"/>
    <n v="308"/>
    <n v="20.6"/>
    <s v="Normal"/>
    <x v="1"/>
  </r>
  <r>
    <x v="1811"/>
    <s v="Mariam Nwosu"/>
    <n v="73"/>
    <x v="4"/>
    <x v="1"/>
    <s v="O-"/>
    <x v="7"/>
    <x v="1"/>
    <x v="1091"/>
    <d v="2022-08-23T00:00:00"/>
    <n v="2"/>
    <s v="Ahmadu Bello University Teaching Hospital"/>
    <x v="2"/>
    <s v="Dr. Sarah Adeyemi"/>
    <x v="1"/>
    <n v="24346.38"/>
    <s v="Calcium"/>
    <n v="3"/>
    <n v="125"/>
    <n v="24.4"/>
    <s v="Normal"/>
    <x v="1"/>
  </r>
  <r>
    <x v="1812"/>
    <s v="Lydia Smith"/>
    <n v="71"/>
    <x v="4"/>
    <x v="1"/>
    <s v="AB-"/>
    <x v="6"/>
    <x v="1"/>
    <x v="1188"/>
    <d v="2024-11-01T00:00:00"/>
    <n v="6"/>
    <s v="University College Hospital Ibadan"/>
    <x v="1"/>
    <s v="Dr. Yusuf Danjuma"/>
    <x v="0"/>
    <n v="11099.49"/>
    <s v="Theophylline"/>
    <n v="5"/>
    <n v="159"/>
    <n v="21.1"/>
    <s v="Abnormal"/>
    <x v="0"/>
  </r>
  <r>
    <x v="1813"/>
    <s v="Ngozi Williams"/>
    <n v="69"/>
    <x v="4"/>
    <x v="1"/>
    <s v="AB+"/>
    <x v="7"/>
    <x v="3"/>
    <x v="134"/>
    <m/>
    <m/>
    <s v="Federal Medical Centre Owerri"/>
    <x v="3"/>
    <s v="Dr. Chukwuemeka Nwosu"/>
    <x v="4"/>
    <n v="25982.05"/>
    <s v="Ibuprofen"/>
    <n v="6"/>
    <n v="179"/>
    <n v="34.1"/>
    <s v="Inconclusive"/>
    <x v="0"/>
  </r>
  <r>
    <x v="1814"/>
    <s v="Grace Bankole"/>
    <n v="64"/>
    <x v="3"/>
    <x v="1"/>
    <s v="B+"/>
    <x v="6"/>
    <x v="1"/>
    <x v="702"/>
    <d v="2020-02-09T00:00:00"/>
    <n v="5"/>
    <s v="National Hospital Abuja"/>
    <x v="4"/>
    <s v="Dr. Ngozi Eze-Williams"/>
    <x v="0"/>
    <n v="11480"/>
    <s v="Theophylline"/>
    <n v="3"/>
    <n v="153"/>
    <n v="34.200000000000003"/>
    <s v="Inconclusive"/>
    <x v="1"/>
  </r>
  <r>
    <x v="1815"/>
    <s v="Josephine Wilson"/>
    <n v="81"/>
    <x v="1"/>
    <x v="1"/>
    <s v="O+"/>
    <x v="5"/>
    <x v="0"/>
    <x v="1189"/>
    <d v="2021-06-19T00:00:00"/>
    <n v="16"/>
    <s v="University College Hospital Ibadan"/>
    <x v="1"/>
    <s v="Dr. Adewale Ogundimu"/>
    <x v="0"/>
    <n v="133320.81"/>
    <s v="Warfarin"/>
    <n v="7"/>
    <n v="397"/>
    <n v="23"/>
    <s v="Abnormal"/>
    <x v="0"/>
  </r>
  <r>
    <x v="1816"/>
    <s v="Rachel Lawal"/>
    <n v="91"/>
    <x v="1"/>
    <x v="1"/>
    <s v="AB+"/>
    <x v="1"/>
    <x v="1"/>
    <x v="758"/>
    <d v="2024-10-30T00:00:00"/>
    <n v="2"/>
    <s v="Ahmadu Bello University Teaching Hospital"/>
    <x v="2"/>
    <s v="Dr. Taiwo Adeleke"/>
    <x v="1"/>
    <n v="19887.099999999999"/>
    <s v="Dapagliflozin"/>
    <n v="8"/>
    <n v="120"/>
    <n v="22.2"/>
    <s v="Abnormal"/>
    <x v="0"/>
  </r>
  <r>
    <x v="1817"/>
    <s v="Abdullahi Adeyemi"/>
    <n v="87"/>
    <x v="1"/>
    <x v="0"/>
    <s v="O-"/>
    <x v="1"/>
    <x v="0"/>
    <x v="1190"/>
    <d v="2020-08-26T00:00:00"/>
    <n v="9"/>
    <s v="Federal Medical Centre Birnin Kebbi"/>
    <x v="2"/>
    <s v="Dr. Chioma Nwankwo"/>
    <x v="0"/>
    <n v="25520.25"/>
    <s v="Sitagliptin"/>
    <n v="8"/>
    <n v="381"/>
    <n v="42.3"/>
    <s v="Abnormal"/>
    <x v="0"/>
  </r>
  <r>
    <x v="1818"/>
    <s v="James Igwe"/>
    <n v="66"/>
    <x v="4"/>
    <x v="0"/>
    <s v="O-"/>
    <x v="5"/>
    <x v="2"/>
    <x v="131"/>
    <d v="2021-10-31T00:00:00"/>
    <n v="13"/>
    <s v="Federal Medical Centre Asaba"/>
    <x v="0"/>
    <s v="Dr. Fatima Al-Hassan"/>
    <x v="4"/>
    <n v="18630.32"/>
    <s v="Warfarin"/>
    <n v="10"/>
    <n v="144"/>
    <m/>
    <s v="Abnormal"/>
    <x v="0"/>
  </r>
  <r>
    <x v="1819"/>
    <s v="Kemi Ajala"/>
    <n v="59"/>
    <x v="3"/>
    <x v="1"/>
    <s v=""/>
    <x v="6"/>
    <x v="0"/>
    <x v="370"/>
    <d v="2020-10-19T00:00:00"/>
    <n v="13"/>
    <s v="Bowen University Teaching Hospital"/>
    <x v="1"/>
    <s v="Dr. Halima Usman"/>
    <x v="4"/>
    <n v="41855"/>
    <s v="Ipratropium"/>
    <n v="7"/>
    <n v="336"/>
    <n v="24.9"/>
    <s v="Abnormal"/>
    <x v="1"/>
  </r>
  <r>
    <x v="1820"/>
    <s v="James Ibrahim"/>
    <n v="84"/>
    <x v="1"/>
    <x v="0"/>
    <s v="A+"/>
    <x v="1"/>
    <x v="1"/>
    <x v="451"/>
    <d v="2023-12-07T00:00:00"/>
    <n v="4"/>
    <s v="Aminu Kano Teaching Hospital"/>
    <x v="2"/>
    <s v="Dr. Taiwo Adeleke"/>
    <x v="0"/>
    <n v="21857.22"/>
    <s v="Liraglutide"/>
    <n v="5"/>
    <n v="154"/>
    <n v="29.2"/>
    <s v="Inconclusive"/>
    <x v="0"/>
  </r>
  <r>
    <x v="1821"/>
    <s v="Femi Salami"/>
    <n v="16"/>
    <x v="0"/>
    <x v="0"/>
    <s v="A+"/>
    <x v="6"/>
    <x v="0"/>
    <x v="1191"/>
    <d v="2020-11-29T00:00:00"/>
    <n v="5"/>
    <s v="National Hospital Abuja"/>
    <x v="4"/>
    <s v="Dr. Ngozi Eze-Williams"/>
    <x v="1"/>
    <n v="25593.57"/>
    <s v="Salbutamol"/>
    <n v="5"/>
    <n v="366"/>
    <n v="35.700000000000003"/>
    <s v="Normal"/>
    <x v="0"/>
  </r>
  <r>
    <x v="1822"/>
    <s v="John Thompson"/>
    <n v="37"/>
    <x v="5"/>
    <x v="0"/>
    <s v="AB+"/>
    <x v="5"/>
    <x v="0"/>
    <x v="258"/>
    <d v="2019-05-23T00:00:00"/>
    <n v="11"/>
    <s v="Bowen University Teaching Hospital"/>
    <x v="1"/>
    <s v="Dr. Fatima Al-Hassan"/>
    <x v="4"/>
    <n v="33021.39"/>
    <s v="Atorvastatin"/>
    <n v="10"/>
    <n v="332"/>
    <n v="41.1"/>
    <s v="Abnormal"/>
    <x v="0"/>
  </r>
  <r>
    <x v="1823"/>
    <s v="Amaka Okeke"/>
    <n v="37"/>
    <x v="5"/>
    <x v="1"/>
    <s v="B-"/>
    <x v="7"/>
    <x v="1"/>
    <x v="1061"/>
    <d v="2020-08-01T00:00:00"/>
    <n v="4"/>
    <s v="Federal Medical Centre Birnin Kebbi"/>
    <x v="2"/>
    <s v="Dr. Chukwuemeka Nwosu"/>
    <x v="0"/>
    <n v="22216.58"/>
    <s v="Vitamin D"/>
    <n v="4"/>
    <n v="160"/>
    <n v="28.4"/>
    <s v="Normal"/>
    <x v="0"/>
  </r>
  <r>
    <x v="1824"/>
    <s v="Nnamdi Anderson"/>
    <n v="62"/>
    <x v="3"/>
    <x v="0"/>
    <s v="AB-"/>
    <x v="1"/>
    <x v="1"/>
    <x v="1192"/>
    <d v="2019-04-19T00:00:00"/>
    <n v="3"/>
    <s v="Federal Medical Centre Birnin Kebbi"/>
    <x v="2"/>
    <s v="Dr. Chioma Nwankwo"/>
    <x v="3"/>
    <n v="19213.009999999998"/>
    <s v="Liraglutide"/>
    <n v="8"/>
    <n v="168"/>
    <n v="31"/>
    <s v="Normal"/>
    <x v="0"/>
  </r>
  <r>
    <x v="1825"/>
    <s v="Fatima Yakubu"/>
    <n v="53"/>
    <x v="5"/>
    <x v="1"/>
    <s v="O+"/>
    <x v="5"/>
    <x v="0"/>
    <x v="1193"/>
    <d v="2021-12-18T00:00:00"/>
    <n v="16"/>
    <s v="University of Calabar Teaching Hospital"/>
    <x v="0"/>
    <s v="Dr. Emeka Okorie"/>
    <x v="4"/>
    <n v="69700.850000000006"/>
    <s v="Amiodarone"/>
    <n v="8"/>
    <n v="373"/>
    <n v="30.1"/>
    <s v="Normal"/>
    <x v="1"/>
  </r>
  <r>
    <x v="1826"/>
    <s v="Oluwaseun Thompson"/>
    <n v="58"/>
    <x v="3"/>
    <x v="0"/>
    <s v="AB-"/>
    <x v="1"/>
    <x v="1"/>
    <x v="576"/>
    <d v="2024-06-22T00:00:00"/>
    <n v="5"/>
    <s v="Aminu Kano Teaching Hospital"/>
    <x v="2"/>
    <s v="Dr. Ibrahim Musa"/>
    <x v="1"/>
    <n v="18499"/>
    <s v="Empagliflozin"/>
    <n v="7"/>
    <n v="191"/>
    <n v="42.6"/>
    <s v="Abnormal"/>
    <x v="1"/>
  </r>
  <r>
    <x v="1827"/>
    <s v="Rotimi Usman"/>
    <n v="85"/>
    <x v="1"/>
    <x v="0"/>
    <s v="B+"/>
    <x v="1"/>
    <x v="1"/>
    <x v="27"/>
    <d v="2024-11-11T00:00:00"/>
    <n v="2"/>
    <s v="Bowen University Teaching Hospital"/>
    <x v="1"/>
    <s v="Dr. Ibrahim Musa"/>
    <x v="0"/>
    <n v="35196.839999999997"/>
    <s v="Sitagliptin"/>
    <n v="7"/>
    <n v="184"/>
    <n v="28"/>
    <s v="Abnormal"/>
    <x v="1"/>
  </r>
  <r>
    <x v="1828"/>
    <s v="Peter Taylor"/>
    <n v="84"/>
    <x v="1"/>
    <x v="0"/>
    <s v="AB-"/>
    <x v="4"/>
    <x v="2"/>
    <x v="1194"/>
    <d v="2021-01-03T00:00:00"/>
    <n v="4"/>
    <s v="National Hospital Abuja"/>
    <x v="4"/>
    <s v="Dr. Nnamdi Okafor"/>
    <x v="0"/>
    <n v="33896.339999999997"/>
    <s v="Mesalazine"/>
    <n v="4"/>
    <n v="190"/>
    <n v="23.2"/>
    <s v="Abnormal"/>
    <x v="1"/>
  </r>
  <r>
    <x v="1829"/>
    <s v="Kemi Salami"/>
    <n v="64"/>
    <x v="3"/>
    <x v="1"/>
    <s v="B+"/>
    <x v="2"/>
    <x v="0"/>
    <x v="454"/>
    <d v="2019-05-30T00:00:00"/>
    <n v="4"/>
    <s v="University College Hospital Ibadan"/>
    <x v="1"/>
    <s v="Dr. Olumide Abiodun"/>
    <x v="3"/>
    <n v="107281.37"/>
    <s v="Valproate"/>
    <n v="9"/>
    <n v="371"/>
    <n v="25.2"/>
    <s v="Abnormal"/>
    <x v="0"/>
  </r>
  <r>
    <x v="1830"/>
    <s v="Adaeze Musa"/>
    <n v="67"/>
    <x v="4"/>
    <x v="1"/>
    <s v="O+"/>
    <x v="1"/>
    <x v="2"/>
    <x v="1195"/>
    <d v="2022-08-01T00:00:00"/>
    <n v="8"/>
    <s v="University of Calabar Teaching Hospital"/>
    <x v="0"/>
    <s v="Dr. Ibrahim Musa"/>
    <x v="0"/>
    <n v="10756.31"/>
    <s v="Liraglutide"/>
    <n v="8"/>
    <n v="291"/>
    <n v="32.4"/>
    <s v="Abnormal"/>
    <x v="1"/>
  </r>
  <r>
    <x v="1831"/>
    <s v="Kayode Johnson"/>
    <n v="38"/>
    <x v="5"/>
    <x v="0"/>
    <s v="B+"/>
    <x v="5"/>
    <x v="0"/>
    <x v="16"/>
    <d v="2020-05-19T00:00:00"/>
    <n v="9"/>
    <s v="National Hospital Abuja"/>
    <x v="4"/>
    <s v="Dr. Fatima Al-Hassan"/>
    <x v="0"/>
    <n v="109314.08"/>
    <s v="Furosemide"/>
    <n v="10"/>
    <n v="379"/>
    <n v="19.600000000000001"/>
    <s v="Inconclusive"/>
    <x v="0"/>
  </r>
  <r>
    <x v="1832"/>
    <s v="Chidi Nwosu"/>
    <n v="74"/>
    <x v="4"/>
    <x v="0"/>
    <s v="A-"/>
    <x v="2"/>
    <x v="2"/>
    <x v="1196"/>
    <d v="2021-11-01T00:00:00"/>
    <n v="8"/>
    <s v="Federal Medical Centre Birnin Kebbi"/>
    <x v="2"/>
    <s v="Dr. Olumide Abiodun"/>
    <x v="4"/>
    <n v="30471.68"/>
    <s v="Memantine"/>
    <n v="9"/>
    <n v="111"/>
    <n v="29.4"/>
    <s v="Normal"/>
    <x v="1"/>
  </r>
  <r>
    <x v="1833"/>
    <s v="Biodun Lawal"/>
    <n v="66"/>
    <x v="4"/>
    <x v="0"/>
    <s v="O-"/>
    <x v="4"/>
    <x v="0"/>
    <x v="681"/>
    <m/>
    <m/>
    <s v="Aminu Kano Teaching Hospital"/>
    <x v="2"/>
    <s v="Dr. Aisha Bello"/>
    <x v="3"/>
    <n v="30695.32"/>
    <s v="Omeprazole"/>
    <n v="5"/>
    <n v="174"/>
    <n v="24"/>
    <s v="Normal"/>
    <x v="1"/>
  </r>
  <r>
    <x v="1834"/>
    <s v="Adewale Eze"/>
    <n v="67"/>
    <x v="4"/>
    <x v="0"/>
    <s v="O-"/>
    <x v="3"/>
    <x v="2"/>
    <x v="1197"/>
    <d v="2020-01-31T00:00:00"/>
    <n v="8"/>
    <s v="Bowen University Teaching Hospital"/>
    <x v="1"/>
    <s v="Dr. Kemi Adeyemi"/>
    <x v="4"/>
    <n v="26040.48"/>
    <s v="Paracetamol"/>
    <n v="6"/>
    <n v="227"/>
    <n v="27.1"/>
    <s v="Normal"/>
    <x v="0"/>
  </r>
  <r>
    <x v="1835"/>
    <s v="Ngozi Yakubu"/>
    <n v="72"/>
    <x v="4"/>
    <x v="1"/>
    <s v="O+"/>
    <x v="0"/>
    <x v="2"/>
    <x v="1198"/>
    <d v="2020-05-17T00:00:00"/>
    <n v="28"/>
    <s v="University of Calabar Teaching Hospital"/>
    <x v="0"/>
    <s v="Dr. Grace Oduya"/>
    <x v="4"/>
    <n v="21751.17"/>
    <s v="Carboplatin"/>
    <n v="12"/>
    <n v="436"/>
    <n v="23.6"/>
    <s v="Abnormal"/>
    <x v="0"/>
  </r>
  <r>
    <x v="1836"/>
    <s v="Nnamdi Ajala"/>
    <n v="67"/>
    <x v="4"/>
    <x v="0"/>
    <s v="A-"/>
    <x v="2"/>
    <x v="2"/>
    <x v="1100"/>
    <d v="2021-10-02T00:00:00"/>
    <n v="10"/>
    <s v="Lagos University Teaching Hospital"/>
    <x v="1"/>
    <s v="Dr. Olumide Abiodun"/>
    <x v="4"/>
    <n v="43400.800000000003"/>
    <s v="Topiramate"/>
    <n v="9"/>
    <n v="214"/>
    <n v="27.3"/>
    <s v="Normal"/>
    <x v="0"/>
  </r>
  <r>
    <x v="1837"/>
    <s v="Grace Osagie"/>
    <n v="75"/>
    <x v="1"/>
    <x v="1"/>
    <s v="AB-"/>
    <x v="0"/>
    <x v="0"/>
    <x v="1199"/>
    <d v="2021-07-01T00:00:00"/>
    <n v="15"/>
    <s v="University of Calabar Teaching Hospital"/>
    <x v="0"/>
    <s v="Dr. Babatunde Fashola"/>
    <x v="4"/>
    <n v="85530.58"/>
    <s v="Filgrastim"/>
    <n v="12"/>
    <n v="341"/>
    <n v="22.6"/>
    <s v="Abnormal"/>
    <x v="0"/>
  </r>
  <r>
    <x v="1838"/>
    <s v="Tolulope Thompson"/>
    <n v="83"/>
    <x v="1"/>
    <x v="1"/>
    <s v="AB+"/>
    <x v="2"/>
    <x v="1"/>
    <x v="1200"/>
    <d v="2020-01-08T00:00:00"/>
    <n v="5"/>
    <s v="Federal Medical Centre Owerri"/>
    <x v="3"/>
    <s v="Dr. Olumide Abiodun"/>
    <x v="2"/>
    <n v="48068"/>
    <s v="Topiramate"/>
    <n v="9"/>
    <n v="165"/>
    <n v="23.1"/>
    <s v="Inconclusive"/>
    <x v="0"/>
  </r>
  <r>
    <x v="1839"/>
    <s v="Michael Akintola"/>
    <n v="84"/>
    <x v="1"/>
    <x v="0"/>
    <s v=""/>
    <x v="7"/>
    <x v="1"/>
    <x v="1201"/>
    <d v="2019-10-04T00:00:00"/>
    <n v="4"/>
    <s v="Federal Medical Centre Owerri"/>
    <x v="3"/>
    <s v="Dr. Chukwuemeka Nwosu"/>
    <x v="1"/>
    <n v="33359.129999999997"/>
    <s v="Tramadol"/>
    <n v="4"/>
    <n v="192"/>
    <n v="37.9"/>
    <s v="Normal"/>
    <x v="0"/>
  </r>
  <r>
    <x v="1840"/>
    <s v="Uche Ogbonna"/>
    <n v="51"/>
    <x v="5"/>
    <x v="0"/>
    <s v="A+"/>
    <x v="5"/>
    <x v="2"/>
    <x v="604"/>
    <d v="2023-02-22T00:00:00"/>
    <n v="3"/>
    <s v="National Hospital Abuja"/>
    <x v="4"/>
    <s v="Dr. Fatima Al-Hassan"/>
    <x v="3"/>
    <n v="119850.85"/>
    <s v="Warfarin"/>
    <n v="10"/>
    <n v="487"/>
    <n v="36.4"/>
    <s v="Abnormal"/>
    <x v="0"/>
  </r>
  <r>
    <x v="1841"/>
    <s v="Miriam Davis"/>
    <n v="89"/>
    <x v="1"/>
    <x v="1"/>
    <s v="O-"/>
    <x v="5"/>
    <x v="1"/>
    <x v="86"/>
    <d v="2020-09-06T00:00:00"/>
    <n v="6"/>
    <s v="University College Hospital Ibadan"/>
    <x v="1"/>
    <s v="Dr. Adewale Ogundimu"/>
    <x v="1"/>
    <n v="93783"/>
    <s v="Aspirin"/>
    <n v="10"/>
    <n v="131"/>
    <n v="24"/>
    <s v="Abnormal"/>
    <x v="0"/>
  </r>
  <r>
    <x v="1842"/>
    <s v="Sarah Abiodun"/>
    <n v="31"/>
    <x v="2"/>
    <x v="1"/>
    <s v="AB+"/>
    <x v="1"/>
    <x v="0"/>
    <x v="1202"/>
    <d v="2023-08-03T00:00:00"/>
    <n v="10"/>
    <s v="Federal Medical Centre Birnin Kebbi"/>
    <x v="2"/>
    <s v="Dr. Chioma Nwankwo"/>
    <x v="0"/>
    <n v="14320.18"/>
    <s v="Glibenclamide"/>
    <n v="8"/>
    <n v="210"/>
    <n v="19.7"/>
    <s v="Normal"/>
    <x v="0"/>
  </r>
  <r>
    <x v="1843"/>
    <s v="Mary Onuoha"/>
    <n v="33"/>
    <x v="2"/>
    <x v="1"/>
    <s v="AB+"/>
    <x v="5"/>
    <x v="3"/>
    <x v="823"/>
    <d v="2023-05-12T00:00:00"/>
    <n v="8"/>
    <s v="Lagos University Teaching Hospital"/>
    <x v="1"/>
    <s v="Dr. Fatima Al-Hassan"/>
    <x v="4"/>
    <n v="20455.07"/>
    <s v="Metoprolol"/>
    <n v="6"/>
    <n v="352"/>
    <n v="27.4"/>
    <s v="Abnormal"/>
    <x v="0"/>
  </r>
  <r>
    <x v="1844"/>
    <s v="Babatunde Aliyu"/>
    <n v="61"/>
    <x v="3"/>
    <x v="0"/>
    <s v="A+"/>
    <x v="6"/>
    <x v="0"/>
    <x v="333"/>
    <d v="2023-07-21T00:00:00"/>
    <n v="5"/>
    <s v="Ahmadu Bello University Teaching Hospital"/>
    <x v="2"/>
    <s v="Dr. Yusuf Danjuma"/>
    <x v="1"/>
    <n v="34947.879999999997"/>
    <s v="Azithromycin"/>
    <n v="5"/>
    <n v="363"/>
    <n v="29.1"/>
    <s v="Inconclusive"/>
    <x v="0"/>
  </r>
  <r>
    <x v="1845"/>
    <s v="Nnamdi Abiodun"/>
    <n v="62"/>
    <x v="3"/>
    <x v="0"/>
    <s v="AB-"/>
    <x v="7"/>
    <x v="2"/>
    <x v="1120"/>
    <m/>
    <m/>
    <s v="Federal Medical Centre Asaba"/>
    <x v="0"/>
    <s v="Dr. Musa Aliyu"/>
    <x v="4"/>
    <n v="16744.68"/>
    <s v="Tramadol"/>
    <n v="2"/>
    <n v="236"/>
    <n v="15.6"/>
    <s v="Normal"/>
    <x v="0"/>
  </r>
  <r>
    <x v="1846"/>
    <s v="Zainab Garba"/>
    <n v="63"/>
    <x v="3"/>
    <x v="1"/>
    <s v="A+"/>
    <x v="5"/>
    <x v="2"/>
    <x v="713"/>
    <d v="2024-05-20T00:00:00"/>
    <n v="7"/>
    <s v="University of Calabar Teaching Hospital"/>
    <x v="0"/>
    <s v="Dr. Emeka Okorie"/>
    <x v="1"/>
    <n v="43908"/>
    <s v="Amiodarone"/>
    <n v="10"/>
    <n v="374"/>
    <n v="34.9"/>
    <s v="Normal"/>
    <x v="0"/>
  </r>
  <r>
    <x v="1847"/>
    <s v="Josephine Osagie"/>
    <n v="69"/>
    <x v="4"/>
    <x v="1"/>
    <s v="A-"/>
    <x v="0"/>
    <x v="0"/>
    <x v="243"/>
    <d v="2024-01-12T00:00:00"/>
    <n v="32"/>
    <s v="National Hospital Abuja"/>
    <x v="4"/>
    <s v="Dr. Amara Osei"/>
    <x v="0"/>
    <n v="195316.74"/>
    <s v="Filgrastim"/>
    <n v="12"/>
    <n v="267"/>
    <n v="23.8"/>
    <s v="Abnormal"/>
    <x v="0"/>
  </r>
  <r>
    <x v="1848"/>
    <s v="Peter Adeyemi"/>
    <n v="65"/>
    <x v="4"/>
    <x v="0"/>
    <s v="O-"/>
    <x v="1"/>
    <x v="2"/>
    <x v="1203"/>
    <d v="2024-11-16T00:00:00"/>
    <n v="5"/>
    <s v="Lagos University Teaching Hospital"/>
    <x v="1"/>
    <s v="Dr. Ibrahim Musa"/>
    <x v="0"/>
    <n v="22142.13"/>
    <s v="Empagliflozin"/>
    <n v="7"/>
    <n v="273"/>
    <n v="33.4"/>
    <s v="Abnormal"/>
    <x v="1"/>
  </r>
  <r>
    <x v="1849"/>
    <s v="Ngozi Salami"/>
    <n v="63"/>
    <x v="3"/>
    <x v="1"/>
    <s v="O+"/>
    <x v="7"/>
    <x v="0"/>
    <x v="1204"/>
    <d v="2020-06-01T00:00:00"/>
    <n v="6"/>
    <s v="Aminu Kano Teaching Hospital"/>
    <x v="2"/>
    <s v="Dr. Musa Aliyu"/>
    <x v="2"/>
    <n v="36971.39"/>
    <s v="Tramadol"/>
    <n v="4"/>
    <n v="124"/>
    <n v="20.5"/>
    <s v="Inconclusive"/>
    <x v="0"/>
  </r>
  <r>
    <x v="1850"/>
    <s v="Musa Abiodun"/>
    <n v="88"/>
    <x v="1"/>
    <x v="0"/>
    <s v="AB-"/>
    <x v="1"/>
    <x v="1"/>
    <x v="320"/>
    <d v="2021-10-22T00:00:00"/>
    <n v="2"/>
    <s v="Ahmadu Bello University Teaching Hospital"/>
    <x v="2"/>
    <s v="Dr. Ibrahim Musa"/>
    <x v="3"/>
    <n v="24346.400000000001"/>
    <s v="Sitagliptin"/>
    <n v="8"/>
    <n v="130"/>
    <n v="22.1"/>
    <s v="Abnormal"/>
    <x v="0"/>
  </r>
  <r>
    <x v="1851"/>
    <s v="Suleiman Dauda"/>
    <n v="67"/>
    <x v="4"/>
    <x v="0"/>
    <s v="B-"/>
    <x v="1"/>
    <x v="1"/>
    <x v="955"/>
    <d v="2019-01-14T00:00:00"/>
    <n v="3"/>
    <s v="University College Hospital Ibadan"/>
    <x v="1"/>
    <s v="Dr. Chioma Nwankwo"/>
    <x v="2"/>
    <n v="39171.800000000003"/>
    <s v="Sitagliptin"/>
    <n v="7"/>
    <n v="106"/>
    <n v="31.6"/>
    <s v="Abnormal"/>
    <x v="0"/>
  </r>
  <r>
    <x v="1852"/>
    <s v="David Abiodun"/>
    <n v="14"/>
    <x v="0"/>
    <x v="0"/>
    <s v="B+"/>
    <x v="1"/>
    <x v="2"/>
    <x v="1205"/>
    <d v="2021-07-17T00:00:00"/>
    <n v="3"/>
    <s v="Ahmadu Bello University Teaching Hospital"/>
    <x v="2"/>
    <s v="Dr. Ibrahim Musa"/>
    <x v="1"/>
    <n v="15258"/>
    <s v="Dapagliflozin"/>
    <n v="7"/>
    <n v="197"/>
    <n v="31.4"/>
    <s v="Normal"/>
    <x v="0"/>
  </r>
  <r>
    <x v="1853"/>
    <s v="Fatima Oni"/>
    <n v="58"/>
    <x v="3"/>
    <x v="1"/>
    <s v="B-"/>
    <x v="1"/>
    <x v="0"/>
    <x v="128"/>
    <d v="2022-01-19T00:00:00"/>
    <n v="1"/>
    <s v="Federal Medical Centre Birnin Kebbi"/>
    <x v="2"/>
    <s v="Dr. Ibrahim Musa"/>
    <x v="3"/>
    <n v="39116"/>
    <s v="Insulin Glargine"/>
    <n v="8"/>
    <n v="133"/>
    <n v="26"/>
    <s v="Normal"/>
    <x v="0"/>
  </r>
  <r>
    <x v="1854"/>
    <s v="Nnamdi Ogbonna"/>
    <n v="62"/>
    <x v="3"/>
    <x v="0"/>
    <s v="B+"/>
    <x v="1"/>
    <x v="1"/>
    <x v="584"/>
    <d v="2021-05-04T00:00:00"/>
    <n v="4"/>
    <s v="Aminu Kano Teaching Hospital"/>
    <x v="2"/>
    <s v="Dr. Chioma Nwankwo"/>
    <x v="4"/>
    <n v="11145.01"/>
    <s v="Sitagliptin"/>
    <n v="8"/>
    <n v="196"/>
    <n v="39.6"/>
    <s v="Abnormal"/>
    <x v="0"/>
  </r>
  <r>
    <x v="1855"/>
    <s v="Chiamaka Usman"/>
    <n v="73"/>
    <x v="4"/>
    <x v="1"/>
    <s v="O-"/>
    <x v="6"/>
    <x v="0"/>
    <x v="613"/>
    <d v="2024-02-23T00:00:00"/>
    <n v="15"/>
    <s v="Federal Medical Centre Birnin Kebbi"/>
    <x v="2"/>
    <s v="Dr. Ngozi Eze-Williams"/>
    <x v="0"/>
    <n v="47398.35"/>
    <s v="Ipratropium"/>
    <n v="7"/>
    <n v="328"/>
    <n v="22.4"/>
    <s v="Abnormal"/>
    <x v="1"/>
  </r>
  <r>
    <x v="1856"/>
    <s v="Mary Okafor"/>
    <n v="87"/>
    <x v="1"/>
    <x v="1"/>
    <s v="AB-"/>
    <x v="0"/>
    <x v="1"/>
    <x v="734"/>
    <d v="2023-08-27T00:00:00"/>
    <n v="15"/>
    <s v="Federal Medical Centre Owerri"/>
    <x v="3"/>
    <s v="Dr. Babatunde Fashola"/>
    <x v="0"/>
    <n v="152821.72"/>
    <s v="Rituximab"/>
    <n v="8"/>
    <n v="156"/>
    <n v="14"/>
    <s v="Normal"/>
    <x v="0"/>
  </r>
  <r>
    <x v="1857"/>
    <s v="Emmanuel Moore"/>
    <n v="55"/>
    <x v="3"/>
    <x v="0"/>
    <s v="B-"/>
    <x v="7"/>
    <x v="2"/>
    <x v="1206"/>
    <d v="2022-06-26T00:00:00"/>
    <n v="3"/>
    <s v="University of Calabar Teaching Hospital"/>
    <x v="0"/>
    <s v="Dr. Sarah Adeyemi"/>
    <x v="0"/>
    <n v="22993.5"/>
    <s v="Calcium"/>
    <n v="6"/>
    <n v="120"/>
    <n v="31.9"/>
    <s v="Normal"/>
    <x v="0"/>
  </r>
  <r>
    <x v="1858"/>
    <s v="Chioma Williams"/>
    <n v="69"/>
    <x v="4"/>
    <x v="1"/>
    <s v="B-"/>
    <x v="1"/>
    <x v="0"/>
    <x v="443"/>
    <d v="2020-03-15T00:00:00"/>
    <n v="15"/>
    <s v="National Hospital Abuja"/>
    <x v="4"/>
    <s v="Dr. Ibrahim Musa"/>
    <x v="4"/>
    <n v="42800"/>
    <s v="Dapagliflozin"/>
    <n v="5"/>
    <n v="192"/>
    <n v="26.8"/>
    <s v="Abnormal"/>
    <x v="0"/>
  </r>
  <r>
    <x v="1859"/>
    <s v="Miriam Akintola"/>
    <n v="92"/>
    <x v="1"/>
    <x v="1"/>
    <s v="A-"/>
    <x v="7"/>
    <x v="2"/>
    <x v="665"/>
    <d v="2023-10-16T00:00:00"/>
    <n v="2"/>
    <s v="University of Calabar Teaching Hospital"/>
    <x v="0"/>
    <s v="Dr. Chukwuemeka Nwosu"/>
    <x v="4"/>
    <n v="24525.67"/>
    <s v="Calcium"/>
    <n v="5"/>
    <n v="133"/>
    <n v="34.200000000000003"/>
    <s v="Inconclusive"/>
    <x v="0"/>
  </r>
  <r>
    <x v="1860"/>
    <s v="Rachel Brown"/>
    <n v="67"/>
    <x v="4"/>
    <x v="1"/>
    <s v="A-"/>
    <x v="5"/>
    <x v="0"/>
    <x v="1207"/>
    <d v="2023-09-21T00:00:00"/>
    <n v="9"/>
    <s v="University of Calabar Teaching Hospital"/>
    <x v="0"/>
    <s v="Dr. Adewale Ogundimu"/>
    <x v="0"/>
    <n v="49552.91"/>
    <s v="Atorvastatin"/>
    <n v="10"/>
    <n v="349"/>
    <n v="30.4"/>
    <s v="Abnormal"/>
    <x v="0"/>
  </r>
  <r>
    <x v="1861"/>
    <s v="Tunde Adeleke"/>
    <n v="91"/>
    <x v="1"/>
    <x v="0"/>
    <s v="AB+"/>
    <x v="3"/>
    <x v="1"/>
    <x v="1090"/>
    <d v="2020-04-26T00:00:00"/>
    <n v="5"/>
    <s v="Aminu Kano Teaching Hospital"/>
    <x v="2"/>
    <s v="Dr. Precious Obi"/>
    <x v="4"/>
    <n v="25348.69"/>
    <s v="Ondansetron"/>
    <n v="6"/>
    <n v="187"/>
    <n v="30.5"/>
    <s v="Abnormal"/>
    <x v="1"/>
  </r>
  <r>
    <x v="1862"/>
    <s v="Bukola Salami"/>
    <n v="34"/>
    <x v="2"/>
    <x v="1"/>
    <s v="AB-"/>
    <x v="7"/>
    <x v="1"/>
    <x v="1208"/>
    <d v="2021-05-22T00:00:00"/>
    <n v="3"/>
    <s v="University of Calabar Teaching Hospital"/>
    <x v="0"/>
    <s v="Dr. Chukwuemeka Nwosu"/>
    <x v="1"/>
    <n v="8613"/>
    <s v="Enoxaparin"/>
    <n v="2"/>
    <n v="129"/>
    <n v="30.4"/>
    <s v="Normal"/>
    <x v="0"/>
  </r>
  <r>
    <x v="1863"/>
    <s v="Grace Anderson"/>
    <n v="81"/>
    <x v="1"/>
    <x v="1"/>
    <s v="AB-"/>
    <x v="5"/>
    <x v="0"/>
    <x v="277"/>
    <d v="2024-07-04T00:00:00"/>
    <n v="11"/>
    <s v="National Hospital Abuja"/>
    <x v="4"/>
    <s v="Dr. Adewale Ogundimu"/>
    <x v="3"/>
    <n v="118474.75"/>
    <s v="Metoprolol"/>
    <n v="10"/>
    <n v="316"/>
    <n v="35.799999999999997"/>
    <s v="Abnormal"/>
    <x v="1"/>
  </r>
  <r>
    <x v="1864"/>
    <s v="Taiwo Johnson"/>
    <n v="83"/>
    <x v="1"/>
    <x v="1"/>
    <s v="AB+"/>
    <x v="1"/>
    <x v="0"/>
    <x v="1209"/>
    <d v="2024-09-26T00:00:00"/>
    <n v="4"/>
    <s v="National Hospital Abuja"/>
    <x v="4"/>
    <s v="Dr. Taiwo Adeleke"/>
    <x v="2"/>
    <n v="32033.35"/>
    <s v="Insulin Glargine"/>
    <n v="7"/>
    <n v="178"/>
    <n v="34.799999999999997"/>
    <s v="Abnormal"/>
    <x v="0"/>
  </r>
  <r>
    <x v="1865"/>
    <s v="Michael Moore"/>
    <n v="60"/>
    <x v="3"/>
    <x v="0"/>
    <s v="O-"/>
    <x v="4"/>
    <x v="1"/>
    <x v="1210"/>
    <d v="2019-07-18T00:00:00"/>
    <n v="2"/>
    <s v="Federal Medical Centre Asaba"/>
    <x v="0"/>
    <s v="Dr. Segun Banke"/>
    <x v="2"/>
    <n v="20114.53"/>
    <s v="Loperamide"/>
    <n v="5"/>
    <n v="126"/>
    <n v="31.8"/>
    <s v="Inconclusive"/>
    <x v="0"/>
  </r>
  <r>
    <x v="1866"/>
    <s v="James Davis"/>
    <n v="92"/>
    <x v="1"/>
    <x v="0"/>
    <s v="O-"/>
    <x v="2"/>
    <x v="2"/>
    <x v="814"/>
    <d v="2019-12-04T00:00:00"/>
    <n v="6"/>
    <s v="National Hospital Abuja"/>
    <x v="4"/>
    <s v="Dr. Zainab Sule"/>
    <x v="1"/>
    <n v="44549"/>
    <s v="Gabapentin"/>
    <n v="9"/>
    <n v="344"/>
    <n v="21.4"/>
    <s v="Abnormal"/>
    <x v="0"/>
  </r>
  <r>
    <x v="1867"/>
    <s v="Ngozi Sule"/>
    <n v="65"/>
    <x v="4"/>
    <x v="1"/>
    <s v="B-"/>
    <x v="4"/>
    <x v="0"/>
    <x v="1211"/>
    <d v="2022-09-13T00:00:00"/>
    <n v="6"/>
    <s v="National Hospital Abuja"/>
    <x v="4"/>
    <s v="Dr. Segun Banke"/>
    <x v="2"/>
    <n v="40376.74"/>
    <s v="Mesalazine"/>
    <n v="4"/>
    <n v="316"/>
    <n v="24.9"/>
    <s v="Normal"/>
    <x v="0"/>
  </r>
  <r>
    <x v="1868"/>
    <s v="Adenike Anderson"/>
    <n v="56"/>
    <x v="3"/>
    <x v="1"/>
    <s v="A-"/>
    <x v="4"/>
    <x v="1"/>
    <x v="769"/>
    <d v="2020-06-10T00:00:00"/>
    <n v="2"/>
    <s v="Bowen University Teaching Hospital"/>
    <x v="1"/>
    <s v="Dr. Nnamdi Okafor"/>
    <x v="2"/>
    <n v="25875.7"/>
    <s v="Omeprazole"/>
    <n v="5"/>
    <n v="115"/>
    <n v="23.7"/>
    <s v="Abnormal"/>
    <x v="0"/>
  </r>
  <r>
    <x v="1869"/>
    <s v="Rebecca Usman"/>
    <n v="68"/>
    <x v="4"/>
    <x v="1"/>
    <s v="B-"/>
    <x v="5"/>
    <x v="0"/>
    <x v="511"/>
    <d v="2024-02-12T00:00:00"/>
    <n v="19"/>
    <s v="Ahmadu Bello University Teaching Hospital"/>
    <x v="2"/>
    <s v="Dr. Fatima Al-Hassan"/>
    <x v="4"/>
    <n v="52306"/>
    <s v="Warfarin"/>
    <n v="8"/>
    <n v="382"/>
    <n v="28.9"/>
    <s v="Abnormal"/>
    <x v="1"/>
  </r>
  <r>
    <x v="1870"/>
    <s v="Lydia Onuoha"/>
    <n v="56"/>
    <x v="3"/>
    <x v="1"/>
    <s v="A-"/>
    <x v="2"/>
    <x v="1"/>
    <x v="930"/>
    <d v="2022-10-16T00:00:00"/>
    <n v="10"/>
    <s v="Bowen University Teaching Hospital"/>
    <x v="1"/>
    <s v="Dr. Olumide Abiodun"/>
    <x v="0"/>
    <n v="48914.15"/>
    <s v="Levetiracetam"/>
    <n v="9"/>
    <n v="101"/>
    <n v="31.5"/>
    <s v="Normal"/>
    <x v="1"/>
  </r>
  <r>
    <x v="1871"/>
    <s v="Perpetua Aliyu"/>
    <n v="61"/>
    <x v="3"/>
    <x v="1"/>
    <s v="AB+"/>
    <x v="0"/>
    <x v="3"/>
    <x v="20"/>
    <d v="2022-06-08T00:00:00"/>
    <n v="10"/>
    <s v="Lagos University Teaching Hospital"/>
    <x v="1"/>
    <s v="Dr. Grace Oduya"/>
    <x v="0"/>
    <n v="79808.740000000005"/>
    <s v="Trastuzumab"/>
    <n v="12"/>
    <n v="343"/>
    <n v="33.299999999999997"/>
    <s v="Abnormal"/>
    <x v="0"/>
  </r>
  <r>
    <x v="1872"/>
    <s v="Ifeanyi Osagie"/>
    <n v="66"/>
    <x v="4"/>
    <x v="0"/>
    <s v="A+"/>
    <x v="6"/>
    <x v="0"/>
    <x v="911"/>
    <d v="2024-09-28T00:00:00"/>
    <n v="5"/>
    <s v="Lagos University Teaching Hospital"/>
    <x v="1"/>
    <s v="Dr. Halima Usman"/>
    <x v="0"/>
    <n v="55077.85"/>
    <s v="Prednisolone"/>
    <n v="6"/>
    <n v="334"/>
    <n v="26.4"/>
    <s v="Abnormal"/>
    <x v="0"/>
  </r>
  <r>
    <x v="1873"/>
    <s v="Mariam Smith"/>
    <n v="58"/>
    <x v="3"/>
    <x v="1"/>
    <s v="B+"/>
    <x v="2"/>
    <x v="2"/>
    <x v="108"/>
    <d v="2021-02-10T00:00:00"/>
    <n v="7"/>
    <s v="Federal Medical Centre Asaba"/>
    <x v="0"/>
    <s v="Dr. Olumide Abiodun"/>
    <x v="0"/>
    <n v="63362.13"/>
    <s v="Levetiracetam"/>
    <n v="9"/>
    <n v="297"/>
    <n v="27.3"/>
    <s v="Abnormal"/>
    <x v="0"/>
  </r>
  <r>
    <x v="1874"/>
    <s v="Josephine Chukwu"/>
    <n v="72"/>
    <x v="4"/>
    <x v="1"/>
    <s v="B+"/>
    <x v="3"/>
    <x v="3"/>
    <x v="29"/>
    <d v="2021-12-13T00:00:00"/>
    <n v="4"/>
    <s v="University of Calabar Teaching Hospital"/>
    <x v="0"/>
    <s v="Dr. Kemi Adeyemi"/>
    <x v="2"/>
    <n v="46495.08"/>
    <s v="Paracetamol"/>
    <n v="6"/>
    <n v="297"/>
    <n v="30.4"/>
    <s v="Abnormal"/>
    <x v="0"/>
  </r>
  <r>
    <x v="1875"/>
    <s v="Sarah Williams"/>
    <n v="56"/>
    <x v="3"/>
    <x v="1"/>
    <s v="O+"/>
    <x v="5"/>
    <x v="2"/>
    <x v="372"/>
    <d v="2024-12-07T00:00:00"/>
    <n v="14"/>
    <s v="University of Calabar Teaching Hospital"/>
    <x v="0"/>
    <s v="Dr. Adewale Ogundimu"/>
    <x v="1"/>
    <n v="67929.100000000006"/>
    <s v="Digoxin"/>
    <n v="10"/>
    <n v="383"/>
    <n v="28.9"/>
    <s v="Abnormal"/>
    <x v="0"/>
  </r>
  <r>
    <x v="1876"/>
    <s v="Kayode Bankole"/>
    <n v="74"/>
    <x v="4"/>
    <x v="0"/>
    <s v="AB+"/>
    <x v="5"/>
    <x v="0"/>
    <x v="1212"/>
    <d v="2024-08-20T00:00:00"/>
    <n v="5"/>
    <s v="Federal Medical Centre Owerri"/>
    <x v="3"/>
    <s v="Dr. Fatima Al-Hassan"/>
    <x v="4"/>
    <n v="96389.27"/>
    <s v="Atorvastatin"/>
    <n v="9"/>
    <n v="398"/>
    <n v="29.9"/>
    <s v="Abnormal"/>
    <x v="1"/>
  </r>
  <r>
    <x v="1877"/>
    <s v="John Nwosu"/>
    <n v="48"/>
    <x v="5"/>
    <x v="0"/>
    <s v="B-"/>
    <x v="0"/>
    <x v="1"/>
    <x v="1213"/>
    <d v="2021-01-02T00:00:00"/>
    <n v="7"/>
    <s v="Aminu Kano Teaching Hospital"/>
    <x v="2"/>
    <s v="Dr. Babatunde Fashola"/>
    <x v="4"/>
    <n v="42642.91"/>
    <s v="Rituximab"/>
    <n v="12"/>
    <n v="167"/>
    <n v="23.7"/>
    <s v="Abnormal"/>
    <x v="0"/>
  </r>
  <r>
    <x v="1878"/>
    <s v="Adewale Sule"/>
    <n v="22"/>
    <x v="2"/>
    <x v="0"/>
    <s v="A+"/>
    <x v="3"/>
    <x v="2"/>
    <x v="59"/>
    <d v="2019-07-09T00:00:00"/>
    <n v="3"/>
    <s v="Federal Medical Centre Asaba"/>
    <x v="0"/>
    <s v="Dr. Lanre Ogundele"/>
    <x v="4"/>
    <n v="10028"/>
    <s v="Ondansetron"/>
    <n v="5"/>
    <n v="421"/>
    <n v="19.899999999999999"/>
    <s v="Inconclusive"/>
    <x v="0"/>
  </r>
  <r>
    <x v="1879"/>
    <s v="Gbenga Fashola"/>
    <n v="85"/>
    <x v="1"/>
    <x v="0"/>
    <s v="B-"/>
    <x v="4"/>
    <x v="2"/>
    <x v="769"/>
    <d v="2020-04-11T00:00:00"/>
    <n v="1"/>
    <s v="University College Hospital Ibadan"/>
    <x v="1"/>
    <s v="Dr. Nnamdi Okafor"/>
    <x v="1"/>
    <n v="20542.32"/>
    <s v="Omeprazole"/>
    <n v="4"/>
    <n v="407"/>
    <n v="23"/>
    <s v="Normal"/>
    <x v="0"/>
  </r>
  <r>
    <x v="1880"/>
    <s v="Tunde Dauda"/>
    <n v="63"/>
    <x v="3"/>
    <x v="0"/>
    <s v="B+"/>
    <x v="5"/>
    <x v="0"/>
    <x v="1214"/>
    <d v="2022-05-11T00:00:00"/>
    <n v="15"/>
    <s v="Federal Medical Centre Asaba"/>
    <x v="0"/>
    <s v="Dr. Fatima Al-Hassan"/>
    <x v="0"/>
    <n v="58637.59"/>
    <s v="Atorvastatin"/>
    <n v="10"/>
    <n v="393"/>
    <m/>
    <s v="Abnormal"/>
    <x v="0"/>
  </r>
  <r>
    <x v="1881"/>
    <s v="Ruth Williams"/>
    <n v="74"/>
    <x v="4"/>
    <x v="1"/>
    <s v="O+"/>
    <x v="2"/>
    <x v="2"/>
    <x v="1215"/>
    <d v="2022-01-20T00:00:00"/>
    <n v="9"/>
    <s v="Federal Medical Centre Asaba"/>
    <x v="0"/>
    <s v="Dr. Zainab Sule"/>
    <x v="0"/>
    <n v="24881.33"/>
    <s v="Topiramate"/>
    <n v="9"/>
    <n v="136"/>
    <n v="33.4"/>
    <s v="Inconclusive"/>
    <x v="0"/>
  </r>
  <r>
    <x v="1882"/>
    <s v="Joseph Aliyu"/>
    <n v="55"/>
    <x v="3"/>
    <x v="0"/>
    <s v="AB-"/>
    <x v="3"/>
    <x v="0"/>
    <x v="234"/>
    <d v="2024-08-29T00:00:00"/>
    <n v="17"/>
    <s v="Bowen University Teaching Hospital"/>
    <x v="1"/>
    <s v="Dr. Precious Obi"/>
    <x v="0"/>
    <n v="61972"/>
    <s v="Morphine"/>
    <n v="6"/>
    <n v="324"/>
    <n v="22.7"/>
    <s v="Normal"/>
    <x v="1"/>
  </r>
  <r>
    <x v="1883"/>
    <s v="Michael Smith"/>
    <n v="53"/>
    <x v="5"/>
    <x v="0"/>
    <s v="B+"/>
    <x v="4"/>
    <x v="1"/>
    <x v="736"/>
    <d v="2022-11-12T00:00:00"/>
    <n v="3"/>
    <s v="Federal Medical Centre Asaba"/>
    <x v="0"/>
    <s v="Dr. Segun Banke"/>
    <x v="0"/>
    <n v="11830.39"/>
    <s v="Ciprofloxacin"/>
    <n v="4"/>
    <n v="120"/>
    <n v="19.100000000000001"/>
    <s v="Inconclusive"/>
    <x v="0"/>
  </r>
  <r>
    <x v="1884"/>
    <s v="Michael Lawal"/>
    <n v="64"/>
    <x v="3"/>
    <x v="0"/>
    <s v="O-"/>
    <x v="5"/>
    <x v="0"/>
    <x v="1216"/>
    <d v="2024-12-30T00:00:00"/>
    <n v="14"/>
    <s v="Federal Medical Centre Asaba"/>
    <x v="0"/>
    <s v="Dr. Emeka Okorie"/>
    <x v="0"/>
    <n v="61964.52"/>
    <s v="Spironolactone"/>
    <n v="9"/>
    <n v="306"/>
    <n v="32.799999999999997"/>
    <s v="Abnormal"/>
    <x v="0"/>
  </r>
  <r>
    <x v="1885"/>
    <s v="Abdullahi Osagie"/>
    <n v="85"/>
    <x v="1"/>
    <x v="0"/>
    <s v="A+"/>
    <x v="4"/>
    <x v="2"/>
    <x v="982"/>
    <d v="2023-06-09T00:00:00"/>
    <n v="4"/>
    <s v="Federal Medical Centre Asaba"/>
    <x v="0"/>
    <s v="Dr. Nnamdi Okafor"/>
    <x v="0"/>
    <n v="12082.29"/>
    <s v="Loperamide"/>
    <n v="5"/>
    <n v="234"/>
    <n v="30.1"/>
    <s v="Normal"/>
    <x v="0"/>
  </r>
  <r>
    <x v="1886"/>
    <s v="Adewale Okeke"/>
    <n v="38"/>
    <x v="5"/>
    <x v="0"/>
    <s v="AB+"/>
    <x v="6"/>
    <x v="0"/>
    <x v="230"/>
    <d v="2022-09-15T00:00:00"/>
    <n v="7"/>
    <s v="Federal Medical Centre Birnin Kebbi"/>
    <x v="2"/>
    <s v="Dr. Halima Usman"/>
    <x v="1"/>
    <n v="33219.949999999997"/>
    <s v="Prednisolone"/>
    <n v="7"/>
    <n v="315"/>
    <n v="16"/>
    <s v="Abnormal"/>
    <x v="0"/>
  </r>
  <r>
    <x v="1887"/>
    <s v="Ngozi Okafor"/>
    <n v="60"/>
    <x v="3"/>
    <x v="1"/>
    <s v="O-"/>
    <x v="5"/>
    <x v="0"/>
    <x v="1217"/>
    <d v="2019-09-03T00:00:00"/>
    <n v="19"/>
    <s v="University of Calabar Teaching Hospital"/>
    <x v="0"/>
    <s v="Dr. Emeka Okorie"/>
    <x v="1"/>
    <n v="77217.94"/>
    <s v="Amiodarone"/>
    <n v="10"/>
    <n v="396"/>
    <n v="37.1"/>
    <s v="Normal"/>
    <x v="0"/>
  </r>
  <r>
    <x v="1888"/>
    <s v="Samuel Chukwu"/>
    <n v="55"/>
    <x v="3"/>
    <x v="0"/>
    <s v="A+"/>
    <x v="1"/>
    <x v="1"/>
    <x v="1118"/>
    <d v="2021-12-08T00:00:00"/>
    <n v="4"/>
    <s v="University of Calabar Teaching Hospital"/>
    <x v="0"/>
    <s v="Dr. Ibrahim Musa"/>
    <x v="4"/>
    <n v="22357"/>
    <s v="Liraglutide"/>
    <n v="7"/>
    <n v="188"/>
    <m/>
    <s v="Abnormal"/>
    <x v="1"/>
  </r>
  <r>
    <x v="1889"/>
    <s v="Peter Chukwu"/>
    <n v="63"/>
    <x v="3"/>
    <x v="0"/>
    <s v="A+"/>
    <x v="3"/>
    <x v="1"/>
    <x v="1218"/>
    <d v="2024-01-23T00:00:00"/>
    <n v="3"/>
    <s v="Federal Medical Centre Asaba"/>
    <x v="0"/>
    <s v="Dr. Kemi Adeyemi"/>
    <x v="3"/>
    <n v="41711.67"/>
    <s v="Ondansetron"/>
    <n v="6"/>
    <n v="134"/>
    <n v="20.9"/>
    <s v="Abnormal"/>
    <x v="0"/>
  </r>
  <r>
    <x v="1890"/>
    <s v="Suleiman Brown"/>
    <n v="91"/>
    <x v="1"/>
    <x v="0"/>
    <s v="O+"/>
    <x v="5"/>
    <x v="0"/>
    <x v="760"/>
    <d v="2023-12-04T00:00:00"/>
    <n v="10"/>
    <s v="National Hospital Abuja"/>
    <x v="4"/>
    <s v="Dr. Emeka Okorie"/>
    <x v="0"/>
    <n v="138721.17000000001"/>
    <s v="Amlodipine"/>
    <n v="10"/>
    <n v="300"/>
    <n v="20"/>
    <s v="Abnormal"/>
    <x v="1"/>
  </r>
  <r>
    <x v="1891"/>
    <s v="Grace Obi"/>
    <n v="54"/>
    <x v="5"/>
    <x v="1"/>
    <s v="A-"/>
    <x v="0"/>
    <x v="2"/>
    <x v="1219"/>
    <d v="2021-06-25T00:00:00"/>
    <n v="9"/>
    <s v="Aminu Kano Teaching Hospital"/>
    <x v="2"/>
    <s v="Dr. Babatunde Fashola"/>
    <x v="4"/>
    <n v="48211.91"/>
    <s v="Cyclophosphamide"/>
    <n v="12"/>
    <n v="171"/>
    <m/>
    <s v="Abnormal"/>
    <x v="0"/>
  </r>
  <r>
    <x v="1892"/>
    <s v="Michael Garba"/>
    <n v="71"/>
    <x v="4"/>
    <x v="0"/>
    <s v="A-"/>
    <x v="1"/>
    <x v="1"/>
    <x v="540"/>
    <d v="2019-05-17T00:00:00"/>
    <n v="3"/>
    <s v="Federal Medical Centre Asaba"/>
    <x v="0"/>
    <s v="Dr. Taiwo Adeleke"/>
    <x v="4"/>
    <n v="9893.76"/>
    <s v="Liraglutide"/>
    <n v="6"/>
    <n v="177"/>
    <n v="14.5"/>
    <s v="Abnormal"/>
    <x v="0"/>
  </r>
  <r>
    <x v="1893"/>
    <s v="Adewale Lawal"/>
    <n v="29"/>
    <x v="2"/>
    <x v="0"/>
    <s v="O-"/>
    <x v="4"/>
    <x v="0"/>
    <x v="1220"/>
    <d v="2023-04-04T00:00:00"/>
    <n v="4"/>
    <s v="National Hospital Abuja"/>
    <x v="4"/>
    <s v="Dr. Nnamdi Okafor"/>
    <x v="1"/>
    <n v="17601.310000000001"/>
    <s v="Mesalazine"/>
    <n v="3"/>
    <n v="494"/>
    <n v="25.7"/>
    <s v="Normal"/>
    <x v="0"/>
  </r>
  <r>
    <x v="1894"/>
    <s v="Michael Ajala"/>
    <n v="68"/>
    <x v="4"/>
    <x v="0"/>
    <s v="O-"/>
    <x v="5"/>
    <x v="1"/>
    <x v="1221"/>
    <d v="2021-04-30T00:00:00"/>
    <n v="8"/>
    <s v="Federal Medical Centre Birnin Kebbi"/>
    <x v="2"/>
    <s v="Dr. Emeka Okorie"/>
    <x v="0"/>
    <n v="37920.1"/>
    <s v="Aspirin"/>
    <n v="10"/>
    <n v="105"/>
    <n v="16.399999999999999"/>
    <s v="Inconclusive"/>
    <x v="0"/>
  </r>
  <r>
    <x v="1895"/>
    <s v="Mariam Brown"/>
    <n v="56"/>
    <x v="3"/>
    <x v="1"/>
    <s v="A+"/>
    <x v="0"/>
    <x v="3"/>
    <x v="1222"/>
    <d v="2021-02-24T00:00:00"/>
    <n v="15"/>
    <s v="Federal Medical Centre Owerri"/>
    <x v="3"/>
    <s v="Dr. Babatunde Fashola"/>
    <x v="0"/>
    <n v="69925.47"/>
    <s v="Carboplatin"/>
    <n v="12"/>
    <n v="192"/>
    <n v="22.2"/>
    <s v="Abnormal"/>
    <x v="0"/>
  </r>
  <r>
    <x v="1896"/>
    <s v="Ifeoma Obi"/>
    <n v="62"/>
    <x v="3"/>
    <x v="1"/>
    <s v="A-"/>
    <x v="1"/>
    <x v="0"/>
    <x v="835"/>
    <d v="2024-05-26T00:00:00"/>
    <n v="5"/>
    <s v="Federal Medical Centre Birnin Kebbi"/>
    <x v="2"/>
    <s v="Dr. Chioma Nwankwo"/>
    <x v="1"/>
    <n v="57155.3"/>
    <s v="Sitagliptin"/>
    <n v="7"/>
    <n v="367"/>
    <n v="36.1"/>
    <s v="Abnormal"/>
    <x v="0"/>
  </r>
  <r>
    <x v="1897"/>
    <s v="David Smith"/>
    <n v="71"/>
    <x v="4"/>
    <x v="0"/>
    <s v="AB-"/>
    <x v="1"/>
    <x v="0"/>
    <x v="878"/>
    <d v="2023-06-20T00:00:00"/>
    <n v="8"/>
    <s v="Federal Medical Centre Owerri"/>
    <x v="3"/>
    <s v="Dr. Chioma Nwankwo"/>
    <x v="4"/>
    <n v="20663"/>
    <s v="Metformin"/>
    <n v="8"/>
    <n v="110"/>
    <n v="32.5"/>
    <s v="Abnormal"/>
    <x v="0"/>
  </r>
  <r>
    <x v="1898"/>
    <s v="Chukwudi Adebayo"/>
    <n v="18"/>
    <x v="2"/>
    <x v="0"/>
    <s v="A-"/>
    <x v="2"/>
    <x v="1"/>
    <x v="580"/>
    <d v="2022-07-04T00:00:00"/>
    <n v="11"/>
    <s v="Federal Medical Centre Birnin Kebbi"/>
    <x v="2"/>
    <s v="Dr. Zainab Sule"/>
    <x v="1"/>
    <n v="25206.45"/>
    <s v="Aspirin"/>
    <n v="9"/>
    <n v="135"/>
    <n v="29.2"/>
    <s v="Normal"/>
    <x v="0"/>
  </r>
  <r>
    <x v="1899"/>
    <s v="Nnamdi Aliyu"/>
    <n v="39"/>
    <x v="5"/>
    <x v="0"/>
    <s v="B-"/>
    <x v="1"/>
    <x v="2"/>
    <x v="1223"/>
    <d v="2021-05-24T00:00:00"/>
    <n v="2"/>
    <s v="Ahmadu Bello University Teaching Hospital"/>
    <x v="2"/>
    <s v="Dr. Ibrahim Musa"/>
    <x v="1"/>
    <n v="12981.77"/>
    <s v="Liraglutide"/>
    <n v="8"/>
    <n v="181"/>
    <n v="37.4"/>
    <s v="Abnormal"/>
    <x v="0"/>
  </r>
  <r>
    <x v="1900"/>
    <s v="Emmanuel Salami"/>
    <n v="39"/>
    <x v="5"/>
    <x v="0"/>
    <s v="B+"/>
    <x v="7"/>
    <x v="2"/>
    <x v="512"/>
    <d v="2024-12-03T00:00:00"/>
    <n v="2"/>
    <s v="Aminu Kano Teaching Hospital"/>
    <x v="2"/>
    <s v="Dr. Musa Aliyu"/>
    <x v="1"/>
    <n v="28596"/>
    <s v="Calcium"/>
    <n v="4"/>
    <n v="406"/>
    <n v="14"/>
    <s v="Normal"/>
    <x v="0"/>
  </r>
  <r>
    <x v="1901"/>
    <s v="Bukola Danjuma"/>
    <n v="51"/>
    <x v="5"/>
    <x v="1"/>
    <s v="O-"/>
    <x v="1"/>
    <x v="0"/>
    <x v="1224"/>
    <d v="2019-06-04T00:00:00"/>
    <n v="7"/>
    <s v="Federal Medical Centre Birnin Kebbi"/>
    <x v="2"/>
    <s v="Dr. Taiwo Adeleke"/>
    <x v="0"/>
    <n v="18746"/>
    <s v="Sitagliptin"/>
    <n v="8"/>
    <n v="175"/>
    <n v="29.1"/>
    <s v="Abnormal"/>
    <x v="0"/>
  </r>
  <r>
    <x v="1902"/>
    <s v="Daniel Anderson"/>
    <n v="73"/>
    <x v="4"/>
    <x v="0"/>
    <s v="A-"/>
    <x v="5"/>
    <x v="2"/>
    <x v="1153"/>
    <d v="2022-11-01T00:00:00"/>
    <n v="7"/>
    <s v="Aminu Kano Teaching Hospital"/>
    <x v="2"/>
    <s v="Dr. Adewale Ogundimu"/>
    <x v="1"/>
    <n v="76386.03"/>
    <s v="Digoxin"/>
    <n v="10"/>
    <n v="215"/>
    <n v="32.9"/>
    <s v="Abnormal"/>
    <x v="0"/>
  </r>
  <r>
    <x v="1903"/>
    <s v="Femi Williams"/>
    <n v="55"/>
    <x v="3"/>
    <x v="0"/>
    <s v="A+"/>
    <x v="0"/>
    <x v="1"/>
    <x v="155"/>
    <d v="2019-11-29T00:00:00"/>
    <n v="13"/>
    <s v="Lagos University Teaching Hospital"/>
    <x v="1"/>
    <s v="Dr. Babatunde Fashola"/>
    <x v="1"/>
    <n v="69974"/>
    <s v="Tamoxifen"/>
    <n v="12"/>
    <n v="180"/>
    <n v="22.3"/>
    <s v="Inconclusive"/>
    <x v="0"/>
  </r>
  <r>
    <x v="1904"/>
    <s v="Ngozi Davis"/>
    <n v="55"/>
    <x v="3"/>
    <x v="1"/>
    <s v="B-"/>
    <x v="0"/>
    <x v="1"/>
    <x v="315"/>
    <d v="2021-03-08T00:00:00"/>
    <n v="10"/>
    <s v="Federal Medical Centre Asaba"/>
    <x v="0"/>
    <s v="Dr. Amara Osei"/>
    <x v="2"/>
    <n v="31788.77"/>
    <s v="Paclitaxel"/>
    <n v="11"/>
    <n v="172"/>
    <n v="18.7"/>
    <s v="Abnormal"/>
    <x v="1"/>
  </r>
  <r>
    <x v="1905"/>
    <s v="Peter Yakubu"/>
    <n v="74"/>
    <x v="4"/>
    <x v="0"/>
    <s v="A-"/>
    <x v="5"/>
    <x v="2"/>
    <x v="462"/>
    <d v="2019-03-07T00:00:00"/>
    <n v="12"/>
    <s v="University College Hospital Ibadan"/>
    <x v="1"/>
    <s v="Dr. Emeka Okorie"/>
    <x v="0"/>
    <n v="62490.35"/>
    <s v="Amlodipine"/>
    <n v="7"/>
    <n v="483"/>
    <n v="22.5"/>
    <s v="Abnormal"/>
    <x v="1"/>
  </r>
  <r>
    <x v="1906"/>
    <s v="Nneka Okeke"/>
    <n v="85"/>
    <x v="1"/>
    <x v="1"/>
    <s v="A-"/>
    <x v="2"/>
    <x v="1"/>
    <x v="1225"/>
    <m/>
    <m/>
    <s v="Bowen University Teaching Hospital"/>
    <x v="1"/>
    <s v="Dr. Zainab Sule"/>
    <x v="3"/>
    <n v="41661.97"/>
    <s v="Valproate"/>
    <n v="9"/>
    <n v="179"/>
    <n v="21.2"/>
    <s v="Abnormal"/>
    <x v="0"/>
  </r>
  <r>
    <x v="1907"/>
    <s v="John Ajala"/>
    <n v="13"/>
    <x v="0"/>
    <x v="0"/>
    <s v="O-"/>
    <x v="4"/>
    <x v="1"/>
    <x v="931"/>
    <d v="2019-02-05T00:00:00"/>
    <n v="2"/>
    <s v="Federal Medical Centre Birnin Kebbi"/>
    <x v="2"/>
    <s v="Dr. Segun Banke"/>
    <x v="0"/>
    <n v="6541.8"/>
    <s v="Omeprazole"/>
    <n v="5"/>
    <n v="179"/>
    <n v="23.2"/>
    <s v="Normal"/>
    <x v="1"/>
  </r>
  <r>
    <x v="1908"/>
    <s v="Chukwudi Fashola"/>
    <n v="78"/>
    <x v="1"/>
    <x v="0"/>
    <s v="A+"/>
    <x v="5"/>
    <x v="1"/>
    <x v="1226"/>
    <d v="2022-05-28T00:00:00"/>
    <n v="5"/>
    <s v="Federal Medical Centre Asaba"/>
    <x v="0"/>
    <s v="Dr. Emeka Okorie"/>
    <x v="3"/>
    <n v="44149.79"/>
    <s v="Digoxin"/>
    <n v="10"/>
    <n v="109"/>
    <n v="37.6"/>
    <s v="Inconclusive"/>
    <x v="0"/>
  </r>
  <r>
    <x v="1909"/>
    <s v="Ifeanyi Bankole"/>
    <n v="41"/>
    <x v="5"/>
    <x v="0"/>
    <s v="A-"/>
    <x v="0"/>
    <x v="2"/>
    <x v="210"/>
    <d v="2022-12-01T00:00:00"/>
    <n v="13"/>
    <s v="Federal Medical Centre Owerri"/>
    <x v="3"/>
    <s v="Dr. Grace Oduya"/>
    <x v="2"/>
    <n v="119005.01"/>
    <s v="Filgrastim"/>
    <n v="12"/>
    <n v="246"/>
    <n v="24.9"/>
    <s v="Normal"/>
    <x v="0"/>
  </r>
  <r>
    <x v="1910"/>
    <s v="David Thompson"/>
    <n v="66"/>
    <x v="4"/>
    <x v="0"/>
    <s v="B-"/>
    <x v="1"/>
    <x v="0"/>
    <x v="1227"/>
    <d v="2020-11-03T00:00:00"/>
    <n v="6"/>
    <s v="Federal Medical Centre Asaba"/>
    <x v="0"/>
    <s v="Dr. Ibrahim Musa"/>
    <x v="0"/>
    <n v="20393.89"/>
    <s v="Insulin Glargine"/>
    <n v="8"/>
    <n v="446"/>
    <n v="34.299999999999997"/>
    <s v="Abnormal"/>
    <x v="0"/>
  </r>
  <r>
    <x v="1911"/>
    <s v="Chidi Taylor"/>
    <n v="58"/>
    <x v="3"/>
    <x v="0"/>
    <s v="B+"/>
    <x v="6"/>
    <x v="0"/>
    <x v="41"/>
    <d v="2021-10-24T00:00:00"/>
    <n v="3"/>
    <s v="Federal Medical Centre Owerri"/>
    <x v="3"/>
    <s v="Dr. Yusuf Danjuma"/>
    <x v="2"/>
    <n v="21236.67"/>
    <s v="Tiotropium"/>
    <n v="6"/>
    <n v="362"/>
    <n v="33.5"/>
    <s v="Abnormal"/>
    <x v="0"/>
  </r>
  <r>
    <x v="1912"/>
    <s v="Rebecca Johnson"/>
    <n v="54"/>
    <x v="5"/>
    <x v="1"/>
    <s v="O+"/>
    <x v="0"/>
    <x v="1"/>
    <x v="1228"/>
    <d v="2023-08-23T00:00:00"/>
    <n v="8"/>
    <s v="Federal Medical Centre Birnin Kebbi"/>
    <x v="2"/>
    <s v="Dr. Grace Oduya"/>
    <x v="0"/>
    <n v="88407.16"/>
    <s v="Bevacizumab"/>
    <n v="12"/>
    <n v="189"/>
    <n v="28.4"/>
    <s v="Abnormal"/>
    <x v="0"/>
  </r>
  <r>
    <x v="1913"/>
    <s v="Samuel Ogbonna"/>
    <n v="73"/>
    <x v="4"/>
    <x v="0"/>
    <s v="A+"/>
    <x v="2"/>
    <x v="0"/>
    <x v="22"/>
    <d v="2019-06-21T00:00:00"/>
    <n v="7"/>
    <s v="Federal Medical Centre Asaba"/>
    <x v="0"/>
    <s v="Dr. Olumide Abiodun"/>
    <x v="1"/>
    <n v="46587.9"/>
    <s v="Topiramate"/>
    <n v="8"/>
    <n v="362"/>
    <n v="16.100000000000001"/>
    <s v="Abnormal"/>
    <x v="1"/>
  </r>
  <r>
    <x v="1914"/>
    <s v="Daniel Obi"/>
    <n v="51"/>
    <x v="5"/>
    <x v="0"/>
    <s v="A+"/>
    <x v="4"/>
    <x v="1"/>
    <x v="1229"/>
    <d v="2023-11-02T00:00:00"/>
    <n v="1"/>
    <s v="University College Hospital Ibadan"/>
    <x v="1"/>
    <s v="Dr. Aisha Bello"/>
    <x v="2"/>
    <n v="13988.89"/>
    <s v="Mesalazine"/>
    <n v="1"/>
    <n v="124"/>
    <n v="35.4"/>
    <s v="Normal"/>
    <x v="0"/>
  </r>
  <r>
    <x v="1915"/>
    <s v="Grace Nwosu"/>
    <n v="2"/>
    <x v="0"/>
    <x v="1"/>
    <s v="O+"/>
    <x v="0"/>
    <x v="1"/>
    <x v="587"/>
    <d v="2022-10-31T00:00:00"/>
    <n v="12"/>
    <s v="Ahmadu Bello University Teaching Hospital"/>
    <x v="2"/>
    <s v="Dr. Grace Oduya"/>
    <x v="0"/>
    <n v="15680.73"/>
    <s v="Cyclophosphamide"/>
    <n v="12"/>
    <n v="187"/>
    <n v="29.2"/>
    <s v="Abnormal"/>
    <x v="0"/>
  </r>
  <r>
    <x v="1916"/>
    <s v="Adewale Yakubu"/>
    <n v="61"/>
    <x v="3"/>
    <x v="0"/>
    <s v="AB-"/>
    <x v="7"/>
    <x v="1"/>
    <x v="341"/>
    <d v="2022-01-22T00:00:00"/>
    <n v="1"/>
    <s v="Federal Medical Centre Owerri"/>
    <x v="3"/>
    <s v="Dr. Sarah Adeyemi"/>
    <x v="3"/>
    <n v="37014.18"/>
    <s v="Calcium"/>
    <n v="4"/>
    <n v="176"/>
    <n v="34.6"/>
    <s v="Normal"/>
    <x v="1"/>
  </r>
  <r>
    <x v="1917"/>
    <s v="Suleiman Bello"/>
    <n v="38"/>
    <x v="5"/>
    <x v="0"/>
    <s v="O-"/>
    <x v="6"/>
    <x v="0"/>
    <x v="280"/>
    <d v="2020-09-29T00:00:00"/>
    <n v="4"/>
    <s v="Ahmadu Bello University Teaching Hospital"/>
    <x v="2"/>
    <s v="Dr. Halima Usman"/>
    <x v="3"/>
    <n v="42192.51"/>
    <s v="Ipratropium"/>
    <n v="7"/>
    <n v="391"/>
    <n v="34"/>
    <s v="Normal"/>
    <x v="0"/>
  </r>
  <r>
    <x v="1918"/>
    <s v="Funke Ibrahim"/>
    <n v="28"/>
    <x v="2"/>
    <x v="1"/>
    <s v="AB+"/>
    <x v="1"/>
    <x v="0"/>
    <x v="1230"/>
    <d v="2019-10-10T00:00:00"/>
    <n v="6"/>
    <s v="Federal Medical Centre Owerri"/>
    <x v="3"/>
    <s v="Dr. Ibrahim Musa"/>
    <x v="1"/>
    <n v="16687.25"/>
    <s v="Dapagliflozin"/>
    <n v="8"/>
    <n v="417"/>
    <n v="24.5"/>
    <s v="Normal"/>
    <x v="0"/>
  </r>
  <r>
    <x v="1919"/>
    <s v="Babatunde Akintola"/>
    <n v="19"/>
    <x v="2"/>
    <x v="0"/>
    <s v="B+"/>
    <x v="3"/>
    <x v="2"/>
    <x v="1231"/>
    <d v="2023-04-16T00:00:00"/>
    <n v="7"/>
    <s v="Federal Medical Centre Owerri"/>
    <x v="3"/>
    <s v="Dr. Lanre Ogundele"/>
    <x v="0"/>
    <n v="22862.720000000001"/>
    <s v="Metronidazole"/>
    <n v="5"/>
    <n v="231"/>
    <n v="36.5"/>
    <s v="Normal"/>
    <x v="0"/>
  </r>
  <r>
    <x v="1920"/>
    <s v="Emeka Salami"/>
    <n v="59"/>
    <x v="3"/>
    <x v="0"/>
    <s v="A-"/>
    <x v="5"/>
    <x v="2"/>
    <x v="175"/>
    <d v="2023-01-29T00:00:00"/>
    <n v="8"/>
    <s v="University of Calabar Teaching Hospital"/>
    <x v="0"/>
    <s v="Dr. Emeka Okorie"/>
    <x v="4"/>
    <n v="44306.82"/>
    <s v="Spironolactone"/>
    <n v="7"/>
    <n v="301"/>
    <n v="40.799999999999997"/>
    <s v="Inconclusive"/>
    <x v="1"/>
  </r>
  <r>
    <x v="1921"/>
    <s v="Emmanuel Ibrahim"/>
    <n v="52"/>
    <x v="5"/>
    <x v="0"/>
    <s v="AB+"/>
    <x v="5"/>
    <x v="1"/>
    <x v="181"/>
    <d v="2019-05-23T00:00:00"/>
    <n v="8"/>
    <s v="Lagos University Teaching Hospital"/>
    <x v="1"/>
    <s v="Dr. Emeka Okorie"/>
    <x v="3"/>
    <n v="27699.94"/>
    <s v="Amiodarone"/>
    <n v="7"/>
    <n v="110"/>
    <m/>
    <s v="Abnormal"/>
    <x v="0"/>
  </r>
  <r>
    <x v="1922"/>
    <s v="Perpetua Ibrahim"/>
    <n v="48"/>
    <x v="5"/>
    <x v="1"/>
    <s v="O+"/>
    <x v="1"/>
    <x v="2"/>
    <x v="1232"/>
    <d v="2024-08-22T00:00:00"/>
    <n v="5"/>
    <s v="Bowen University Teaching Hospital"/>
    <x v="1"/>
    <s v="Dr. Ibrahim Musa"/>
    <x v="0"/>
    <n v="8183.57"/>
    <s v="Sitagliptin"/>
    <n v="5"/>
    <n v="410"/>
    <n v="25.2"/>
    <s v="Abnormal"/>
    <x v="0"/>
  </r>
  <r>
    <x v="1923"/>
    <s v="Fatima Musa"/>
    <n v="68"/>
    <x v="4"/>
    <x v="1"/>
    <s v="A-"/>
    <x v="6"/>
    <x v="2"/>
    <x v="1233"/>
    <d v="2024-01-07T00:00:00"/>
    <n v="3"/>
    <s v="University College Hospital Ibadan"/>
    <x v="1"/>
    <s v="Dr. Ngozi Eze-Williams"/>
    <x v="3"/>
    <n v="24696.66"/>
    <s v="Prednisolone"/>
    <n v="5"/>
    <n v="254"/>
    <n v="32.6"/>
    <s v="Abnormal"/>
    <x v="0"/>
  </r>
  <r>
    <x v="1924"/>
    <s v="Adewale Fashola"/>
    <n v="64"/>
    <x v="3"/>
    <x v="0"/>
    <s v="B-"/>
    <x v="5"/>
    <x v="0"/>
    <x v="1234"/>
    <d v="2021-06-19T00:00:00"/>
    <n v="7"/>
    <s v="Ahmadu Bello University Teaching Hospital"/>
    <x v="2"/>
    <s v="Dr. Fatima Al-Hassan"/>
    <x v="1"/>
    <n v="127848.21"/>
    <s v="Metoprolol"/>
    <n v="10"/>
    <n v="302"/>
    <n v="25.1"/>
    <s v="Abnormal"/>
    <x v="0"/>
  </r>
  <r>
    <x v="1925"/>
    <s v="Kayode Lawan"/>
    <n v="84"/>
    <x v="1"/>
    <x v="0"/>
    <s v="A+"/>
    <x v="0"/>
    <x v="1"/>
    <x v="1128"/>
    <d v="2021-05-13T00:00:00"/>
    <n v="7"/>
    <s v="National Hospital Abuja"/>
    <x v="4"/>
    <s v="Dr. Grace Oduya"/>
    <x v="3"/>
    <n v="81239.58"/>
    <s v="Tamoxifen"/>
    <n v="11"/>
    <n v="121"/>
    <n v="21.5"/>
    <s v="Abnormal"/>
    <x v="0"/>
  </r>
  <r>
    <x v="1926"/>
    <s v="Rachel Okeke"/>
    <n v="31"/>
    <x v="2"/>
    <x v="1"/>
    <s v="B+"/>
    <x v="4"/>
    <x v="0"/>
    <x v="1235"/>
    <d v="2023-03-31T00:00:00"/>
    <n v="5"/>
    <s v="Federal Medical Centre Birnin Kebbi"/>
    <x v="2"/>
    <s v="Dr. Segun Banke"/>
    <x v="0"/>
    <n v="10024.870000000001"/>
    <s v="Loperamide"/>
    <n v="5"/>
    <n v="417"/>
    <n v="20.8"/>
    <s v="Normal"/>
    <x v="0"/>
  </r>
  <r>
    <x v="1927"/>
    <s v="Chukwudi Akintola"/>
    <n v="28"/>
    <x v="2"/>
    <x v="0"/>
    <s v="A-"/>
    <x v="6"/>
    <x v="1"/>
    <x v="1228"/>
    <d v="2023-08-20T00:00:00"/>
    <n v="5"/>
    <s v="Lagos University Teaching Hospital"/>
    <x v="1"/>
    <s v="Dr. Ngozi Eze-Williams"/>
    <x v="0"/>
    <n v="7623"/>
    <s v="Salbutamol"/>
    <n v="5"/>
    <n v="122"/>
    <n v="22.2"/>
    <s v="Inconclusive"/>
    <x v="0"/>
  </r>
  <r>
    <x v="1928"/>
    <s v="Tolulope Anderson"/>
    <n v="76"/>
    <x v="1"/>
    <x v="1"/>
    <s v="O+"/>
    <x v="5"/>
    <x v="0"/>
    <x v="1233"/>
    <d v="2024-04-14T00:00:00"/>
    <n v="13"/>
    <s v="Federal Medical Centre Birnin Kebbi"/>
    <x v="2"/>
    <s v="Dr. Emeka Okorie"/>
    <x v="0"/>
    <n v="79836"/>
    <s v="Metoprolol"/>
    <n v="7"/>
    <n v="360"/>
    <n v="39.9"/>
    <s v="Inconclusive"/>
    <x v="1"/>
  </r>
  <r>
    <x v="1929"/>
    <s v="Yusuf Moore"/>
    <n v="36"/>
    <x v="5"/>
    <x v="0"/>
    <s v="AB-"/>
    <x v="6"/>
    <x v="2"/>
    <x v="1236"/>
    <d v="2021-04-08T00:00:00"/>
    <n v="4"/>
    <s v="Federal Medical Centre Asaba"/>
    <x v="0"/>
    <s v="Dr. Yusuf Danjuma"/>
    <x v="2"/>
    <n v="14845.75"/>
    <s v="Montelukast"/>
    <n v="6"/>
    <n v="115"/>
    <n v="30.5"/>
    <s v="Normal"/>
    <x v="0"/>
  </r>
  <r>
    <x v="1930"/>
    <s v="Aisha Ajala"/>
    <n v="67"/>
    <x v="4"/>
    <x v="1"/>
    <s v="AB+"/>
    <x v="0"/>
    <x v="0"/>
    <x v="91"/>
    <d v="2021-02-27T00:00:00"/>
    <n v="10"/>
    <s v="Federal Medical Centre Asaba"/>
    <x v="0"/>
    <s v="Dr. Babatunde Fashola"/>
    <x v="0"/>
    <n v="74440.45"/>
    <s v="Ondansetron"/>
    <n v="11"/>
    <n v="300"/>
    <n v="14"/>
    <s v="Abnormal"/>
    <x v="0"/>
  </r>
  <r>
    <x v="1931"/>
    <s v="Emmanuel Akintola"/>
    <n v="36"/>
    <x v="5"/>
    <x v="0"/>
    <s v="O+"/>
    <x v="5"/>
    <x v="2"/>
    <x v="994"/>
    <d v="2019-06-03T00:00:00"/>
    <n v="7"/>
    <s v="Aminu Kano Teaching Hospital"/>
    <x v="2"/>
    <s v="Dr. Fatima Al-Hassan"/>
    <x v="1"/>
    <n v="104972.05"/>
    <s v="Amlodipine"/>
    <n v="10"/>
    <n v="255"/>
    <n v="23.8"/>
    <s v="Abnormal"/>
    <x v="0"/>
  </r>
  <r>
    <x v="1932"/>
    <s v="Oluwaseun Obi"/>
    <n v="58"/>
    <x v="3"/>
    <x v="0"/>
    <s v="AB+"/>
    <x v="3"/>
    <x v="1"/>
    <x v="1237"/>
    <d v="2021-01-21T00:00:00"/>
    <n v="3"/>
    <s v="Federal Medical Centre Asaba"/>
    <x v="0"/>
    <s v="Dr. Kemi Adeyemi"/>
    <x v="3"/>
    <n v="28902"/>
    <s v="Amoxicillin"/>
    <n v="6"/>
    <n v="108"/>
    <n v="29"/>
    <s v="Normal"/>
    <x v="0"/>
  </r>
  <r>
    <x v="1933"/>
    <s v="Tolulope Johnson"/>
    <n v="88"/>
    <x v="1"/>
    <x v="1"/>
    <s v="B+"/>
    <x v="0"/>
    <x v="1"/>
    <x v="1191"/>
    <d v="2020-05-12T00:00:00"/>
    <n v="11"/>
    <s v="Aminu Kano Teaching Hospital"/>
    <x v="2"/>
    <s v="Dr. Grace Oduya"/>
    <x v="2"/>
    <n v="107847"/>
    <s v="Tamoxifen"/>
    <n v="12"/>
    <n v="174"/>
    <n v="19.899999999999999"/>
    <s v="Normal"/>
    <x v="0"/>
  </r>
  <r>
    <x v="1934"/>
    <s v="Chidi Taylor"/>
    <n v="55"/>
    <x v="3"/>
    <x v="0"/>
    <s v=""/>
    <x v="7"/>
    <x v="1"/>
    <x v="1238"/>
    <d v="2019-08-21T00:00:00"/>
    <n v="3"/>
    <s v="Federal Medical Centre Owerri"/>
    <x v="3"/>
    <s v="Dr. Chukwuemeka Nwosu"/>
    <x v="0"/>
    <n v="29036.03"/>
    <s v="Calcium"/>
    <n v="5"/>
    <n v="189"/>
    <n v="32.1"/>
    <s v="Abnormal"/>
    <x v="0"/>
  </r>
  <r>
    <x v="1935"/>
    <s v="Michael Johnson"/>
    <n v="56"/>
    <x v="3"/>
    <x v="0"/>
    <s v="O-"/>
    <x v="5"/>
    <x v="1"/>
    <x v="428"/>
    <d v="2024-03-18T00:00:00"/>
    <n v="6"/>
    <s v="Ahmadu Bello University Teaching Hospital"/>
    <x v="2"/>
    <s v="Dr. Adewale Ogundimu"/>
    <x v="2"/>
    <n v="61694.75"/>
    <s v="Digoxin"/>
    <n v="10"/>
    <n v="174"/>
    <n v="25.9"/>
    <s v="Abnormal"/>
    <x v="0"/>
  </r>
  <r>
    <x v="1936"/>
    <s v="Peter Moore"/>
    <n v="65"/>
    <x v="4"/>
    <x v="0"/>
    <s v="O-"/>
    <x v="2"/>
    <x v="2"/>
    <x v="1051"/>
    <d v="2022-05-26T00:00:00"/>
    <n v="8"/>
    <s v="Federal Medical Centre Asaba"/>
    <x v="0"/>
    <s v="Dr. Zainab Sule"/>
    <x v="0"/>
    <n v="62923"/>
    <s v="Phenytoin"/>
    <n v="9"/>
    <n v="248"/>
    <n v="25.9"/>
    <s v="Inconclusive"/>
    <x v="0"/>
  </r>
  <r>
    <x v="1937"/>
    <s v="Chioma Okeke"/>
    <n v="46"/>
    <x v="5"/>
    <x v="1"/>
    <s v="A+"/>
    <x v="4"/>
    <x v="1"/>
    <x v="1239"/>
    <d v="2020-08-21T00:00:00"/>
    <n v="3"/>
    <s v="University College Hospital Ibadan"/>
    <x v="1"/>
    <s v="Dr. Nnamdi Okafor"/>
    <x v="0"/>
    <n v="6912.8"/>
    <s v="Mesalazine"/>
    <n v="2"/>
    <n v="165"/>
    <n v="33.4"/>
    <s v="Inconclusive"/>
    <x v="1"/>
  </r>
  <r>
    <x v="1938"/>
    <s v="Rachel Sule"/>
    <n v="64"/>
    <x v="3"/>
    <x v="1"/>
    <s v="B+"/>
    <x v="2"/>
    <x v="0"/>
    <x v="1240"/>
    <d v="2020-03-15T00:00:00"/>
    <n v="5"/>
    <s v="Bowen University Teaching Hospital"/>
    <x v="1"/>
    <s v="Dr. Olumide Abiodun"/>
    <x v="3"/>
    <n v="157600.60999999999"/>
    <s v="Clopidogrel"/>
    <n v="9"/>
    <n v="349"/>
    <n v="29.6"/>
    <s v="Abnormal"/>
    <x v="0"/>
  </r>
  <r>
    <x v="1939"/>
    <s v="Esther Johnson"/>
    <n v="74"/>
    <x v="4"/>
    <x v="1"/>
    <s v="O+"/>
    <x v="2"/>
    <x v="0"/>
    <x v="506"/>
    <d v="2024-05-03T00:00:00"/>
    <n v="5"/>
    <s v="National Hospital Abuja"/>
    <x v="4"/>
    <s v="Dr. Zainab Sule"/>
    <x v="2"/>
    <n v="124028.92"/>
    <s v="Gabapentin"/>
    <n v="9"/>
    <n v="362"/>
    <n v="21.4"/>
    <s v="Normal"/>
    <x v="0"/>
  </r>
  <r>
    <x v="1940"/>
    <s v="Fatima Eze"/>
    <n v="60"/>
    <x v="3"/>
    <x v="1"/>
    <s v="O-"/>
    <x v="0"/>
    <x v="3"/>
    <x v="1241"/>
    <d v="2020-07-26T00:00:00"/>
    <n v="7"/>
    <s v="University College Hospital Ibadan"/>
    <x v="1"/>
    <s v="Dr. Babatunde Fashola"/>
    <x v="3"/>
    <n v="271786.5"/>
    <s v="Carboplatin"/>
    <n v="12"/>
    <n v="417"/>
    <n v="25.1"/>
    <s v="Normal"/>
    <x v="0"/>
  </r>
  <r>
    <x v="1941"/>
    <s v="Rebecca Adeleke"/>
    <n v="56"/>
    <x v="3"/>
    <x v="1"/>
    <s v="B+"/>
    <x v="1"/>
    <x v="1"/>
    <x v="1242"/>
    <d v="2020-12-06T00:00:00"/>
    <n v="4"/>
    <s v="Federal Medical Centre Owerri"/>
    <x v="3"/>
    <s v="Dr. Taiwo Adeleke"/>
    <x v="1"/>
    <n v="11801.19"/>
    <s v="Insulin Glargine"/>
    <n v="8"/>
    <n v="171"/>
    <n v="25"/>
    <s v="Inconclusive"/>
    <x v="0"/>
  </r>
  <r>
    <x v="1942"/>
    <s v="Chioma Brown"/>
    <n v="58"/>
    <x v="3"/>
    <x v="1"/>
    <s v="B-"/>
    <x v="6"/>
    <x v="2"/>
    <x v="1243"/>
    <d v="2021-10-11T00:00:00"/>
    <n v="8"/>
    <s v="Federal Medical Centre Birnin Kebbi"/>
    <x v="2"/>
    <s v="Dr. Halima Usman"/>
    <x v="0"/>
    <n v="7927.26"/>
    <s v="Azithromycin"/>
    <n v="7"/>
    <n v="466"/>
    <n v="30.9"/>
    <s v="Abnormal"/>
    <x v="0"/>
  </r>
  <r>
    <x v="1943"/>
    <s v="Taiwo Garba"/>
    <n v="69"/>
    <x v="4"/>
    <x v="1"/>
    <s v="AB+"/>
    <x v="5"/>
    <x v="2"/>
    <x v="1153"/>
    <d v="2022-11-05T00:00:00"/>
    <n v="11"/>
    <s v="Aminu Kano Teaching Hospital"/>
    <x v="2"/>
    <s v="Dr. Fatima Al-Hassan"/>
    <x v="4"/>
    <n v="35964.550000000003"/>
    <s v="Amiodarone"/>
    <n v="7"/>
    <n v="257"/>
    <n v="32.4"/>
    <s v="Abnormal"/>
    <x v="0"/>
  </r>
  <r>
    <x v="1944"/>
    <s v="Babatunde Yakubu"/>
    <n v="82"/>
    <x v="1"/>
    <x v="0"/>
    <s v="AB-"/>
    <x v="6"/>
    <x v="2"/>
    <x v="1244"/>
    <d v="2021-11-07T00:00:00"/>
    <n v="3"/>
    <s v="Lagos University Teaching Hospital"/>
    <x v="1"/>
    <s v="Dr. Yusuf Danjuma"/>
    <x v="1"/>
    <n v="20794.54"/>
    <s v="Tiotropium"/>
    <n v="7"/>
    <n v="428"/>
    <n v="22.6"/>
    <s v="Abnormal"/>
    <x v="1"/>
  </r>
  <r>
    <x v="1945"/>
    <s v="Femi Wilson"/>
    <n v="90"/>
    <x v="1"/>
    <x v="0"/>
    <s v="AB+"/>
    <x v="1"/>
    <x v="0"/>
    <x v="416"/>
    <d v="2020-10-14T00:00:00"/>
    <n v="4"/>
    <s v="University College Hospital Ibadan"/>
    <x v="1"/>
    <s v="Dr. Chioma Nwankwo"/>
    <x v="3"/>
    <n v="57241.27"/>
    <s v="Empagliflozin"/>
    <n v="6"/>
    <n v="347"/>
    <n v="37.799999999999997"/>
    <s v="Inconclusive"/>
    <x v="0"/>
  </r>
  <r>
    <x v="1946"/>
    <s v="Femi Ogbonna"/>
    <n v="56"/>
    <x v="3"/>
    <x v="0"/>
    <s v="O-"/>
    <x v="7"/>
    <x v="0"/>
    <x v="626"/>
    <m/>
    <m/>
    <s v="Lagos University Teaching Hospital"/>
    <x v="1"/>
    <s v="Dr. Chukwuemeka Nwosu"/>
    <x v="4"/>
    <n v="37477.120000000003"/>
    <s v="Enoxaparin"/>
    <n v="4"/>
    <n v="232"/>
    <n v="30.3"/>
    <s v="Normal"/>
    <x v="0"/>
  </r>
  <r>
    <x v="1947"/>
    <s v="Tunde Johnson"/>
    <n v="67"/>
    <x v="4"/>
    <x v="0"/>
    <s v="B+"/>
    <x v="6"/>
    <x v="0"/>
    <x v="236"/>
    <d v="2022-10-16T00:00:00"/>
    <n v="4"/>
    <s v="University College Hospital Ibadan"/>
    <x v="1"/>
    <s v="Dr. Yusuf Danjuma"/>
    <x v="2"/>
    <n v="39127.839999999997"/>
    <s v="Azithromycin"/>
    <n v="7"/>
    <n v="338"/>
    <n v="32"/>
    <s v="Inconclusive"/>
    <x v="0"/>
  </r>
  <r>
    <x v="1948"/>
    <s v="Chioma Bello"/>
    <n v="92"/>
    <x v="1"/>
    <x v="1"/>
    <s v="O-"/>
    <x v="7"/>
    <x v="1"/>
    <x v="660"/>
    <d v="2023-04-17T00:00:00"/>
    <n v="3"/>
    <s v="Lagos University Teaching Hospital"/>
    <x v="1"/>
    <s v="Dr. Musa Aliyu"/>
    <x v="1"/>
    <n v="45647.97"/>
    <s v="Celecoxib"/>
    <n v="6"/>
    <n v="186"/>
    <n v="30.1"/>
    <s v="Normal"/>
    <x v="0"/>
  </r>
  <r>
    <x v="1949"/>
    <s v="Bukola Smith"/>
    <n v="59"/>
    <x v="3"/>
    <x v="1"/>
    <s v="A-"/>
    <x v="5"/>
    <x v="0"/>
    <x v="169"/>
    <d v="2024-11-18T00:00:00"/>
    <n v="16"/>
    <s v="Lagos University Teaching Hospital"/>
    <x v="1"/>
    <s v="Dr. Fatima Al-Hassan"/>
    <x v="1"/>
    <n v="130607"/>
    <s v="Warfarin"/>
    <n v="10"/>
    <n v="342"/>
    <n v="32.200000000000003"/>
    <s v="Inconclusive"/>
    <x v="0"/>
  </r>
  <r>
    <x v="1950"/>
    <s v="Sarah Yakubu"/>
    <n v="57"/>
    <x v="3"/>
    <x v="1"/>
    <s v="AB+"/>
    <x v="7"/>
    <x v="1"/>
    <x v="1245"/>
    <d v="2019-07-02T00:00:00"/>
    <n v="5"/>
    <s v="Lagos University Teaching Hospital"/>
    <x v="1"/>
    <s v="Dr. Chukwuemeka Nwosu"/>
    <x v="4"/>
    <n v="20572.18"/>
    <s v="Tramadol"/>
    <n v="6"/>
    <n v="188"/>
    <n v="30.8"/>
    <s v="Normal"/>
    <x v="0"/>
  </r>
  <r>
    <x v="1951"/>
    <s v="John Oni"/>
    <n v="29"/>
    <x v="2"/>
    <x v="0"/>
    <s v="O+"/>
    <x v="5"/>
    <x v="0"/>
    <x v="1246"/>
    <d v="2019-04-25T00:00:00"/>
    <n v="11"/>
    <s v="Federal Medical Centre Owerri"/>
    <x v="3"/>
    <s v="Dr. Adewale Ogundimu"/>
    <x v="1"/>
    <n v="44626.400000000001"/>
    <s v="Amlodipine"/>
    <n v="10"/>
    <n v="362"/>
    <n v="19.3"/>
    <s v="Inconclusive"/>
    <x v="0"/>
  </r>
  <r>
    <x v="1952"/>
    <s v="James Akintola"/>
    <n v="44"/>
    <x v="5"/>
    <x v="0"/>
    <s v="B-"/>
    <x v="5"/>
    <x v="0"/>
    <x v="1247"/>
    <d v="2022-12-01T00:00:00"/>
    <n v="24"/>
    <s v="University of Calabar Teaching Hospital"/>
    <x v="0"/>
    <s v="Dr. Adewale Ogundimu"/>
    <x v="0"/>
    <n v="83965.21"/>
    <s v="Digoxin"/>
    <n v="6"/>
    <n v="304"/>
    <n v="24.4"/>
    <s v="Abnormal"/>
    <x v="1"/>
  </r>
  <r>
    <x v="1953"/>
    <s v="Ifeanyi Johnson"/>
    <n v="31"/>
    <x v="2"/>
    <x v="0"/>
    <s v="B-"/>
    <x v="5"/>
    <x v="0"/>
    <x v="563"/>
    <d v="2020-10-25T00:00:00"/>
    <n v="9"/>
    <s v="Federal Medical Centre Asaba"/>
    <x v="0"/>
    <s v="Dr. Emeka Okorie"/>
    <x v="0"/>
    <n v="54064.83"/>
    <s v="Aspirin"/>
    <n v="8"/>
    <n v="339"/>
    <n v="43.3"/>
    <s v="Abnormal"/>
    <x v="0"/>
  </r>
  <r>
    <x v="1954"/>
    <s v="Chukwudi Davis"/>
    <n v="60"/>
    <x v="3"/>
    <x v="0"/>
    <s v="AB+"/>
    <x v="5"/>
    <x v="1"/>
    <x v="1064"/>
    <d v="2019-05-07T00:00:00"/>
    <n v="8"/>
    <s v="Lagos University Teaching Hospital"/>
    <x v="1"/>
    <s v="Dr. Adewale Ogundimu"/>
    <x v="1"/>
    <n v="27577.200000000001"/>
    <s v="Atorvastatin"/>
    <n v="9"/>
    <n v="100"/>
    <n v="34.5"/>
    <s v="Normal"/>
    <x v="0"/>
  </r>
  <r>
    <x v="1955"/>
    <s v="Elizabeth Okafor"/>
    <n v="64"/>
    <x v="3"/>
    <x v="1"/>
    <s v="AB+"/>
    <x v="4"/>
    <x v="3"/>
    <x v="1027"/>
    <d v="2019-10-06T00:00:00"/>
    <n v="7"/>
    <s v="Federal Medical Centre Owerri"/>
    <x v="3"/>
    <s v="Dr. Nnamdi Okafor"/>
    <x v="0"/>
    <n v="9585.6"/>
    <s v="Mesalazine"/>
    <n v="5"/>
    <n v="324"/>
    <n v="27.9"/>
    <s v="Abnormal"/>
    <x v="0"/>
  </r>
  <r>
    <x v="1956"/>
    <s v="Fatima Salami"/>
    <n v="70"/>
    <x v="4"/>
    <x v="1"/>
    <s v="B-"/>
    <x v="5"/>
    <x v="1"/>
    <x v="680"/>
    <d v="2022-02-28T00:00:00"/>
    <n v="4"/>
    <s v="Ahmadu Bello University Teaching Hospital"/>
    <x v="2"/>
    <s v="Dr. Fatima Al-Hassan"/>
    <x v="1"/>
    <n v="33318.050000000003"/>
    <s v="Atorvastatin"/>
    <n v="10"/>
    <n v="108"/>
    <n v="24.1"/>
    <s v="Abnormal"/>
    <x v="0"/>
  </r>
  <r>
    <x v="1957"/>
    <s v="Mary Okonkwo"/>
    <n v="70"/>
    <x v="4"/>
    <x v="1"/>
    <s v="B+"/>
    <x v="2"/>
    <x v="0"/>
    <x v="409"/>
    <d v="2023-07-24T00:00:00"/>
    <n v="10"/>
    <s v="Ahmadu Bello University Teaching Hospital"/>
    <x v="2"/>
    <s v="Dr. Olumide Abiodun"/>
    <x v="2"/>
    <n v="84839.46"/>
    <s v="Clopidogrel"/>
    <n v="9"/>
    <n v="335"/>
    <m/>
    <s v="Inconclusive"/>
    <x v="0"/>
  </r>
  <r>
    <x v="1958"/>
    <s v="Daniel Chukwu"/>
    <n v="58"/>
    <x v="3"/>
    <x v="0"/>
    <s v="B-"/>
    <x v="5"/>
    <x v="1"/>
    <x v="358"/>
    <d v="2019-10-11T00:00:00"/>
    <n v="16"/>
    <s v="Aminu Kano Teaching Hospital"/>
    <x v="2"/>
    <s v="Dr. Adewale Ogundimu"/>
    <x v="2"/>
    <n v="51211"/>
    <s v="Spironolactone"/>
    <n v="10"/>
    <n v="172"/>
    <n v="36.5"/>
    <s v="Abnormal"/>
    <x v="0"/>
  </r>
  <r>
    <x v="1959"/>
    <s v="Chidi Akintola"/>
    <n v="54"/>
    <x v="5"/>
    <x v="0"/>
    <s v="A-"/>
    <x v="2"/>
    <x v="0"/>
    <x v="1248"/>
    <d v="2022-12-07T00:00:00"/>
    <n v="8"/>
    <s v="Aminu Kano Teaching Hospital"/>
    <x v="2"/>
    <s v="Dr. Olumide Abiodun"/>
    <x v="2"/>
    <n v="38434.949999999997"/>
    <s v="Levetiracetam"/>
    <n v="9"/>
    <n v="394"/>
    <m/>
    <s v="Inconclusive"/>
    <x v="0"/>
  </r>
  <r>
    <x v="1960"/>
    <s v="Aisha Fashola"/>
    <n v="22"/>
    <x v="2"/>
    <x v="1"/>
    <s v="B-"/>
    <x v="2"/>
    <x v="0"/>
    <x v="278"/>
    <d v="2020-08-12T00:00:00"/>
    <n v="19"/>
    <s v="Federal Medical Centre Asaba"/>
    <x v="0"/>
    <s v="Dr. Rotimi Fashola"/>
    <x v="0"/>
    <n v="31501.01"/>
    <s v="Memantine"/>
    <n v="8"/>
    <n v="364"/>
    <n v="20.2"/>
    <s v="Normal"/>
    <x v="0"/>
  </r>
  <r>
    <x v="1961"/>
    <s v="Mary Garba"/>
    <n v="66"/>
    <x v="4"/>
    <x v="1"/>
    <s v="O-"/>
    <x v="7"/>
    <x v="2"/>
    <x v="1249"/>
    <d v="2019-04-27T00:00:00"/>
    <n v="4"/>
    <s v="Federal Medical Centre Owerri"/>
    <x v="3"/>
    <s v="Dr. Chukwuemeka Nwosu"/>
    <x v="1"/>
    <n v="49620.54"/>
    <s v="Enoxaparin"/>
    <n v="6"/>
    <n v="232"/>
    <n v="28"/>
    <s v="Normal"/>
    <x v="0"/>
  </r>
  <r>
    <x v="1962"/>
    <s v="Taiwo Obi"/>
    <n v="37"/>
    <x v="5"/>
    <x v="1"/>
    <s v="B+"/>
    <x v="7"/>
    <x v="0"/>
    <x v="298"/>
    <d v="2023-12-21T00:00:00"/>
    <n v="4"/>
    <s v="Federal Medical Centre Asaba"/>
    <x v="0"/>
    <s v="Dr. Musa Aliyu"/>
    <x v="0"/>
    <n v="33963.57"/>
    <s v="Celecoxib"/>
    <n v="2"/>
    <n v="472"/>
    <n v="24.6"/>
    <s v="Normal"/>
    <x v="0"/>
  </r>
  <r>
    <x v="1963"/>
    <s v="Uche Williams"/>
    <n v="62"/>
    <x v="3"/>
    <x v="0"/>
    <s v="AB+"/>
    <x v="5"/>
    <x v="0"/>
    <x v="1250"/>
    <d v="2020-07-16T00:00:00"/>
    <n v="12"/>
    <s v="Bowen University Teaching Hospital"/>
    <x v="1"/>
    <s v="Dr. Fatima Al-Hassan"/>
    <x v="0"/>
    <n v="55187.28"/>
    <s v="Amlodipine"/>
    <n v="8"/>
    <n v="335"/>
    <n v="25.4"/>
    <s v="Abnormal"/>
    <x v="0"/>
  </r>
  <r>
    <x v="1964"/>
    <s v="Amaka Lawal"/>
    <n v="64"/>
    <x v="3"/>
    <x v="1"/>
    <s v="B+"/>
    <x v="3"/>
    <x v="0"/>
    <x v="58"/>
    <d v="2019-12-16T00:00:00"/>
    <n v="14"/>
    <s v="National Hospital Abuja"/>
    <x v="4"/>
    <s v="Dr. Precious Obi"/>
    <x v="0"/>
    <n v="51727"/>
    <s v="Amoxicillin"/>
    <n v="4"/>
    <n v="407"/>
    <n v="29.2"/>
    <s v="Normal"/>
    <x v="0"/>
  </r>
  <r>
    <x v="1965"/>
    <s v="Amaka Okafor"/>
    <n v="57"/>
    <x v="3"/>
    <x v="1"/>
    <s v="B-"/>
    <x v="5"/>
    <x v="2"/>
    <x v="1251"/>
    <d v="2024-05-25T00:00:00"/>
    <n v="9"/>
    <s v="Aminu Kano Teaching Hospital"/>
    <x v="2"/>
    <s v="Dr. Emeka Okorie"/>
    <x v="0"/>
    <n v="44794.11"/>
    <s v="Amlodipine"/>
    <n v="9"/>
    <n v="223"/>
    <n v="35.1"/>
    <s v="Inconclusive"/>
    <x v="1"/>
  </r>
  <r>
    <x v="1966"/>
    <s v="Gbenga Garba"/>
    <n v="74"/>
    <x v="4"/>
    <x v="0"/>
    <s v="B-"/>
    <x v="6"/>
    <x v="0"/>
    <x v="1252"/>
    <d v="2024-11-22T00:00:00"/>
    <n v="6"/>
    <s v="Federal Medical Centre Birnin Kebbi"/>
    <x v="2"/>
    <s v="Dr. Yusuf Danjuma"/>
    <x v="2"/>
    <n v="34676.86"/>
    <s v="Salbutamol"/>
    <n v="7"/>
    <n v="377"/>
    <n v="31.4"/>
    <s v="Inconclusive"/>
    <x v="0"/>
  </r>
  <r>
    <x v="1967"/>
    <s v="Deborah Okafor"/>
    <n v="85"/>
    <x v="1"/>
    <x v="1"/>
    <s v="O-"/>
    <x v="3"/>
    <x v="0"/>
    <x v="482"/>
    <d v="2023-02-22T00:00:00"/>
    <n v="17"/>
    <s v="Lagos University Teaching Hospital"/>
    <x v="1"/>
    <s v="Dr. Kemi Adeyemi"/>
    <x v="0"/>
    <n v="44444.68"/>
    <s v="Amoxicillin"/>
    <n v="5"/>
    <n v="279"/>
    <n v="33.1"/>
    <s v="Normal"/>
    <x v="0"/>
  </r>
  <r>
    <x v="1968"/>
    <s v="Ruth Wilson"/>
    <n v="55"/>
    <x v="3"/>
    <x v="1"/>
    <s v="B+"/>
    <x v="7"/>
    <x v="1"/>
    <x v="1163"/>
    <d v="2020-04-08T00:00:00"/>
    <n v="2"/>
    <s v="Aminu Kano Teaching Hospital"/>
    <x v="2"/>
    <s v="Dr. Musa Aliyu"/>
    <x v="1"/>
    <n v="30820.36"/>
    <s v="Celecoxib"/>
    <n v="6"/>
    <n v="181"/>
    <n v="30.7"/>
    <s v="Normal"/>
    <x v="0"/>
  </r>
  <r>
    <x v="1969"/>
    <s v="David Danjuma"/>
    <n v="25"/>
    <x v="2"/>
    <x v="0"/>
    <s v="A+"/>
    <x v="1"/>
    <x v="1"/>
    <x v="412"/>
    <d v="2019-10-29T00:00:00"/>
    <n v="2"/>
    <s v="Federal Medical Centre Birnin Kebbi"/>
    <x v="2"/>
    <s v="Dr. Ibrahim Musa"/>
    <x v="4"/>
    <n v="6322.82"/>
    <s v="Empagliflozin"/>
    <n v="8"/>
    <n v="121"/>
    <m/>
    <s v="Abnormal"/>
    <x v="0"/>
  </r>
  <r>
    <x v="1970"/>
    <s v="Lanre Igwe"/>
    <n v="66"/>
    <x v="4"/>
    <x v="0"/>
    <s v="A-"/>
    <x v="7"/>
    <x v="2"/>
    <x v="1253"/>
    <d v="2021-01-22T00:00:00"/>
    <n v="5"/>
    <s v="Bowen University Teaching Hospital"/>
    <x v="1"/>
    <s v="Dr. Chukwuemeka Nwosu"/>
    <x v="2"/>
    <n v="32160.55"/>
    <s v="Calcium"/>
    <n v="3"/>
    <n v="356"/>
    <n v="30.8"/>
    <s v="Normal"/>
    <x v="0"/>
  </r>
  <r>
    <x v="1971"/>
    <s v="Lanre Ajala"/>
    <n v="79"/>
    <x v="1"/>
    <x v="0"/>
    <s v="A+"/>
    <x v="5"/>
    <x v="2"/>
    <x v="1254"/>
    <d v="2022-04-18T00:00:00"/>
    <n v="8"/>
    <s v="Federal Medical Centre Asaba"/>
    <x v="0"/>
    <s v="Dr. Emeka Okorie"/>
    <x v="4"/>
    <n v="40273.65"/>
    <s v="Digoxin"/>
    <n v="8"/>
    <n v="337"/>
    <n v="18.3"/>
    <s v="Abnormal"/>
    <x v="1"/>
  </r>
  <r>
    <x v="1972"/>
    <s v="Perpetua Ibrahim"/>
    <n v="71"/>
    <x v="4"/>
    <x v="1"/>
    <s v="O-"/>
    <x v="1"/>
    <x v="2"/>
    <x v="1255"/>
    <d v="2020-11-06T00:00:00"/>
    <n v="6"/>
    <s v="Ahmadu Bello University Teaching Hospital"/>
    <x v="2"/>
    <s v="Dr. Ibrahim Musa"/>
    <x v="0"/>
    <n v="25526.46"/>
    <s v="Empagliflozin"/>
    <n v="8"/>
    <n v="187"/>
    <n v="28.4"/>
    <s v="Abnormal"/>
    <x v="0"/>
  </r>
  <r>
    <x v="1973"/>
    <s v="Rebecca Obi"/>
    <n v="60"/>
    <x v="3"/>
    <x v="1"/>
    <s v="B+"/>
    <x v="5"/>
    <x v="0"/>
    <x v="41"/>
    <d v="2021-10-11T00:00:00"/>
    <n v="20"/>
    <s v="Federal Medical Centre Birnin Kebbi"/>
    <x v="2"/>
    <s v="Dr. Fatima Al-Hassan"/>
    <x v="0"/>
    <n v="54016.639999999999"/>
    <s v="Digoxin"/>
    <n v="10"/>
    <n v="362"/>
    <n v="28.1"/>
    <s v="Abnormal"/>
    <x v="1"/>
  </r>
  <r>
    <x v="1974"/>
    <s v="Ifeoma Eze"/>
    <n v="70"/>
    <x v="4"/>
    <x v="1"/>
    <s v="B-"/>
    <x v="6"/>
    <x v="0"/>
    <x v="578"/>
    <d v="2023-12-04T00:00:00"/>
    <n v="6"/>
    <s v="Bowen University Teaching Hospital"/>
    <x v="1"/>
    <s v="Dr. Yusuf Danjuma"/>
    <x v="4"/>
    <n v="30876.44"/>
    <s v="Tiotropium"/>
    <n v="7"/>
    <n v="382"/>
    <n v="31"/>
    <s v="Abnormal"/>
    <x v="0"/>
  </r>
  <r>
    <x v="1975"/>
    <s v="Lanre Moore"/>
    <n v="66"/>
    <x v="4"/>
    <x v="0"/>
    <s v="A+"/>
    <x v="6"/>
    <x v="0"/>
    <x v="1256"/>
    <d v="2021-02-20T00:00:00"/>
    <n v="8"/>
    <s v="Federal Medical Centre Birnin Kebbi"/>
    <x v="2"/>
    <s v="Dr. Yusuf Danjuma"/>
    <x v="2"/>
    <n v="49366.55"/>
    <s v="Salbutamol"/>
    <n v="7"/>
    <n v="336"/>
    <n v="28.5"/>
    <s v="Inconclusive"/>
    <x v="0"/>
  </r>
  <r>
    <x v="1976"/>
    <s v="Peter Brown"/>
    <n v="56"/>
    <x v="3"/>
    <x v="0"/>
    <s v="O-"/>
    <x v="1"/>
    <x v="0"/>
    <x v="138"/>
    <d v="2020-08-28T00:00:00"/>
    <n v="8"/>
    <s v="University College Hospital Ibadan"/>
    <x v="1"/>
    <s v="Dr. Taiwo Adeleke"/>
    <x v="0"/>
    <n v="26724.36"/>
    <s v="Insulin Glargine"/>
    <n v="5"/>
    <n v="317"/>
    <n v="25"/>
    <s v="Normal"/>
    <x v="0"/>
  </r>
  <r>
    <x v="1977"/>
    <s v="Chioma Okonkwo"/>
    <n v="76"/>
    <x v="1"/>
    <x v="1"/>
    <s v="A-"/>
    <x v="1"/>
    <x v="2"/>
    <x v="4"/>
    <d v="2019-10-15T00:00:00"/>
    <n v="4"/>
    <s v="Lagos University Teaching Hospital"/>
    <x v="1"/>
    <s v="Dr. Taiwo Adeleke"/>
    <x v="4"/>
    <n v="17106.349999999999"/>
    <s v="Glibenclamide"/>
    <n v="8"/>
    <n v="308"/>
    <n v="32.9"/>
    <s v="Normal"/>
    <x v="1"/>
  </r>
  <r>
    <x v="1978"/>
    <s v="John Chukwu"/>
    <n v="72"/>
    <x v="4"/>
    <x v="0"/>
    <s v="B+"/>
    <x v="5"/>
    <x v="1"/>
    <x v="1257"/>
    <d v="2022-11-25T00:00:00"/>
    <n v="10"/>
    <s v="University College Hospital Ibadan"/>
    <x v="1"/>
    <s v="Dr. Emeka Okorie"/>
    <x v="1"/>
    <n v="95726.67"/>
    <s v="Digoxin"/>
    <n v="9"/>
    <n v="144"/>
    <n v="28"/>
    <s v="Abnormal"/>
    <x v="1"/>
  </r>
  <r>
    <x v="1979"/>
    <s v="Chukwuemeka Fashola"/>
    <n v="17"/>
    <x v="0"/>
    <x v="0"/>
    <s v="AB+"/>
    <x v="6"/>
    <x v="0"/>
    <x v="338"/>
    <d v="2019-10-02T00:00:00"/>
    <n v="6"/>
    <s v="University of Calabar Teaching Hospital"/>
    <x v="0"/>
    <s v="Dr. Ngozi Eze-Williams"/>
    <x v="1"/>
    <n v="30063.8"/>
    <s v="Prednisolone"/>
    <n v="7"/>
    <n v="376"/>
    <n v="34.4"/>
    <s v="Normal"/>
    <x v="0"/>
  </r>
  <r>
    <x v="1980"/>
    <s v="Hauwa Martin"/>
    <n v="48"/>
    <x v="5"/>
    <x v="1"/>
    <s v="O+"/>
    <x v="0"/>
    <x v="1"/>
    <x v="281"/>
    <d v="2019-05-14T00:00:00"/>
    <n v="13"/>
    <s v="University of Calabar Teaching Hospital"/>
    <x v="0"/>
    <s v="Dr. Grace Oduya"/>
    <x v="0"/>
    <n v="24642.61"/>
    <s v="Letrozole"/>
    <n v="12"/>
    <n v="181"/>
    <n v="27.6"/>
    <s v="Normal"/>
    <x v="0"/>
  </r>
  <r>
    <x v="1981"/>
    <s v="Taiwo Ogbonna"/>
    <n v="68"/>
    <x v="4"/>
    <x v="1"/>
    <s v="AB+"/>
    <x v="1"/>
    <x v="0"/>
    <x v="1258"/>
    <d v="2022-03-12T00:00:00"/>
    <n v="8"/>
    <s v="Ahmadu Bello University Teaching Hospital"/>
    <x v="2"/>
    <s v="Dr. Ibrahim Musa"/>
    <x v="0"/>
    <n v="26392"/>
    <s v="Liraglutide"/>
    <n v="8"/>
    <n v="275"/>
    <n v="33.9"/>
    <s v="Abnormal"/>
    <x v="1"/>
  </r>
  <r>
    <x v="1982"/>
    <s v="Adenike Onuoha"/>
    <n v="74"/>
    <x v="4"/>
    <x v="1"/>
    <s v="O-"/>
    <x v="3"/>
    <x v="2"/>
    <x v="1259"/>
    <d v="2024-02-01T00:00:00"/>
    <n v="2"/>
    <s v="Ahmadu Bello University Teaching Hospital"/>
    <x v="2"/>
    <s v="Dr. Lanre Ogundele"/>
    <x v="1"/>
    <n v="32535.65"/>
    <s v="Paracetamol"/>
    <n v="4"/>
    <n v="301"/>
    <n v="34.4"/>
    <s v="Abnormal"/>
    <x v="0"/>
  </r>
  <r>
    <x v="1983"/>
    <s v="Joseph Eze"/>
    <n v="72"/>
    <x v="4"/>
    <x v="0"/>
    <s v="B-"/>
    <x v="1"/>
    <x v="2"/>
    <x v="1183"/>
    <d v="2020-07-03T00:00:00"/>
    <n v="4"/>
    <s v="Bowen University Teaching Hospital"/>
    <x v="1"/>
    <s v="Dr. Ibrahim Musa"/>
    <x v="1"/>
    <n v="27680.39"/>
    <s v="Metformin"/>
    <n v="5"/>
    <n v="116"/>
    <n v="28.6"/>
    <s v="Abnormal"/>
    <x v="0"/>
  </r>
  <r>
    <x v="1984"/>
    <s v="Nnamdi Ibrahim"/>
    <n v="53"/>
    <x v="5"/>
    <x v="0"/>
    <s v="O+"/>
    <x v="7"/>
    <x v="0"/>
    <x v="1260"/>
    <d v="2024-07-27T00:00:00"/>
    <n v="12"/>
    <s v="Bowen University Teaching Hospital"/>
    <x v="1"/>
    <s v="Dr. Chukwuemeka Nwosu"/>
    <x v="0"/>
    <n v="49908.93"/>
    <s v="Tramadol"/>
    <n v="6"/>
    <n v="106"/>
    <m/>
    <s v="Normal"/>
    <x v="0"/>
  </r>
  <r>
    <x v="1985"/>
    <s v="Lanre Anderson"/>
    <n v="79"/>
    <x v="1"/>
    <x v="0"/>
    <s v="B-"/>
    <x v="5"/>
    <x v="0"/>
    <x v="461"/>
    <d v="2024-10-12T00:00:00"/>
    <n v="7"/>
    <s v="Bowen University Teaching Hospital"/>
    <x v="1"/>
    <s v="Dr. Adewale Ogundimu"/>
    <x v="1"/>
    <n v="106069.21"/>
    <s v="Furosemide"/>
    <n v="10"/>
    <n v="357"/>
    <n v="29.1"/>
    <s v="Abnormal"/>
    <x v="0"/>
  </r>
  <r>
    <x v="1986"/>
    <s v="Zainab Okonkwo"/>
    <n v="46"/>
    <x v="5"/>
    <x v="1"/>
    <s v="B-"/>
    <x v="0"/>
    <x v="3"/>
    <x v="270"/>
    <d v="2021-10-27T00:00:00"/>
    <n v="19"/>
    <s v="University of Calabar Teaching Hospital"/>
    <x v="0"/>
    <s v="Dr. Grace Oduya"/>
    <x v="0"/>
    <n v="39256.46"/>
    <s v="Trastuzumab"/>
    <n v="12"/>
    <n v="472"/>
    <n v="15"/>
    <s v="Normal"/>
    <x v="0"/>
  </r>
  <r>
    <x v="1987"/>
    <s v="Uche Eze"/>
    <n v="66"/>
    <x v="4"/>
    <x v="0"/>
    <s v="AB-"/>
    <x v="6"/>
    <x v="1"/>
    <x v="1261"/>
    <d v="2019-01-31T00:00:00"/>
    <n v="4"/>
    <s v="University of Calabar Teaching Hospital"/>
    <x v="0"/>
    <s v="Dr. Halima Usman"/>
    <x v="0"/>
    <n v="12854"/>
    <s v="Prednisolone"/>
    <n v="6"/>
    <n v="117"/>
    <n v="24"/>
    <s v="Normal"/>
    <x v="0"/>
  </r>
  <r>
    <x v="1988"/>
    <s v="Rachel Chukwu"/>
    <n v="82"/>
    <x v="1"/>
    <x v="1"/>
    <s v="A+"/>
    <x v="7"/>
    <x v="1"/>
    <x v="1262"/>
    <d v="2021-08-02T00:00:00"/>
    <n v="3"/>
    <s v="Ahmadu Bello University Teaching Hospital"/>
    <x v="2"/>
    <s v="Dr. Sarah Adeyemi"/>
    <x v="0"/>
    <n v="38765.53"/>
    <s v="Calcium"/>
    <n v="6"/>
    <n v="142"/>
    <n v="22.3"/>
    <s v="Normal"/>
    <x v="0"/>
  </r>
  <r>
    <x v="1989"/>
    <s v="Ibrahim Musa"/>
    <n v="40"/>
    <x v="5"/>
    <x v="0"/>
    <s v="B-"/>
    <x v="1"/>
    <x v="0"/>
    <x v="607"/>
    <d v="2020-06-08T00:00:00"/>
    <n v="8"/>
    <s v="Federal Medical Centre Asaba"/>
    <x v="0"/>
    <s v="Dr. Taiwo Adeleke"/>
    <x v="0"/>
    <n v="34112.120000000003"/>
    <s v="Sitagliptin"/>
    <n v="8"/>
    <n v="350"/>
    <n v="33.799999999999997"/>
    <s v="Inconclusive"/>
    <x v="0"/>
  </r>
  <r>
    <x v="1990"/>
    <s v="Blessing Chukwu"/>
    <n v="49"/>
    <x v="5"/>
    <x v="1"/>
    <s v="O+"/>
    <x v="5"/>
    <x v="0"/>
    <x v="862"/>
    <d v="2023-10-13T00:00:00"/>
    <n v="9"/>
    <s v="Ahmadu Bello University Teaching Hospital"/>
    <x v="2"/>
    <s v="Dr. Adewale Ogundimu"/>
    <x v="3"/>
    <n v="219138.17"/>
    <s v="Metoprolol"/>
    <n v="10"/>
    <n v="347"/>
    <n v="28.5"/>
    <s v="Abnormal"/>
    <x v="0"/>
  </r>
  <r>
    <x v="1991"/>
    <s v="Kunle Martin"/>
    <n v="39"/>
    <x v="5"/>
    <x v="0"/>
    <s v="A-"/>
    <x v="5"/>
    <x v="0"/>
    <x v="715"/>
    <d v="2019-05-16T00:00:00"/>
    <n v="12"/>
    <s v="Federal Medical Centre Asaba"/>
    <x v="0"/>
    <s v="Dr. Emeka Okorie"/>
    <x v="1"/>
    <n v="55275.76"/>
    <s v="Furosemide"/>
    <n v="7"/>
    <n v="339"/>
    <n v="27.2"/>
    <s v="Abnormal"/>
    <x v="0"/>
  </r>
  <r>
    <x v="1992"/>
    <s v="Yusuf Eze"/>
    <n v="41"/>
    <x v="5"/>
    <x v="0"/>
    <s v="A-"/>
    <x v="6"/>
    <x v="0"/>
    <x v="1072"/>
    <d v="2023-01-08T00:00:00"/>
    <n v="4"/>
    <s v="Federal Medical Centre Birnin Kebbi"/>
    <x v="2"/>
    <s v="Dr. Ngozi Eze-Williams"/>
    <x v="1"/>
    <n v="21146.31"/>
    <s v="Theophylline"/>
    <n v="4"/>
    <n v="303"/>
    <n v="27.3"/>
    <s v="Inconclusive"/>
    <x v="0"/>
  </r>
  <r>
    <x v="1993"/>
    <s v="Kayode Obi"/>
    <n v="89"/>
    <x v="1"/>
    <x v="0"/>
    <s v="A+"/>
    <x v="6"/>
    <x v="2"/>
    <x v="1263"/>
    <d v="2019-11-17T00:00:00"/>
    <n v="4"/>
    <s v="Ahmadu Bello University Teaching Hospital"/>
    <x v="2"/>
    <s v="Dr. Halima Usman"/>
    <x v="2"/>
    <n v="39396"/>
    <s v="Ipratropium"/>
    <n v="6"/>
    <n v="429"/>
    <n v="27.5"/>
    <s v="Abnormal"/>
    <x v="0"/>
  </r>
  <r>
    <x v="1994"/>
    <s v="Miriam Onuoha"/>
    <n v="81"/>
    <x v="1"/>
    <x v="1"/>
    <s v="A+"/>
    <x v="7"/>
    <x v="1"/>
    <x v="619"/>
    <d v="2019-07-09T00:00:00"/>
    <n v="2"/>
    <s v="Federal Medical Centre Asaba"/>
    <x v="0"/>
    <s v="Dr. Musa Aliyu"/>
    <x v="0"/>
    <n v="34800.94"/>
    <s v="Calcium"/>
    <n v="5"/>
    <n v="101"/>
    <n v="21"/>
    <s v="Abnormal"/>
    <x v="1"/>
  </r>
  <r>
    <x v="1995"/>
    <s v="Ifeoma Bankole"/>
    <n v="70"/>
    <x v="4"/>
    <x v="1"/>
    <s v="A+"/>
    <x v="1"/>
    <x v="0"/>
    <x v="1264"/>
    <d v="2022-02-19T00:00:00"/>
    <n v="5"/>
    <s v="University College Hospital Ibadan"/>
    <x v="1"/>
    <s v="Dr. Ibrahim Musa"/>
    <x v="2"/>
    <n v="68437.710000000006"/>
    <s v="Insulin Glargine"/>
    <n v="8"/>
    <n v="172"/>
    <n v="30.2"/>
    <s v="Abnormal"/>
    <x v="0"/>
  </r>
  <r>
    <x v="1996"/>
    <s v="Yusuf Johnson"/>
    <n v="72"/>
    <x v="4"/>
    <x v="0"/>
    <s v="O-"/>
    <x v="4"/>
    <x v="1"/>
    <x v="536"/>
    <d v="2021-06-19T00:00:00"/>
    <n v="1"/>
    <s v="Federal Medical Centre Asaba"/>
    <x v="0"/>
    <s v="Dr. Aisha Bello"/>
    <x v="1"/>
    <n v="18830.939999999999"/>
    <s v="Mesalazine"/>
    <n v="5"/>
    <n v="178"/>
    <n v="29.1"/>
    <s v="Inconclusive"/>
    <x v="0"/>
  </r>
  <r>
    <x v="1997"/>
    <s v="Peter Davis"/>
    <n v="10"/>
    <x v="0"/>
    <x v="0"/>
    <s v="B-"/>
    <x v="6"/>
    <x v="1"/>
    <x v="1265"/>
    <d v="2019-11-15T00:00:00"/>
    <n v="7"/>
    <s v="Aminu Kano Teaching Hospital"/>
    <x v="2"/>
    <s v="Dr. Ngozi Eze-Williams"/>
    <x v="4"/>
    <n v="5881.46"/>
    <s v="Tiotropium"/>
    <n v="6"/>
    <n v="183"/>
    <m/>
    <s v="Normal"/>
    <x v="0"/>
  </r>
  <r>
    <x v="1998"/>
    <s v="Femi Okonkwo"/>
    <n v="61"/>
    <x v="3"/>
    <x v="0"/>
    <s v="AB+"/>
    <x v="5"/>
    <x v="0"/>
    <x v="1054"/>
    <d v="2019-02-21T00:00:00"/>
    <n v="7"/>
    <s v="Federal Medical Centre Owerri"/>
    <x v="3"/>
    <s v="Dr. Adewale Ogundimu"/>
    <x v="2"/>
    <n v="74085.11"/>
    <s v="Amlodipine"/>
    <n v="10"/>
    <n v="370"/>
    <n v="25.4"/>
    <s v="Normal"/>
    <x v="0"/>
  </r>
  <r>
    <x v="1999"/>
    <s v="Uche Okeke"/>
    <n v="30"/>
    <x v="2"/>
    <x v="0"/>
    <s v="B-"/>
    <x v="5"/>
    <x v="1"/>
    <x v="192"/>
    <d v="2023-10-10T00:00:00"/>
    <n v="6"/>
    <s v="Aminu Kano Teaching Hospital"/>
    <x v="2"/>
    <s v="Dr. Emeka Okorie"/>
    <x v="4"/>
    <n v="15845.38"/>
    <s v="Digoxin"/>
    <n v="6"/>
    <n v="188"/>
    <n v="21.7"/>
    <s v="Abnormal"/>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EE5ECA-C66B-4737-B043-6C5A8518F22C}"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I3:J5" firstHeaderRow="1" firstDataRow="1" firstDataCol="1"/>
  <pivotFields count="25">
    <pivotField showAll="0"/>
    <pivotField showAll="0"/>
    <pivotField showAll="0"/>
    <pivotField showAll="0">
      <items count="7">
        <item x="0"/>
        <item x="2"/>
        <item x="5"/>
        <item x="3"/>
        <item x="4"/>
        <item x="1"/>
        <item t="default"/>
      </items>
    </pivotField>
    <pivotField showAll="0">
      <items count="3">
        <item x="1"/>
        <item x="0"/>
        <item t="default"/>
      </items>
    </pivotField>
    <pivotField showAll="0"/>
    <pivotField showAll="0">
      <items count="9">
        <item x="5"/>
        <item x="1"/>
        <item x="4"/>
        <item x="3"/>
        <item x="2"/>
        <item x="0"/>
        <item x="7"/>
        <item x="6"/>
        <item t="default"/>
      </items>
    </pivotField>
    <pivotField axis="axisRow" showAll="0">
      <items count="5">
        <item h="1" x="1"/>
        <item x="0"/>
        <item h="1" x="3"/>
        <item h="1" x="2"/>
        <item t="default"/>
      </items>
    </pivotField>
    <pivotField numFmtId="164" showAll="0">
      <items count="1267">
        <item x="744"/>
        <item x="1173"/>
        <item x="529"/>
        <item x="1079"/>
        <item x="456"/>
        <item x="470"/>
        <item x="955"/>
        <item x="725"/>
        <item x="410"/>
        <item x="647"/>
        <item x="937"/>
        <item x="521"/>
        <item x="271"/>
        <item x="692"/>
        <item x="606"/>
        <item x="1261"/>
        <item x="928"/>
        <item x="926"/>
        <item x="797"/>
        <item x="1125"/>
        <item x="635"/>
        <item x="839"/>
        <item x="313"/>
        <item x="355"/>
        <item x="698"/>
        <item x="1054"/>
        <item x="977"/>
        <item x="254"/>
        <item x="609"/>
        <item x="68"/>
        <item x="624"/>
        <item x="462"/>
        <item x="801"/>
        <item x="996"/>
        <item x="1069"/>
        <item x="931"/>
        <item x="212"/>
        <item x="672"/>
        <item x="541"/>
        <item x="646"/>
        <item x="1105"/>
        <item x="842"/>
        <item x="554"/>
        <item x="53"/>
        <item x="527"/>
        <item x="969"/>
        <item x="190"/>
        <item x="1093"/>
        <item x="727"/>
        <item x="171"/>
        <item x="239"/>
        <item x="375"/>
        <item x="525"/>
        <item x="1201"/>
        <item x="837"/>
        <item x="209"/>
        <item x="1230"/>
        <item x="339"/>
        <item x="983"/>
        <item x="1246"/>
        <item x="290"/>
        <item x="1192"/>
        <item x="34"/>
        <item x="682"/>
        <item x="787"/>
        <item x="309"/>
        <item x="1249"/>
        <item x="870"/>
        <item x="1011"/>
        <item x="1088"/>
        <item x="1064"/>
        <item x="281"/>
        <item x="929"/>
        <item x="715"/>
        <item x="399"/>
        <item x="716"/>
        <item x="656"/>
        <item x="258"/>
        <item x="517"/>
        <item x="540"/>
        <item x="181"/>
        <item x="327"/>
        <item x="454"/>
        <item x="994"/>
        <item x="1224"/>
        <item x="906"/>
        <item x="146"/>
        <item x="681"/>
        <item x="961"/>
        <item x="975"/>
        <item x="942"/>
        <item x="143"/>
        <item x="751"/>
        <item x="304"/>
        <item x="22"/>
        <item x="49"/>
        <item x="75"/>
        <item x="294"/>
        <item x="162"/>
        <item x="763"/>
        <item x="1245"/>
        <item x="895"/>
        <item x="648"/>
        <item x="217"/>
        <item x="1067"/>
        <item x="849"/>
        <item x="897"/>
        <item x="737"/>
        <item x="847"/>
        <item x="546"/>
        <item x="654"/>
        <item x="1210"/>
        <item x="717"/>
        <item x="367"/>
        <item x="137"/>
        <item x="917"/>
        <item x="819"/>
        <item x="851"/>
        <item x="78"/>
        <item x="189"/>
        <item x="347"/>
        <item x="900"/>
        <item x="1150"/>
        <item x="876"/>
        <item x="1265"/>
        <item x="685"/>
        <item x="1217"/>
        <item x="441"/>
        <item x="1238"/>
        <item x="997"/>
        <item x="343"/>
        <item x="712"/>
        <item x="287"/>
        <item x="526"/>
        <item x="247"/>
        <item x="570"/>
        <item x="64"/>
        <item x="709"/>
        <item x="809"/>
        <item x="608"/>
        <item x="59"/>
        <item x="619"/>
        <item x="446"/>
        <item x="670"/>
        <item x="116"/>
        <item x="573"/>
        <item x="706"/>
        <item x="215"/>
        <item x="163"/>
        <item x="417"/>
        <item x="805"/>
        <item x="432"/>
        <item x="764"/>
        <item x="338"/>
        <item x="910"/>
        <item x="1027"/>
        <item x="33"/>
        <item x="547"/>
        <item x="973"/>
        <item x="538"/>
        <item x="707"/>
        <item x="933"/>
        <item x="403"/>
        <item x="4"/>
        <item x="1021"/>
        <item x="543"/>
        <item x="833"/>
        <item x="133"/>
        <item x="365"/>
        <item x="592"/>
        <item x="358"/>
        <item x="412"/>
        <item x="968"/>
        <item x="984"/>
        <item x="1144"/>
        <item x="448"/>
        <item x="431"/>
        <item x="545"/>
        <item x="262"/>
        <item x="405"/>
        <item x="770"/>
        <item x="1263"/>
        <item x="1169"/>
        <item x="114"/>
        <item x="155"/>
        <item x="283"/>
        <item x="267"/>
        <item x="768"/>
        <item x="887"/>
        <item x="945"/>
        <item x="387"/>
        <item x="1123"/>
        <item x="359"/>
        <item x="814"/>
        <item x="361"/>
        <item x="58"/>
        <item x="653"/>
        <item x="208"/>
        <item x="904"/>
        <item x="106"/>
        <item x="585"/>
        <item x="484"/>
        <item x="967"/>
        <item x="35"/>
        <item x="639"/>
        <item x="836"/>
        <item x="43"/>
        <item x="222"/>
        <item x="718"/>
        <item x="591"/>
        <item x="902"/>
        <item x="366"/>
        <item x="759"/>
        <item x="1092"/>
        <item x="383"/>
        <item x="742"/>
        <item x="509"/>
        <item x="575"/>
        <item x="95"/>
        <item x="127"/>
        <item x="480"/>
        <item x="558"/>
        <item x="535"/>
        <item x="1013"/>
        <item x="1028"/>
        <item x="1038"/>
        <item x="867"/>
        <item x="427"/>
        <item x="952"/>
        <item x="1197"/>
        <item x="726"/>
        <item x="583"/>
        <item x="879"/>
        <item x="894"/>
        <item x="816"/>
        <item x="919"/>
        <item x="1163"/>
        <item x="411"/>
        <item x="30"/>
        <item x="778"/>
        <item x="266"/>
        <item x="531"/>
        <item x="594"/>
        <item x="19"/>
        <item x="368"/>
        <item x="773"/>
        <item x="85"/>
        <item x="920"/>
        <item x="443"/>
        <item x="678"/>
        <item x="793"/>
        <item x="9"/>
        <item x="752"/>
        <item x="202"/>
        <item x="1240"/>
        <item x="993"/>
        <item x="151"/>
        <item x="178"/>
        <item x="269"/>
        <item x="481"/>
        <item x="152"/>
        <item x="72"/>
        <item x="1134"/>
        <item x="523"/>
        <item x="886"/>
        <item x="396"/>
        <item x="779"/>
        <item x="676"/>
        <item x="82"/>
        <item x="1080"/>
        <item x="1250"/>
        <item x="769"/>
        <item x="868"/>
        <item x="679"/>
        <item x="595"/>
        <item x="237"/>
        <item x="1198"/>
        <item x="1152"/>
        <item x="1090"/>
        <item x="426"/>
        <item x="200"/>
        <item x="149"/>
        <item x="101"/>
        <item x="914"/>
        <item x="440"/>
        <item x="590"/>
        <item x="483"/>
        <item x="16"/>
        <item x="827"/>
        <item x="1056"/>
        <item x="207"/>
        <item x="170"/>
        <item x="311"/>
        <item x="288"/>
        <item x="474"/>
        <item x="1204"/>
        <item x="1009"/>
        <item x="611"/>
        <item x="1165"/>
        <item x="990"/>
        <item x="153"/>
        <item x="520"/>
        <item x="326"/>
        <item x="582"/>
        <item x="447"/>
        <item x="195"/>
        <item x="519"/>
        <item x="107"/>
        <item x="641"/>
        <item x="855"/>
        <item x="260"/>
        <item x="508"/>
        <item x="664"/>
        <item x="1184"/>
        <item x="316"/>
        <item x="450"/>
        <item x="941"/>
        <item x="1183"/>
        <item x="60"/>
        <item x="93"/>
        <item x="44"/>
        <item x="398"/>
        <item x="812"/>
        <item x="1084"/>
        <item x="880"/>
        <item x="1019"/>
        <item x="1005"/>
        <item x="363"/>
        <item x="1241"/>
        <item x="903"/>
        <item x="42"/>
        <item x="278"/>
        <item x="513"/>
        <item x="1200"/>
        <item x="1061"/>
        <item x="607"/>
        <item x="599"/>
        <item x="486"/>
        <item x="39"/>
        <item x="1086"/>
        <item x="1242"/>
        <item x="144"/>
        <item x="605"/>
        <item x="1016"/>
        <item x="828"/>
        <item x="340"/>
        <item x="110"/>
        <item x="264"/>
        <item x="125"/>
        <item x="1190"/>
        <item x="1239"/>
        <item x="138"/>
        <item x="866"/>
        <item x="1107"/>
        <item x="173"/>
        <item x="467"/>
        <item x="702"/>
        <item x="86"/>
        <item x="831"/>
        <item x="927"/>
        <item x="145"/>
        <item x="14"/>
        <item x="971"/>
        <item x="193"/>
        <item x="1041"/>
        <item x="249"/>
        <item x="172"/>
        <item x="109"/>
        <item x="406"/>
        <item x="280"/>
        <item x="84"/>
        <item x="1008"/>
        <item x="699"/>
        <item x="767"/>
        <item x="1147"/>
        <item x="370"/>
        <item x="922"/>
        <item x="416"/>
        <item x="1133"/>
        <item x="985"/>
        <item x="563"/>
        <item x="789"/>
        <item x="330"/>
        <item x="964"/>
        <item x="487"/>
        <item x="1141"/>
        <item x="1117"/>
        <item x="1085"/>
        <item x="1227"/>
        <item x="1157"/>
        <item x="938"/>
        <item x="1255"/>
        <item x="962"/>
        <item x="505"/>
        <item x="413"/>
        <item x="838"/>
        <item x="50"/>
        <item x="666"/>
        <item x="507"/>
        <item x="890"/>
        <item x="419"/>
        <item x="113"/>
        <item x="510"/>
        <item x="491"/>
        <item x="8"/>
        <item x="112"/>
        <item x="633"/>
        <item x="76"/>
        <item x="1170"/>
        <item x="669"/>
        <item x="1191"/>
        <item x="766"/>
        <item x="913"/>
        <item x="244"/>
        <item x="488"/>
        <item x="425"/>
        <item x="415"/>
        <item x="684"/>
        <item x="268"/>
        <item x="1058"/>
        <item x="6"/>
        <item x="813"/>
        <item x="549"/>
        <item x="765"/>
        <item x="815"/>
        <item x="888"/>
        <item x="1199"/>
        <item x="1109"/>
        <item x="37"/>
        <item x="853"/>
        <item x="89"/>
        <item x="1194"/>
        <item x="1029"/>
        <item x="905"/>
        <item x="1075"/>
        <item x="194"/>
        <item x="925"/>
        <item x="810"/>
        <item x="1087"/>
        <item x="497"/>
        <item x="1146"/>
        <item x="1253"/>
        <item x="1237"/>
        <item x="1045"/>
        <item x="553"/>
        <item x="630"/>
        <item x="1213"/>
        <item x="159"/>
        <item x="1031"/>
        <item x="1100"/>
        <item x="802"/>
        <item x="473"/>
        <item x="23"/>
        <item x="1222"/>
        <item x="38"/>
        <item x="1256"/>
        <item x="1164"/>
        <item x="351"/>
        <item x="228"/>
        <item x="1129"/>
        <item x="91"/>
        <item x="251"/>
        <item x="62"/>
        <item x="1040"/>
        <item x="696"/>
        <item x="1172"/>
        <item x="1196"/>
        <item x="980"/>
        <item x="165"/>
        <item x="468"/>
        <item x="1243"/>
        <item x="197"/>
        <item x="1004"/>
        <item x="644"/>
        <item x="379"/>
        <item x="385"/>
        <item x="756"/>
        <item x="248"/>
        <item x="1113"/>
        <item x="360"/>
        <item x="1047"/>
        <item x="476"/>
        <item x="614"/>
        <item x="1139"/>
        <item x="148"/>
        <item x="566"/>
        <item x="776"/>
        <item x="615"/>
        <item x="621"/>
        <item x="1118"/>
        <item x="524"/>
        <item x="118"/>
        <item x="231"/>
        <item x="1221"/>
        <item x="183"/>
        <item x="253"/>
        <item x="864"/>
        <item x="312"/>
        <item x="775"/>
        <item x="584"/>
        <item x="671"/>
        <item x="88"/>
        <item x="1128"/>
        <item x="1119"/>
        <item x="807"/>
        <item x="830"/>
        <item x="883"/>
        <item x="77"/>
        <item x="1035"/>
        <item x="1208"/>
        <item x="235"/>
        <item x="1223"/>
        <item x="469"/>
        <item x="581"/>
        <item x="1148"/>
        <item x="1076"/>
        <item x="550"/>
        <item x="1189"/>
        <item x="1015"/>
        <item x="786"/>
        <item x="1106"/>
        <item x="714"/>
        <item x="479"/>
        <item x="1234"/>
        <item x="0"/>
        <item x="651"/>
        <item x="1219"/>
        <item x="536"/>
        <item x="373"/>
        <item x="166"/>
        <item x="826"/>
        <item x="691"/>
        <item x="1099"/>
        <item x="437"/>
        <item x="825"/>
        <item x="301"/>
        <item x="226"/>
        <item x="342"/>
        <item x="1006"/>
        <item x="80"/>
        <item x="1174"/>
        <item x="154"/>
        <item x="1205"/>
        <item x="1033"/>
        <item x="345"/>
        <item x="332"/>
        <item x="1"/>
        <item x="687"/>
        <item x="315"/>
        <item x="245"/>
        <item x="956"/>
        <item x="1262"/>
        <item x="1236"/>
        <item x="141"/>
        <item x="949"/>
        <item x="551"/>
        <item x="597"/>
        <item x="708"/>
        <item x="492"/>
        <item x="854"/>
        <item x="978"/>
        <item x="296"/>
        <item x="7"/>
        <item x="1050"/>
        <item x="46"/>
        <item x="1096"/>
        <item x="661"/>
        <item x="407"/>
        <item x="649"/>
        <item x="1073"/>
        <item x="386"/>
        <item x="502"/>
        <item x="1116"/>
        <item x="899"/>
        <item x="577"/>
        <item x="1032"/>
        <item x="199"/>
        <item x="121"/>
        <item x="458"/>
        <item x="108"/>
        <item x="246"/>
        <item x="477"/>
        <item x="921"/>
        <item x="954"/>
        <item x="219"/>
        <item x="270"/>
        <item x="645"/>
        <item x="10"/>
        <item x="1149"/>
        <item x="874"/>
        <item x="131"/>
        <item x="965"/>
        <item x="320"/>
        <item x="41"/>
        <item x="794"/>
        <item x="397"/>
        <item x="211"/>
        <item x="533"/>
        <item x="655"/>
        <item x="1034"/>
        <item x="65"/>
        <item x="804"/>
        <item x="1244"/>
        <item x="494"/>
        <item x="87"/>
        <item x="884"/>
        <item x="376"/>
        <item x="850"/>
        <item x="335"/>
        <item x="232"/>
        <item x="1181"/>
        <item x="636"/>
        <item x="701"/>
        <item x="992"/>
        <item x="485"/>
        <item x="643"/>
        <item x="979"/>
        <item x="1193"/>
        <item x="1001"/>
        <item x="81"/>
        <item x="356"/>
        <item x="495"/>
        <item x="29"/>
        <item x="188"/>
        <item x="140"/>
        <item x="92"/>
        <item x="94"/>
        <item x="618"/>
        <item x="21"/>
        <item x="785"/>
        <item x="325"/>
        <item x="841"/>
        <item x="574"/>
        <item x="1195"/>
        <item x="898"/>
        <item x="657"/>
        <item x="667"/>
        <item x="102"/>
        <item x="1111"/>
        <item x="382"/>
        <item x="1215"/>
        <item x="435"/>
        <item x="565"/>
        <item x="472"/>
        <item x="128"/>
        <item x="297"/>
        <item x="341"/>
        <item x="362"/>
        <item x="1135"/>
        <item x="589"/>
        <item x="1102"/>
        <item x="1057"/>
        <item x="499"/>
        <item x="1182"/>
        <item x="466"/>
        <item x="1063"/>
        <item x="999"/>
        <item x="916"/>
        <item x="991"/>
        <item x="252"/>
        <item x="156"/>
        <item x="1264"/>
        <item x="1078"/>
        <item x="395"/>
        <item x="273"/>
        <item x="680"/>
        <item x="465"/>
        <item x="295"/>
        <item x="1130"/>
        <item x="191"/>
        <item x="404"/>
        <item x="164"/>
        <item x="755"/>
        <item x="695"/>
        <item x="306"/>
        <item x="1159"/>
        <item x="26"/>
        <item x="393"/>
        <item x="422"/>
        <item x="580"/>
        <item x="1140"/>
        <item x="54"/>
        <item x="56"/>
        <item x="135"/>
        <item x="1258"/>
        <item x="552"/>
        <item x="354"/>
        <item x="821"/>
        <item x="637"/>
        <item x="1020"/>
        <item x="3"/>
        <item x="1018"/>
        <item x="449"/>
        <item x="976"/>
        <item x="1094"/>
        <item x="1214"/>
        <item x="1065"/>
        <item x="947"/>
        <item x="18"/>
        <item x="498"/>
        <item x="539"/>
        <item x="218"/>
        <item x="1155"/>
        <item x="324"/>
        <item x="1051"/>
        <item x="596"/>
        <item x="255"/>
        <item x="1226"/>
        <item x="686"/>
        <item x="20"/>
        <item x="434"/>
        <item x="471"/>
        <item x="889"/>
        <item x="1030"/>
        <item x="753"/>
        <item x="930"/>
        <item x="501"/>
        <item x="950"/>
        <item x="83"/>
        <item x="1178"/>
        <item x="693"/>
        <item x="1206"/>
        <item x="1095"/>
        <item x="668"/>
        <item x="1043"/>
        <item x="299"/>
        <item x="303"/>
        <item x="642"/>
        <item x="1248"/>
        <item x="1070"/>
        <item x="1137"/>
        <item x="73"/>
        <item x="31"/>
        <item x="1247"/>
        <item x="74"/>
        <item x="858"/>
        <item x="123"/>
        <item x="762"/>
        <item x="504"/>
        <item x="289"/>
        <item x="891"/>
        <item x="455"/>
        <item x="1023"/>
        <item x="500"/>
        <item x="1168"/>
        <item x="634"/>
        <item x="1179"/>
        <item x="12"/>
        <item x="918"/>
        <item x="493"/>
        <item x="800"/>
        <item x="1091"/>
        <item x="528"/>
        <item x="732"/>
        <item x="1180"/>
        <item x="998"/>
        <item x="1211"/>
        <item x="230"/>
        <item x="221"/>
        <item x="55"/>
        <item x="1166"/>
        <item x="111"/>
        <item x="846"/>
        <item x="650"/>
        <item x="532"/>
        <item x="881"/>
        <item x="256"/>
        <item x="781"/>
        <item x="136"/>
        <item x="852"/>
        <item x="1254"/>
        <item x="52"/>
        <item x="748"/>
        <item x="1175"/>
        <item x="40"/>
        <item x="236"/>
        <item x="371"/>
        <item x="134"/>
        <item x="323"/>
        <item x="561"/>
        <item x="723"/>
        <item x="587"/>
        <item x="556"/>
        <item x="1153"/>
        <item x="390"/>
        <item x="182"/>
        <item x="331"/>
        <item x="438"/>
        <item x="791"/>
        <item x="1176"/>
        <item x="1103"/>
        <item x="792"/>
        <item x="1082"/>
        <item x="57"/>
        <item x="736"/>
        <item x="157"/>
        <item x="1257"/>
        <item x="250"/>
        <item x="1060"/>
        <item x="210"/>
        <item x="972"/>
        <item x="282"/>
        <item x="47"/>
        <item x="176"/>
        <item x="233"/>
        <item x="276"/>
        <item x="683"/>
        <item x="882"/>
        <item x="96"/>
        <item x="555"/>
        <item x="117"/>
        <item x="746"/>
        <item x="1097"/>
        <item x="186"/>
        <item x="567"/>
        <item x="844"/>
        <item x="817"/>
        <item x="1048"/>
        <item x="1162"/>
        <item x="943"/>
        <item x="1132"/>
        <item x="537"/>
        <item x="784"/>
        <item x="875"/>
        <item x="640"/>
        <item x="600"/>
        <item x="1185"/>
        <item x="970"/>
        <item x="122"/>
        <item x="394"/>
        <item x="750"/>
        <item x="616"/>
        <item x="25"/>
        <item x="168"/>
        <item x="430"/>
        <item x="705"/>
        <item x="721"/>
        <item x="174"/>
        <item x="321"/>
        <item x="263"/>
        <item x="175"/>
        <item x="291"/>
        <item x="856"/>
        <item x="391"/>
        <item x="796"/>
        <item x="424"/>
        <item x="790"/>
        <item x="274"/>
        <item x="265"/>
        <item x="132"/>
        <item x="1002"/>
        <item x="482"/>
        <item x="743"/>
        <item x="1229"/>
        <item x="711"/>
        <item x="783"/>
        <item x="179"/>
        <item x="988"/>
        <item x="1024"/>
        <item x="604"/>
        <item x="806"/>
        <item x="442"/>
        <item x="901"/>
        <item x="459"/>
        <item x="516"/>
        <item x="380"/>
        <item x="586"/>
        <item x="364"/>
        <item x="799"/>
        <item x="1055"/>
        <item x="220"/>
        <item x="337"/>
        <item x="357"/>
        <item x="67"/>
        <item x="408"/>
        <item x="240"/>
        <item x="522"/>
        <item x="1235"/>
        <item x="205"/>
        <item x="401"/>
        <item x="1220"/>
        <item x="1072"/>
        <item x="579"/>
        <item x="603"/>
        <item x="305"/>
        <item x="1231"/>
        <item x="192"/>
        <item x="1081"/>
        <item x="1022"/>
        <item x="660"/>
        <item x="302"/>
        <item x="464"/>
        <item x="1014"/>
        <item x="374"/>
        <item x="104"/>
        <item x="674"/>
        <item x="475"/>
        <item x="675"/>
        <item x="213"/>
        <item x="161"/>
        <item x="924"/>
        <item x="336"/>
        <item x="319"/>
        <item x="869"/>
        <item x="229"/>
        <item x="224"/>
        <item x="402"/>
        <item x="612"/>
        <item x="418"/>
        <item x="788"/>
        <item x="223"/>
        <item x="158"/>
        <item x="915"/>
        <item x="457"/>
        <item x="733"/>
        <item x="861"/>
        <item x="203"/>
        <item x="745"/>
        <item x="429"/>
        <item x="120"/>
        <item x="2"/>
        <item x="490"/>
        <item x="772"/>
        <item x="97"/>
        <item x="436"/>
        <item x="720"/>
        <item x="719"/>
        <item x="848"/>
        <item x="51"/>
        <item x="1156"/>
        <item x="1115"/>
        <item x="824"/>
        <item x="489"/>
        <item x="451"/>
        <item x="560"/>
        <item x="940"/>
        <item x="378"/>
        <item x="409"/>
        <item x="15"/>
        <item x="333"/>
        <item x="1187"/>
        <item x="1052"/>
        <item x="663"/>
        <item x="1202"/>
        <item x="317"/>
        <item x="548"/>
        <item x="739"/>
        <item x="932"/>
        <item x="103"/>
        <item x="728"/>
        <item x="185"/>
        <item x="628"/>
        <item x="1036"/>
        <item x="167"/>
        <item x="1228"/>
        <item x="346"/>
        <item x="572"/>
        <item x="90"/>
        <item x="629"/>
        <item x="225"/>
        <item x="1121"/>
        <item x="627"/>
        <item x="982"/>
        <item x="36"/>
        <item x="349"/>
        <item x="300"/>
        <item x="697"/>
        <item x="885"/>
        <item x="353"/>
        <item x="17"/>
        <item x="625"/>
        <item x="782"/>
        <item x="1044"/>
        <item x="843"/>
        <item x="384"/>
        <item x="196"/>
        <item x="1068"/>
        <item x="1046"/>
        <item x="515"/>
        <item x="369"/>
        <item x="862"/>
        <item x="350"/>
        <item x="444"/>
        <item x="423"/>
        <item x="1012"/>
        <item x="32"/>
        <item x="665"/>
        <item x="285"/>
        <item x="61"/>
        <item x="392"/>
        <item x="602"/>
        <item x="803"/>
        <item x="960"/>
        <item x="503"/>
        <item x="1039"/>
        <item x="100"/>
        <item x="1071"/>
        <item x="284"/>
        <item x="45"/>
        <item x="724"/>
        <item x="1142"/>
        <item x="710"/>
        <item x="216"/>
        <item x="780"/>
        <item x="1225"/>
        <item x="115"/>
        <item x="184"/>
        <item x="1042"/>
        <item x="28"/>
        <item x="631"/>
        <item x="1145"/>
        <item x="105"/>
        <item x="658"/>
        <item x="119"/>
        <item x="272"/>
        <item x="935"/>
        <item x="69"/>
        <item x="760"/>
        <item x="126"/>
        <item x="823"/>
        <item x="578"/>
        <item x="1186"/>
        <item x="987"/>
        <item x="878"/>
        <item x="958"/>
        <item x="734"/>
        <item x="1207"/>
        <item x="694"/>
        <item x="243"/>
        <item x="1171"/>
        <item x="557"/>
        <item x="13"/>
        <item x="227"/>
        <item x="298"/>
        <item x="562"/>
        <item x="946"/>
        <item x="1077"/>
        <item x="829"/>
        <item x="310"/>
        <item x="98"/>
        <item x="348"/>
        <item x="892"/>
        <item x="478"/>
        <item x="1259"/>
        <item x="352"/>
        <item x="1138"/>
        <item x="840"/>
        <item x="66"/>
        <item x="242"/>
        <item x="187"/>
        <item x="177"/>
        <item x="293"/>
        <item x="569"/>
        <item x="1218"/>
        <item x="820"/>
        <item x="700"/>
        <item x="414"/>
        <item x="704"/>
        <item x="598"/>
        <item x="757"/>
        <item x="286"/>
        <item x="953"/>
        <item x="936"/>
        <item x="334"/>
        <item x="275"/>
        <item x="1010"/>
        <item x="206"/>
        <item x="703"/>
        <item x="859"/>
        <item x="777"/>
        <item x="729"/>
        <item x="907"/>
        <item x="863"/>
        <item x="741"/>
        <item x="496"/>
        <item x="623"/>
        <item x="261"/>
        <item x="1049"/>
        <item x="1059"/>
        <item x="1143"/>
        <item x="389"/>
        <item x="1124"/>
        <item x="1151"/>
        <item x="1066"/>
        <item x="129"/>
        <item x="1017"/>
        <item x="857"/>
        <item x="1000"/>
        <item x="150"/>
        <item x="63"/>
        <item x="445"/>
        <item x="896"/>
        <item x="944"/>
        <item x="1233"/>
        <item x="1131"/>
        <item x="142"/>
        <item x="514"/>
        <item x="400"/>
        <item x="1104"/>
        <item x="632"/>
        <item x="939"/>
        <item x="730"/>
        <item x="638"/>
        <item x="1177"/>
        <item x="822"/>
        <item x="24"/>
        <item x="923"/>
        <item x="5"/>
        <item x="308"/>
        <item x="1114"/>
        <item x="749"/>
        <item x="506"/>
        <item x="722"/>
        <item x="617"/>
        <item x="1158"/>
        <item x="534"/>
        <item x="713"/>
        <item x="740"/>
        <item x="1251"/>
        <item x="798"/>
        <item x="959"/>
        <item x="835"/>
        <item x="1074"/>
        <item x="677"/>
        <item x="130"/>
        <item x="452"/>
        <item x="1154"/>
        <item x="948"/>
        <item x="662"/>
        <item x="1053"/>
        <item x="731"/>
        <item x="1110"/>
        <item x="433"/>
        <item x="1007"/>
        <item x="738"/>
        <item x="808"/>
        <item x="659"/>
        <item x="198"/>
        <item x="576"/>
        <item x="420"/>
        <item x="277"/>
        <item x="832"/>
        <item x="974"/>
        <item x="372"/>
        <item x="811"/>
        <item x="989"/>
        <item x="1120"/>
        <item x="1108"/>
        <item x="70"/>
        <item x="601"/>
        <item x="845"/>
        <item x="871"/>
        <item x="1260"/>
        <item x="292"/>
        <item x="893"/>
        <item x="912"/>
        <item x="873"/>
        <item x="877"/>
        <item x="593"/>
        <item x="180"/>
        <item x="995"/>
        <item x="564"/>
        <item x="613"/>
        <item x="872"/>
        <item x="1026"/>
        <item x="774"/>
        <item x="201"/>
        <item x="1037"/>
        <item x="238"/>
        <item x="1101"/>
        <item x="234"/>
        <item x="1212"/>
        <item x="1083"/>
        <item x="1232"/>
        <item x="860"/>
        <item x="460"/>
        <item x="818"/>
        <item x="622"/>
        <item x="453"/>
        <item x="981"/>
        <item x="381"/>
        <item x="610"/>
        <item x="1127"/>
        <item x="966"/>
        <item x="160"/>
        <item x="754"/>
        <item x="689"/>
        <item x="542"/>
        <item x="241"/>
        <item x="1089"/>
        <item x="1209"/>
        <item x="911"/>
        <item x="1025"/>
        <item x="11"/>
        <item x="279"/>
        <item x="463"/>
        <item x="344"/>
        <item x="307"/>
        <item x="673"/>
        <item x="461"/>
        <item x="421"/>
        <item x="986"/>
        <item x="795"/>
        <item x="439"/>
        <item x="568"/>
        <item x="1062"/>
        <item x="314"/>
        <item x="124"/>
        <item x="99"/>
        <item x="48"/>
        <item x="771"/>
        <item x="544"/>
        <item x="1126"/>
        <item x="71"/>
        <item x="1188"/>
        <item x="328"/>
        <item x="758"/>
        <item x="688"/>
        <item x="1098"/>
        <item x="169"/>
        <item x="908"/>
        <item x="963"/>
        <item x="1160"/>
        <item x="957"/>
        <item x="79"/>
        <item x="865"/>
        <item x="27"/>
        <item x="588"/>
        <item x="1203"/>
        <item x="511"/>
        <item x="259"/>
        <item x="518"/>
        <item x="1252"/>
        <item x="747"/>
        <item x="690"/>
        <item x="626"/>
        <item x="909"/>
        <item x="1112"/>
        <item x="1136"/>
        <item x="530"/>
        <item x="139"/>
        <item x="652"/>
        <item x="512"/>
        <item x="761"/>
        <item x="428"/>
        <item x="257"/>
        <item x="147"/>
        <item x="1003"/>
        <item x="834"/>
        <item x="571"/>
        <item x="318"/>
        <item x="620"/>
        <item x="329"/>
        <item x="1161"/>
        <item x="1216"/>
        <item x="559"/>
        <item x="1122"/>
        <item x="322"/>
        <item x="735"/>
        <item x="214"/>
        <item x="1167"/>
        <item x="951"/>
        <item x="377"/>
        <item x="204"/>
        <item x="388"/>
        <item x="934"/>
        <item t="default"/>
      </items>
    </pivotField>
    <pivotField showAll="0"/>
    <pivotField showAll="0"/>
    <pivotField showAll="0"/>
    <pivotField showAll="0">
      <items count="6">
        <item h="1" x="4"/>
        <item h="1" x="2"/>
        <item h="1" x="3"/>
        <item h="1" x="0"/>
        <item x="1"/>
        <item t="default"/>
      </items>
    </pivotField>
    <pivotField showAll="0"/>
    <pivotField showAll="0">
      <items count="7">
        <item x="2"/>
        <item x="4"/>
        <item x="0"/>
        <item x="1"/>
        <item x="5"/>
        <item x="3"/>
        <item t="default"/>
      </items>
    </pivotField>
    <pivotField dataField="1" numFmtId="2" showAll="0"/>
    <pivotField showAll="0"/>
    <pivotField showAll="0"/>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7"/>
  </rowFields>
  <rowItems count="2">
    <i>
      <x v="1"/>
    </i>
    <i t="grand">
      <x/>
    </i>
  </rowItems>
  <colItems count="1">
    <i/>
  </colItems>
  <dataFields count="1">
    <dataField name="Total_Billing" fld="15" showDataAs="percentOfTotal" baseField="7" baseItem="0" numFmtId="10"/>
  </dataFields>
  <formats count="2">
    <format dxfId="180">
      <pivotArea outline="0" collapsedLevelsAreSubtotals="1" fieldPosition="0"/>
    </format>
    <format dxfId="179">
      <pivotArea outline="0" fieldPosition="0">
        <references count="1">
          <reference field="4294967294" count="1">
            <x v="0"/>
          </reference>
        </references>
      </pivotArea>
    </format>
  </format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 chart="3" format="4">
      <pivotArea type="data" outline="0" fieldPosition="0">
        <references count="2">
          <reference field="4294967294" count="1" selected="0">
            <x v="0"/>
          </reference>
          <reference field="7"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7" count="1" selected="0">
            <x v="0"/>
          </reference>
        </references>
      </pivotArea>
    </chartFormat>
    <chartFormat chart="6" format="12">
      <pivotArea type="data" outline="0" fieldPosition="0">
        <references count="2">
          <reference field="4294967294" count="1" selected="0">
            <x v="0"/>
          </reference>
          <reference field="7" count="1" selected="0">
            <x v="1"/>
          </reference>
        </references>
      </pivotArea>
    </chartFormat>
    <chartFormat chart="6" format="13">
      <pivotArea type="data" outline="0" fieldPosition="0">
        <references count="2">
          <reference field="4294967294" count="1" selected="0">
            <x v="0"/>
          </reference>
          <reference field="7" count="1" selected="0">
            <x v="2"/>
          </reference>
        </references>
      </pivotArea>
    </chartFormat>
    <chartFormat chart="6" format="1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82399B-2410-4695-B06C-C95275359BC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A2:AC3" firstHeaderRow="0" firstDataRow="1" firstDataCol="0"/>
  <pivotFields count="25">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showAll="0">
      <items count="7">
        <item x="0"/>
        <item x="2"/>
        <item x="5"/>
        <item x="3"/>
        <item x="4"/>
        <item x="1"/>
        <item t="default"/>
      </items>
    </pivotField>
    <pivotField showAll="0">
      <items count="3">
        <item x="1"/>
        <item x="0"/>
        <item t="default"/>
      </items>
    </pivotField>
    <pivotField showAll="0"/>
    <pivotField showAll="0">
      <items count="9">
        <item x="5"/>
        <item x="1"/>
        <item x="4"/>
        <item x="3"/>
        <item x="2"/>
        <item x="0"/>
        <item x="7"/>
        <item x="6"/>
        <item t="default"/>
      </items>
    </pivotField>
    <pivotField showAll="0">
      <items count="5">
        <item h="1" x="1"/>
        <item x="0"/>
        <item h="1" x="3"/>
        <item h="1" x="2"/>
        <item t="default"/>
      </items>
    </pivotField>
    <pivotField numFmtId="164" showAll="0">
      <items count="1267">
        <item x="744"/>
        <item x="1173"/>
        <item x="529"/>
        <item x="1079"/>
        <item x="456"/>
        <item x="470"/>
        <item x="955"/>
        <item x="725"/>
        <item x="410"/>
        <item x="647"/>
        <item x="937"/>
        <item x="521"/>
        <item x="271"/>
        <item x="692"/>
        <item x="606"/>
        <item x="1261"/>
        <item x="928"/>
        <item x="926"/>
        <item x="797"/>
        <item x="1125"/>
        <item x="635"/>
        <item x="839"/>
        <item x="313"/>
        <item x="355"/>
        <item x="698"/>
        <item x="1054"/>
        <item x="977"/>
        <item x="254"/>
        <item x="609"/>
        <item x="68"/>
        <item x="624"/>
        <item x="462"/>
        <item x="801"/>
        <item x="996"/>
        <item x="1069"/>
        <item x="931"/>
        <item x="212"/>
        <item x="672"/>
        <item x="541"/>
        <item x="646"/>
        <item x="1105"/>
        <item x="842"/>
        <item x="554"/>
        <item x="53"/>
        <item x="527"/>
        <item x="969"/>
        <item x="190"/>
        <item x="1093"/>
        <item x="727"/>
        <item x="171"/>
        <item x="239"/>
        <item x="375"/>
        <item x="525"/>
        <item x="1201"/>
        <item x="837"/>
        <item x="209"/>
        <item x="1230"/>
        <item x="339"/>
        <item x="983"/>
        <item x="1246"/>
        <item x="290"/>
        <item x="1192"/>
        <item x="34"/>
        <item x="682"/>
        <item x="787"/>
        <item x="309"/>
        <item x="1249"/>
        <item x="870"/>
        <item x="1011"/>
        <item x="1088"/>
        <item x="1064"/>
        <item x="281"/>
        <item x="929"/>
        <item x="715"/>
        <item x="399"/>
        <item x="716"/>
        <item x="656"/>
        <item x="258"/>
        <item x="517"/>
        <item x="540"/>
        <item x="181"/>
        <item x="327"/>
        <item x="454"/>
        <item x="994"/>
        <item x="1224"/>
        <item x="906"/>
        <item x="146"/>
        <item x="681"/>
        <item x="961"/>
        <item x="975"/>
        <item x="942"/>
        <item x="143"/>
        <item x="751"/>
        <item x="304"/>
        <item x="22"/>
        <item x="49"/>
        <item x="75"/>
        <item x="294"/>
        <item x="162"/>
        <item x="763"/>
        <item x="1245"/>
        <item x="895"/>
        <item x="648"/>
        <item x="217"/>
        <item x="1067"/>
        <item x="849"/>
        <item x="897"/>
        <item x="737"/>
        <item x="847"/>
        <item x="546"/>
        <item x="654"/>
        <item x="1210"/>
        <item x="717"/>
        <item x="367"/>
        <item x="137"/>
        <item x="917"/>
        <item x="819"/>
        <item x="851"/>
        <item x="78"/>
        <item x="189"/>
        <item x="347"/>
        <item x="900"/>
        <item x="1150"/>
        <item x="876"/>
        <item x="1265"/>
        <item x="685"/>
        <item x="1217"/>
        <item x="441"/>
        <item x="1238"/>
        <item x="997"/>
        <item x="343"/>
        <item x="712"/>
        <item x="287"/>
        <item x="526"/>
        <item x="247"/>
        <item x="570"/>
        <item x="64"/>
        <item x="709"/>
        <item x="809"/>
        <item x="608"/>
        <item x="59"/>
        <item x="619"/>
        <item x="446"/>
        <item x="670"/>
        <item x="116"/>
        <item x="573"/>
        <item x="706"/>
        <item x="215"/>
        <item x="163"/>
        <item x="417"/>
        <item x="805"/>
        <item x="432"/>
        <item x="764"/>
        <item x="338"/>
        <item x="910"/>
        <item x="1027"/>
        <item x="33"/>
        <item x="547"/>
        <item x="973"/>
        <item x="538"/>
        <item x="707"/>
        <item x="933"/>
        <item x="403"/>
        <item x="4"/>
        <item x="1021"/>
        <item x="543"/>
        <item x="833"/>
        <item x="133"/>
        <item x="365"/>
        <item x="592"/>
        <item x="358"/>
        <item x="412"/>
        <item x="968"/>
        <item x="984"/>
        <item x="1144"/>
        <item x="448"/>
        <item x="431"/>
        <item x="545"/>
        <item x="262"/>
        <item x="405"/>
        <item x="770"/>
        <item x="1263"/>
        <item x="1169"/>
        <item x="114"/>
        <item x="155"/>
        <item x="283"/>
        <item x="267"/>
        <item x="768"/>
        <item x="887"/>
        <item x="945"/>
        <item x="387"/>
        <item x="1123"/>
        <item x="359"/>
        <item x="814"/>
        <item x="361"/>
        <item x="58"/>
        <item x="653"/>
        <item x="208"/>
        <item x="904"/>
        <item x="106"/>
        <item x="585"/>
        <item x="484"/>
        <item x="967"/>
        <item x="35"/>
        <item x="639"/>
        <item x="836"/>
        <item x="43"/>
        <item x="222"/>
        <item x="718"/>
        <item x="591"/>
        <item x="902"/>
        <item x="366"/>
        <item x="759"/>
        <item x="1092"/>
        <item x="383"/>
        <item x="742"/>
        <item x="509"/>
        <item x="575"/>
        <item x="95"/>
        <item x="127"/>
        <item x="480"/>
        <item x="558"/>
        <item x="535"/>
        <item x="1013"/>
        <item x="1028"/>
        <item x="1038"/>
        <item x="867"/>
        <item x="427"/>
        <item x="952"/>
        <item x="1197"/>
        <item x="726"/>
        <item x="583"/>
        <item x="879"/>
        <item x="894"/>
        <item x="816"/>
        <item x="919"/>
        <item x="1163"/>
        <item x="411"/>
        <item x="30"/>
        <item x="778"/>
        <item x="266"/>
        <item x="531"/>
        <item x="594"/>
        <item x="19"/>
        <item x="368"/>
        <item x="773"/>
        <item x="85"/>
        <item x="920"/>
        <item x="443"/>
        <item x="678"/>
        <item x="793"/>
        <item x="9"/>
        <item x="752"/>
        <item x="202"/>
        <item x="1240"/>
        <item x="993"/>
        <item x="151"/>
        <item x="178"/>
        <item x="269"/>
        <item x="481"/>
        <item x="152"/>
        <item x="72"/>
        <item x="1134"/>
        <item x="523"/>
        <item x="886"/>
        <item x="396"/>
        <item x="779"/>
        <item x="676"/>
        <item x="82"/>
        <item x="1080"/>
        <item x="1250"/>
        <item x="769"/>
        <item x="868"/>
        <item x="679"/>
        <item x="595"/>
        <item x="237"/>
        <item x="1198"/>
        <item x="1152"/>
        <item x="1090"/>
        <item x="426"/>
        <item x="200"/>
        <item x="149"/>
        <item x="101"/>
        <item x="914"/>
        <item x="440"/>
        <item x="590"/>
        <item x="483"/>
        <item x="16"/>
        <item x="827"/>
        <item x="1056"/>
        <item x="207"/>
        <item x="170"/>
        <item x="311"/>
        <item x="288"/>
        <item x="474"/>
        <item x="1204"/>
        <item x="1009"/>
        <item x="611"/>
        <item x="1165"/>
        <item x="990"/>
        <item x="153"/>
        <item x="520"/>
        <item x="326"/>
        <item x="582"/>
        <item x="447"/>
        <item x="195"/>
        <item x="519"/>
        <item x="107"/>
        <item x="641"/>
        <item x="855"/>
        <item x="260"/>
        <item x="508"/>
        <item x="664"/>
        <item x="1184"/>
        <item x="316"/>
        <item x="450"/>
        <item x="941"/>
        <item x="1183"/>
        <item x="60"/>
        <item x="93"/>
        <item x="44"/>
        <item x="398"/>
        <item x="812"/>
        <item x="1084"/>
        <item x="880"/>
        <item x="1019"/>
        <item x="1005"/>
        <item x="363"/>
        <item x="1241"/>
        <item x="903"/>
        <item x="42"/>
        <item x="278"/>
        <item x="513"/>
        <item x="1200"/>
        <item x="1061"/>
        <item x="607"/>
        <item x="599"/>
        <item x="486"/>
        <item x="39"/>
        <item x="1086"/>
        <item x="1242"/>
        <item x="144"/>
        <item x="605"/>
        <item x="1016"/>
        <item x="828"/>
        <item x="340"/>
        <item x="110"/>
        <item x="264"/>
        <item x="125"/>
        <item x="1190"/>
        <item x="1239"/>
        <item x="138"/>
        <item x="866"/>
        <item x="1107"/>
        <item x="173"/>
        <item x="467"/>
        <item x="702"/>
        <item x="86"/>
        <item x="831"/>
        <item x="927"/>
        <item x="145"/>
        <item x="14"/>
        <item x="971"/>
        <item x="193"/>
        <item x="1041"/>
        <item x="249"/>
        <item x="172"/>
        <item x="109"/>
        <item x="406"/>
        <item x="280"/>
        <item x="84"/>
        <item x="1008"/>
        <item x="699"/>
        <item x="767"/>
        <item x="1147"/>
        <item x="370"/>
        <item x="922"/>
        <item x="416"/>
        <item x="1133"/>
        <item x="985"/>
        <item x="563"/>
        <item x="789"/>
        <item x="330"/>
        <item x="964"/>
        <item x="487"/>
        <item x="1141"/>
        <item x="1117"/>
        <item x="1085"/>
        <item x="1227"/>
        <item x="1157"/>
        <item x="938"/>
        <item x="1255"/>
        <item x="962"/>
        <item x="505"/>
        <item x="413"/>
        <item x="838"/>
        <item x="50"/>
        <item x="666"/>
        <item x="507"/>
        <item x="890"/>
        <item x="419"/>
        <item x="113"/>
        <item x="510"/>
        <item x="491"/>
        <item x="8"/>
        <item x="112"/>
        <item x="633"/>
        <item x="76"/>
        <item x="1170"/>
        <item x="669"/>
        <item x="1191"/>
        <item x="766"/>
        <item x="913"/>
        <item x="244"/>
        <item x="488"/>
        <item x="425"/>
        <item x="415"/>
        <item x="684"/>
        <item x="268"/>
        <item x="1058"/>
        <item x="6"/>
        <item x="813"/>
        <item x="549"/>
        <item x="765"/>
        <item x="815"/>
        <item x="888"/>
        <item x="1199"/>
        <item x="1109"/>
        <item x="37"/>
        <item x="853"/>
        <item x="89"/>
        <item x="1194"/>
        <item x="1029"/>
        <item x="905"/>
        <item x="1075"/>
        <item x="194"/>
        <item x="925"/>
        <item x="810"/>
        <item x="1087"/>
        <item x="497"/>
        <item x="1146"/>
        <item x="1253"/>
        <item x="1237"/>
        <item x="1045"/>
        <item x="553"/>
        <item x="630"/>
        <item x="1213"/>
        <item x="159"/>
        <item x="1031"/>
        <item x="1100"/>
        <item x="802"/>
        <item x="473"/>
        <item x="23"/>
        <item x="1222"/>
        <item x="38"/>
        <item x="1256"/>
        <item x="1164"/>
        <item x="351"/>
        <item x="228"/>
        <item x="1129"/>
        <item x="91"/>
        <item x="251"/>
        <item x="62"/>
        <item x="1040"/>
        <item x="696"/>
        <item x="1172"/>
        <item x="1196"/>
        <item x="980"/>
        <item x="165"/>
        <item x="468"/>
        <item x="1243"/>
        <item x="197"/>
        <item x="1004"/>
        <item x="644"/>
        <item x="379"/>
        <item x="385"/>
        <item x="756"/>
        <item x="248"/>
        <item x="1113"/>
        <item x="360"/>
        <item x="1047"/>
        <item x="476"/>
        <item x="614"/>
        <item x="1139"/>
        <item x="148"/>
        <item x="566"/>
        <item x="776"/>
        <item x="615"/>
        <item x="621"/>
        <item x="1118"/>
        <item x="524"/>
        <item x="118"/>
        <item x="231"/>
        <item x="1221"/>
        <item x="183"/>
        <item x="253"/>
        <item x="864"/>
        <item x="312"/>
        <item x="775"/>
        <item x="584"/>
        <item x="671"/>
        <item x="88"/>
        <item x="1128"/>
        <item x="1119"/>
        <item x="807"/>
        <item x="830"/>
        <item x="883"/>
        <item x="77"/>
        <item x="1035"/>
        <item x="1208"/>
        <item x="235"/>
        <item x="1223"/>
        <item x="469"/>
        <item x="581"/>
        <item x="1148"/>
        <item x="1076"/>
        <item x="550"/>
        <item x="1189"/>
        <item x="1015"/>
        <item x="786"/>
        <item x="1106"/>
        <item x="714"/>
        <item x="479"/>
        <item x="1234"/>
        <item x="0"/>
        <item x="651"/>
        <item x="1219"/>
        <item x="536"/>
        <item x="373"/>
        <item x="166"/>
        <item x="826"/>
        <item x="691"/>
        <item x="1099"/>
        <item x="437"/>
        <item x="825"/>
        <item x="301"/>
        <item x="226"/>
        <item x="342"/>
        <item x="1006"/>
        <item x="80"/>
        <item x="1174"/>
        <item x="154"/>
        <item x="1205"/>
        <item x="1033"/>
        <item x="345"/>
        <item x="332"/>
        <item x="1"/>
        <item x="687"/>
        <item x="315"/>
        <item x="245"/>
        <item x="956"/>
        <item x="1262"/>
        <item x="1236"/>
        <item x="141"/>
        <item x="949"/>
        <item x="551"/>
        <item x="597"/>
        <item x="708"/>
        <item x="492"/>
        <item x="854"/>
        <item x="978"/>
        <item x="296"/>
        <item x="7"/>
        <item x="1050"/>
        <item x="46"/>
        <item x="1096"/>
        <item x="661"/>
        <item x="407"/>
        <item x="649"/>
        <item x="1073"/>
        <item x="386"/>
        <item x="502"/>
        <item x="1116"/>
        <item x="899"/>
        <item x="577"/>
        <item x="1032"/>
        <item x="199"/>
        <item x="121"/>
        <item x="458"/>
        <item x="108"/>
        <item x="246"/>
        <item x="477"/>
        <item x="921"/>
        <item x="954"/>
        <item x="219"/>
        <item x="270"/>
        <item x="645"/>
        <item x="10"/>
        <item x="1149"/>
        <item x="874"/>
        <item x="131"/>
        <item x="965"/>
        <item x="320"/>
        <item x="41"/>
        <item x="794"/>
        <item x="397"/>
        <item x="211"/>
        <item x="533"/>
        <item x="655"/>
        <item x="1034"/>
        <item x="65"/>
        <item x="804"/>
        <item x="1244"/>
        <item x="494"/>
        <item x="87"/>
        <item x="884"/>
        <item x="376"/>
        <item x="850"/>
        <item x="335"/>
        <item x="232"/>
        <item x="1181"/>
        <item x="636"/>
        <item x="701"/>
        <item x="992"/>
        <item x="485"/>
        <item x="643"/>
        <item x="979"/>
        <item x="1193"/>
        <item x="1001"/>
        <item x="81"/>
        <item x="356"/>
        <item x="495"/>
        <item x="29"/>
        <item x="188"/>
        <item x="140"/>
        <item x="92"/>
        <item x="94"/>
        <item x="618"/>
        <item x="21"/>
        <item x="785"/>
        <item x="325"/>
        <item x="841"/>
        <item x="574"/>
        <item x="1195"/>
        <item x="898"/>
        <item x="657"/>
        <item x="667"/>
        <item x="102"/>
        <item x="1111"/>
        <item x="382"/>
        <item x="1215"/>
        <item x="435"/>
        <item x="565"/>
        <item x="472"/>
        <item x="128"/>
        <item x="297"/>
        <item x="341"/>
        <item x="362"/>
        <item x="1135"/>
        <item x="589"/>
        <item x="1102"/>
        <item x="1057"/>
        <item x="499"/>
        <item x="1182"/>
        <item x="466"/>
        <item x="1063"/>
        <item x="999"/>
        <item x="916"/>
        <item x="991"/>
        <item x="252"/>
        <item x="156"/>
        <item x="1264"/>
        <item x="1078"/>
        <item x="395"/>
        <item x="273"/>
        <item x="680"/>
        <item x="465"/>
        <item x="295"/>
        <item x="1130"/>
        <item x="191"/>
        <item x="404"/>
        <item x="164"/>
        <item x="755"/>
        <item x="695"/>
        <item x="306"/>
        <item x="1159"/>
        <item x="26"/>
        <item x="393"/>
        <item x="422"/>
        <item x="580"/>
        <item x="1140"/>
        <item x="54"/>
        <item x="56"/>
        <item x="135"/>
        <item x="1258"/>
        <item x="552"/>
        <item x="354"/>
        <item x="821"/>
        <item x="637"/>
        <item x="1020"/>
        <item x="3"/>
        <item x="1018"/>
        <item x="449"/>
        <item x="976"/>
        <item x="1094"/>
        <item x="1214"/>
        <item x="1065"/>
        <item x="947"/>
        <item x="18"/>
        <item x="498"/>
        <item x="539"/>
        <item x="218"/>
        <item x="1155"/>
        <item x="324"/>
        <item x="1051"/>
        <item x="596"/>
        <item x="255"/>
        <item x="1226"/>
        <item x="686"/>
        <item x="20"/>
        <item x="434"/>
        <item x="471"/>
        <item x="889"/>
        <item x="1030"/>
        <item x="753"/>
        <item x="930"/>
        <item x="501"/>
        <item x="950"/>
        <item x="83"/>
        <item x="1178"/>
        <item x="693"/>
        <item x="1206"/>
        <item x="1095"/>
        <item x="668"/>
        <item x="1043"/>
        <item x="299"/>
        <item x="303"/>
        <item x="642"/>
        <item x="1248"/>
        <item x="1070"/>
        <item x="1137"/>
        <item x="73"/>
        <item x="31"/>
        <item x="1247"/>
        <item x="74"/>
        <item x="858"/>
        <item x="123"/>
        <item x="762"/>
        <item x="504"/>
        <item x="289"/>
        <item x="891"/>
        <item x="455"/>
        <item x="1023"/>
        <item x="500"/>
        <item x="1168"/>
        <item x="634"/>
        <item x="1179"/>
        <item x="12"/>
        <item x="918"/>
        <item x="493"/>
        <item x="800"/>
        <item x="1091"/>
        <item x="528"/>
        <item x="732"/>
        <item x="1180"/>
        <item x="998"/>
        <item x="1211"/>
        <item x="230"/>
        <item x="221"/>
        <item x="55"/>
        <item x="1166"/>
        <item x="111"/>
        <item x="846"/>
        <item x="650"/>
        <item x="532"/>
        <item x="881"/>
        <item x="256"/>
        <item x="781"/>
        <item x="136"/>
        <item x="852"/>
        <item x="1254"/>
        <item x="52"/>
        <item x="748"/>
        <item x="1175"/>
        <item x="40"/>
        <item x="236"/>
        <item x="371"/>
        <item x="134"/>
        <item x="323"/>
        <item x="561"/>
        <item x="723"/>
        <item x="587"/>
        <item x="556"/>
        <item x="1153"/>
        <item x="390"/>
        <item x="182"/>
        <item x="331"/>
        <item x="438"/>
        <item x="791"/>
        <item x="1176"/>
        <item x="1103"/>
        <item x="792"/>
        <item x="1082"/>
        <item x="57"/>
        <item x="736"/>
        <item x="157"/>
        <item x="1257"/>
        <item x="250"/>
        <item x="1060"/>
        <item x="210"/>
        <item x="972"/>
        <item x="282"/>
        <item x="47"/>
        <item x="176"/>
        <item x="233"/>
        <item x="276"/>
        <item x="683"/>
        <item x="882"/>
        <item x="96"/>
        <item x="555"/>
        <item x="117"/>
        <item x="746"/>
        <item x="1097"/>
        <item x="186"/>
        <item x="567"/>
        <item x="844"/>
        <item x="817"/>
        <item x="1048"/>
        <item x="1162"/>
        <item x="943"/>
        <item x="1132"/>
        <item x="537"/>
        <item x="784"/>
        <item x="875"/>
        <item x="640"/>
        <item x="600"/>
        <item x="1185"/>
        <item x="970"/>
        <item x="122"/>
        <item x="394"/>
        <item x="750"/>
        <item x="616"/>
        <item x="25"/>
        <item x="168"/>
        <item x="430"/>
        <item x="705"/>
        <item x="721"/>
        <item x="174"/>
        <item x="321"/>
        <item x="263"/>
        <item x="175"/>
        <item x="291"/>
        <item x="856"/>
        <item x="391"/>
        <item x="796"/>
        <item x="424"/>
        <item x="790"/>
        <item x="274"/>
        <item x="265"/>
        <item x="132"/>
        <item x="1002"/>
        <item x="482"/>
        <item x="743"/>
        <item x="1229"/>
        <item x="711"/>
        <item x="783"/>
        <item x="179"/>
        <item x="988"/>
        <item x="1024"/>
        <item x="604"/>
        <item x="806"/>
        <item x="442"/>
        <item x="901"/>
        <item x="459"/>
        <item x="516"/>
        <item x="380"/>
        <item x="586"/>
        <item x="364"/>
        <item x="799"/>
        <item x="1055"/>
        <item x="220"/>
        <item x="337"/>
        <item x="357"/>
        <item x="67"/>
        <item x="408"/>
        <item x="240"/>
        <item x="522"/>
        <item x="1235"/>
        <item x="205"/>
        <item x="401"/>
        <item x="1220"/>
        <item x="1072"/>
        <item x="579"/>
        <item x="603"/>
        <item x="305"/>
        <item x="1231"/>
        <item x="192"/>
        <item x="1081"/>
        <item x="1022"/>
        <item x="660"/>
        <item x="302"/>
        <item x="464"/>
        <item x="1014"/>
        <item x="374"/>
        <item x="104"/>
        <item x="674"/>
        <item x="475"/>
        <item x="675"/>
        <item x="213"/>
        <item x="161"/>
        <item x="924"/>
        <item x="336"/>
        <item x="319"/>
        <item x="869"/>
        <item x="229"/>
        <item x="224"/>
        <item x="402"/>
        <item x="612"/>
        <item x="418"/>
        <item x="788"/>
        <item x="223"/>
        <item x="158"/>
        <item x="915"/>
        <item x="457"/>
        <item x="733"/>
        <item x="861"/>
        <item x="203"/>
        <item x="745"/>
        <item x="429"/>
        <item x="120"/>
        <item x="2"/>
        <item x="490"/>
        <item x="772"/>
        <item x="97"/>
        <item x="436"/>
        <item x="720"/>
        <item x="719"/>
        <item x="848"/>
        <item x="51"/>
        <item x="1156"/>
        <item x="1115"/>
        <item x="824"/>
        <item x="489"/>
        <item x="451"/>
        <item x="560"/>
        <item x="940"/>
        <item x="378"/>
        <item x="409"/>
        <item x="15"/>
        <item x="333"/>
        <item x="1187"/>
        <item x="1052"/>
        <item x="663"/>
        <item x="1202"/>
        <item x="317"/>
        <item x="548"/>
        <item x="739"/>
        <item x="932"/>
        <item x="103"/>
        <item x="728"/>
        <item x="185"/>
        <item x="628"/>
        <item x="1036"/>
        <item x="167"/>
        <item x="1228"/>
        <item x="346"/>
        <item x="572"/>
        <item x="90"/>
        <item x="629"/>
        <item x="225"/>
        <item x="1121"/>
        <item x="627"/>
        <item x="982"/>
        <item x="36"/>
        <item x="349"/>
        <item x="300"/>
        <item x="697"/>
        <item x="885"/>
        <item x="353"/>
        <item x="17"/>
        <item x="625"/>
        <item x="782"/>
        <item x="1044"/>
        <item x="843"/>
        <item x="384"/>
        <item x="196"/>
        <item x="1068"/>
        <item x="1046"/>
        <item x="515"/>
        <item x="369"/>
        <item x="862"/>
        <item x="350"/>
        <item x="444"/>
        <item x="423"/>
        <item x="1012"/>
        <item x="32"/>
        <item x="665"/>
        <item x="285"/>
        <item x="61"/>
        <item x="392"/>
        <item x="602"/>
        <item x="803"/>
        <item x="960"/>
        <item x="503"/>
        <item x="1039"/>
        <item x="100"/>
        <item x="1071"/>
        <item x="284"/>
        <item x="45"/>
        <item x="724"/>
        <item x="1142"/>
        <item x="710"/>
        <item x="216"/>
        <item x="780"/>
        <item x="1225"/>
        <item x="115"/>
        <item x="184"/>
        <item x="1042"/>
        <item x="28"/>
        <item x="631"/>
        <item x="1145"/>
        <item x="105"/>
        <item x="658"/>
        <item x="119"/>
        <item x="272"/>
        <item x="935"/>
        <item x="69"/>
        <item x="760"/>
        <item x="126"/>
        <item x="823"/>
        <item x="578"/>
        <item x="1186"/>
        <item x="987"/>
        <item x="878"/>
        <item x="958"/>
        <item x="734"/>
        <item x="1207"/>
        <item x="694"/>
        <item x="243"/>
        <item x="1171"/>
        <item x="557"/>
        <item x="13"/>
        <item x="227"/>
        <item x="298"/>
        <item x="562"/>
        <item x="946"/>
        <item x="1077"/>
        <item x="829"/>
        <item x="310"/>
        <item x="98"/>
        <item x="348"/>
        <item x="892"/>
        <item x="478"/>
        <item x="1259"/>
        <item x="352"/>
        <item x="1138"/>
        <item x="840"/>
        <item x="66"/>
        <item x="242"/>
        <item x="187"/>
        <item x="177"/>
        <item x="293"/>
        <item x="569"/>
        <item x="1218"/>
        <item x="820"/>
        <item x="700"/>
        <item x="414"/>
        <item x="704"/>
        <item x="598"/>
        <item x="757"/>
        <item x="286"/>
        <item x="953"/>
        <item x="936"/>
        <item x="334"/>
        <item x="275"/>
        <item x="1010"/>
        <item x="206"/>
        <item x="703"/>
        <item x="859"/>
        <item x="777"/>
        <item x="729"/>
        <item x="907"/>
        <item x="863"/>
        <item x="741"/>
        <item x="496"/>
        <item x="623"/>
        <item x="261"/>
        <item x="1049"/>
        <item x="1059"/>
        <item x="1143"/>
        <item x="389"/>
        <item x="1124"/>
        <item x="1151"/>
        <item x="1066"/>
        <item x="129"/>
        <item x="1017"/>
        <item x="857"/>
        <item x="1000"/>
        <item x="150"/>
        <item x="63"/>
        <item x="445"/>
        <item x="896"/>
        <item x="944"/>
        <item x="1233"/>
        <item x="1131"/>
        <item x="142"/>
        <item x="514"/>
        <item x="400"/>
        <item x="1104"/>
        <item x="632"/>
        <item x="939"/>
        <item x="730"/>
        <item x="638"/>
        <item x="1177"/>
        <item x="822"/>
        <item x="24"/>
        <item x="923"/>
        <item x="5"/>
        <item x="308"/>
        <item x="1114"/>
        <item x="749"/>
        <item x="506"/>
        <item x="722"/>
        <item x="617"/>
        <item x="1158"/>
        <item x="534"/>
        <item x="713"/>
        <item x="740"/>
        <item x="1251"/>
        <item x="798"/>
        <item x="959"/>
        <item x="835"/>
        <item x="1074"/>
        <item x="677"/>
        <item x="130"/>
        <item x="452"/>
        <item x="1154"/>
        <item x="948"/>
        <item x="662"/>
        <item x="1053"/>
        <item x="731"/>
        <item x="1110"/>
        <item x="433"/>
        <item x="1007"/>
        <item x="738"/>
        <item x="808"/>
        <item x="659"/>
        <item x="198"/>
        <item x="576"/>
        <item x="420"/>
        <item x="277"/>
        <item x="832"/>
        <item x="974"/>
        <item x="372"/>
        <item x="811"/>
        <item x="989"/>
        <item x="1120"/>
        <item x="1108"/>
        <item x="70"/>
        <item x="601"/>
        <item x="845"/>
        <item x="871"/>
        <item x="1260"/>
        <item x="292"/>
        <item x="893"/>
        <item x="912"/>
        <item x="873"/>
        <item x="877"/>
        <item x="593"/>
        <item x="180"/>
        <item x="995"/>
        <item x="564"/>
        <item x="613"/>
        <item x="872"/>
        <item x="1026"/>
        <item x="774"/>
        <item x="201"/>
        <item x="1037"/>
        <item x="238"/>
        <item x="1101"/>
        <item x="234"/>
        <item x="1212"/>
        <item x="1083"/>
        <item x="1232"/>
        <item x="860"/>
        <item x="460"/>
        <item x="818"/>
        <item x="622"/>
        <item x="453"/>
        <item x="981"/>
        <item x="381"/>
        <item x="610"/>
        <item x="1127"/>
        <item x="966"/>
        <item x="160"/>
        <item x="754"/>
        <item x="689"/>
        <item x="542"/>
        <item x="241"/>
        <item x="1089"/>
        <item x="1209"/>
        <item x="911"/>
        <item x="1025"/>
        <item x="11"/>
        <item x="279"/>
        <item x="463"/>
        <item x="344"/>
        <item x="307"/>
        <item x="673"/>
        <item x="461"/>
        <item x="421"/>
        <item x="986"/>
        <item x="795"/>
        <item x="439"/>
        <item x="568"/>
        <item x="1062"/>
        <item x="314"/>
        <item x="124"/>
        <item x="99"/>
        <item x="48"/>
        <item x="771"/>
        <item x="544"/>
        <item x="1126"/>
        <item x="71"/>
        <item x="1188"/>
        <item x="328"/>
        <item x="758"/>
        <item x="688"/>
        <item x="1098"/>
        <item x="169"/>
        <item x="908"/>
        <item x="963"/>
        <item x="1160"/>
        <item x="957"/>
        <item x="79"/>
        <item x="865"/>
        <item x="27"/>
        <item x="588"/>
        <item x="1203"/>
        <item x="511"/>
        <item x="259"/>
        <item x="518"/>
        <item x="1252"/>
        <item x="747"/>
        <item x="690"/>
        <item x="626"/>
        <item x="909"/>
        <item x="1112"/>
        <item x="1136"/>
        <item x="530"/>
        <item x="139"/>
        <item x="652"/>
        <item x="512"/>
        <item x="761"/>
        <item x="428"/>
        <item x="257"/>
        <item x="147"/>
        <item x="1003"/>
        <item x="834"/>
        <item x="571"/>
        <item x="318"/>
        <item x="620"/>
        <item x="329"/>
        <item x="1161"/>
        <item x="1216"/>
        <item x="559"/>
        <item x="1122"/>
        <item x="322"/>
        <item x="735"/>
        <item x="214"/>
        <item x="1167"/>
        <item x="951"/>
        <item x="377"/>
        <item x="204"/>
        <item x="388"/>
        <item x="934"/>
        <item t="default"/>
      </items>
    </pivotField>
    <pivotField showAll="0"/>
    <pivotField dataField="1" showAll="0"/>
    <pivotField showAll="0"/>
    <pivotField showAll="0">
      <items count="6">
        <item h="1" x="4"/>
        <item h="1" x="2"/>
        <item h="1" x="3"/>
        <item h="1" x="0"/>
        <item x="1"/>
        <item t="default"/>
      </items>
    </pivotField>
    <pivotField showAll="0"/>
    <pivotField showAll="0"/>
    <pivotField dataField="1" numFmtId="2" showAll="0"/>
    <pivotField showAll="0"/>
    <pivotField showAll="0"/>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Fields count="1">
    <field x="-2"/>
  </colFields>
  <colItems count="3">
    <i>
      <x/>
    </i>
    <i i="1">
      <x v="1"/>
    </i>
    <i i="2">
      <x v="2"/>
    </i>
  </colItems>
  <dataFields count="3">
    <dataField name="Sum of Billing_Amount" fld="15" baseField="0" baseItem="0" numFmtId="2"/>
    <dataField name="Average of Length_of_Stay" fld="10" subtotal="average" baseField="6" baseItem="0"/>
    <dataField name="Count of Patient_ID" fld="0" subtotal="count" baseField="0" baseItem="0"/>
  </dataFields>
  <formats count="1">
    <format dxfId="181">
      <pivotArea outline="0" collapsedLevelsAreSubtotals="1" fieldPosition="0"/>
    </format>
  </formats>
  <chartFormats count="1">
    <chartFormat chart="0" format="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40E87E-7B5F-4535-8E49-F86EE94C479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31:R38" firstHeaderRow="1" firstDataRow="1" firstDataCol="1"/>
  <pivotFields count="25">
    <pivotField showAll="0"/>
    <pivotField showAll="0"/>
    <pivotField showAll="0"/>
    <pivotField axis="axisRow" showAll="0">
      <items count="7">
        <item x="0"/>
        <item x="2"/>
        <item x="5"/>
        <item x="3"/>
        <item x="4"/>
        <item x="1"/>
        <item t="default"/>
      </items>
    </pivotField>
    <pivotField showAll="0">
      <items count="3">
        <item x="1"/>
        <item x="0"/>
        <item t="default"/>
      </items>
    </pivotField>
    <pivotField showAll="0"/>
    <pivotField showAll="0">
      <items count="9">
        <item x="5"/>
        <item x="1"/>
        <item x="4"/>
        <item x="3"/>
        <item x="2"/>
        <item x="0"/>
        <item x="7"/>
        <item x="6"/>
        <item t="default"/>
      </items>
    </pivotField>
    <pivotField showAll="0">
      <items count="5">
        <item h="1" x="1"/>
        <item x="0"/>
        <item h="1" x="3"/>
        <item h="1" x="2"/>
        <item t="default"/>
      </items>
    </pivotField>
    <pivotField numFmtId="164" showAll="0">
      <items count="1267">
        <item x="744"/>
        <item x="1173"/>
        <item x="529"/>
        <item x="1079"/>
        <item x="456"/>
        <item x="470"/>
        <item x="955"/>
        <item x="725"/>
        <item x="410"/>
        <item x="647"/>
        <item x="937"/>
        <item x="521"/>
        <item x="271"/>
        <item x="692"/>
        <item x="606"/>
        <item x="1261"/>
        <item x="928"/>
        <item x="926"/>
        <item x="797"/>
        <item x="1125"/>
        <item x="635"/>
        <item x="839"/>
        <item x="313"/>
        <item x="355"/>
        <item x="698"/>
        <item x="1054"/>
        <item x="977"/>
        <item x="254"/>
        <item x="609"/>
        <item x="68"/>
        <item x="624"/>
        <item x="462"/>
        <item x="801"/>
        <item x="996"/>
        <item x="1069"/>
        <item x="931"/>
        <item x="212"/>
        <item x="672"/>
        <item x="541"/>
        <item x="646"/>
        <item x="1105"/>
        <item x="842"/>
        <item x="554"/>
        <item x="53"/>
        <item x="527"/>
        <item x="969"/>
        <item x="190"/>
        <item x="1093"/>
        <item x="727"/>
        <item x="171"/>
        <item x="239"/>
        <item x="375"/>
        <item x="525"/>
        <item x="1201"/>
        <item x="837"/>
        <item x="209"/>
        <item x="1230"/>
        <item x="339"/>
        <item x="983"/>
        <item x="1246"/>
        <item x="290"/>
        <item x="1192"/>
        <item x="34"/>
        <item x="682"/>
        <item x="787"/>
        <item x="309"/>
        <item x="1249"/>
        <item x="870"/>
        <item x="1011"/>
        <item x="1088"/>
        <item x="1064"/>
        <item x="281"/>
        <item x="929"/>
        <item x="715"/>
        <item x="399"/>
        <item x="716"/>
        <item x="656"/>
        <item x="258"/>
        <item x="517"/>
        <item x="540"/>
        <item x="181"/>
        <item x="327"/>
        <item x="454"/>
        <item x="994"/>
        <item x="1224"/>
        <item x="906"/>
        <item x="146"/>
        <item x="681"/>
        <item x="961"/>
        <item x="975"/>
        <item x="942"/>
        <item x="143"/>
        <item x="751"/>
        <item x="304"/>
        <item x="22"/>
        <item x="49"/>
        <item x="75"/>
        <item x="294"/>
        <item x="162"/>
        <item x="763"/>
        <item x="1245"/>
        <item x="895"/>
        <item x="648"/>
        <item x="217"/>
        <item x="1067"/>
        <item x="849"/>
        <item x="897"/>
        <item x="737"/>
        <item x="847"/>
        <item x="546"/>
        <item x="654"/>
        <item x="1210"/>
        <item x="717"/>
        <item x="367"/>
        <item x="137"/>
        <item x="917"/>
        <item x="819"/>
        <item x="851"/>
        <item x="78"/>
        <item x="189"/>
        <item x="347"/>
        <item x="900"/>
        <item x="1150"/>
        <item x="876"/>
        <item x="1265"/>
        <item x="685"/>
        <item x="1217"/>
        <item x="441"/>
        <item x="1238"/>
        <item x="997"/>
        <item x="343"/>
        <item x="712"/>
        <item x="287"/>
        <item x="526"/>
        <item x="247"/>
        <item x="570"/>
        <item x="64"/>
        <item x="709"/>
        <item x="809"/>
        <item x="608"/>
        <item x="59"/>
        <item x="619"/>
        <item x="446"/>
        <item x="670"/>
        <item x="116"/>
        <item x="573"/>
        <item x="706"/>
        <item x="215"/>
        <item x="163"/>
        <item x="417"/>
        <item x="805"/>
        <item x="432"/>
        <item x="764"/>
        <item x="338"/>
        <item x="910"/>
        <item x="1027"/>
        <item x="33"/>
        <item x="547"/>
        <item x="973"/>
        <item x="538"/>
        <item x="707"/>
        <item x="933"/>
        <item x="403"/>
        <item x="4"/>
        <item x="1021"/>
        <item x="543"/>
        <item x="833"/>
        <item x="133"/>
        <item x="365"/>
        <item x="592"/>
        <item x="358"/>
        <item x="412"/>
        <item x="968"/>
        <item x="984"/>
        <item x="1144"/>
        <item x="448"/>
        <item x="431"/>
        <item x="545"/>
        <item x="262"/>
        <item x="405"/>
        <item x="770"/>
        <item x="1263"/>
        <item x="1169"/>
        <item x="114"/>
        <item x="155"/>
        <item x="283"/>
        <item x="267"/>
        <item x="768"/>
        <item x="887"/>
        <item x="945"/>
        <item x="387"/>
        <item x="1123"/>
        <item x="359"/>
        <item x="814"/>
        <item x="361"/>
        <item x="58"/>
        <item x="653"/>
        <item x="208"/>
        <item x="904"/>
        <item x="106"/>
        <item x="585"/>
        <item x="484"/>
        <item x="967"/>
        <item x="35"/>
        <item x="639"/>
        <item x="836"/>
        <item x="43"/>
        <item x="222"/>
        <item x="718"/>
        <item x="591"/>
        <item x="902"/>
        <item x="366"/>
        <item x="759"/>
        <item x="1092"/>
        <item x="383"/>
        <item x="742"/>
        <item x="509"/>
        <item x="575"/>
        <item x="95"/>
        <item x="127"/>
        <item x="480"/>
        <item x="558"/>
        <item x="535"/>
        <item x="1013"/>
        <item x="1028"/>
        <item x="1038"/>
        <item x="867"/>
        <item x="427"/>
        <item x="952"/>
        <item x="1197"/>
        <item x="726"/>
        <item x="583"/>
        <item x="879"/>
        <item x="894"/>
        <item x="816"/>
        <item x="919"/>
        <item x="1163"/>
        <item x="411"/>
        <item x="30"/>
        <item x="778"/>
        <item x="266"/>
        <item x="531"/>
        <item x="594"/>
        <item x="19"/>
        <item x="368"/>
        <item x="773"/>
        <item x="85"/>
        <item x="920"/>
        <item x="443"/>
        <item x="678"/>
        <item x="793"/>
        <item x="9"/>
        <item x="752"/>
        <item x="202"/>
        <item x="1240"/>
        <item x="993"/>
        <item x="151"/>
        <item x="178"/>
        <item x="269"/>
        <item x="481"/>
        <item x="152"/>
        <item x="72"/>
        <item x="1134"/>
        <item x="523"/>
        <item x="886"/>
        <item x="396"/>
        <item x="779"/>
        <item x="676"/>
        <item x="82"/>
        <item x="1080"/>
        <item x="1250"/>
        <item x="769"/>
        <item x="868"/>
        <item x="679"/>
        <item x="595"/>
        <item x="237"/>
        <item x="1198"/>
        <item x="1152"/>
        <item x="1090"/>
        <item x="426"/>
        <item x="200"/>
        <item x="149"/>
        <item x="101"/>
        <item x="914"/>
        <item x="440"/>
        <item x="590"/>
        <item x="483"/>
        <item x="16"/>
        <item x="827"/>
        <item x="1056"/>
        <item x="207"/>
        <item x="170"/>
        <item x="311"/>
        <item x="288"/>
        <item x="474"/>
        <item x="1204"/>
        <item x="1009"/>
        <item x="611"/>
        <item x="1165"/>
        <item x="990"/>
        <item x="153"/>
        <item x="520"/>
        <item x="326"/>
        <item x="582"/>
        <item x="447"/>
        <item x="195"/>
        <item x="519"/>
        <item x="107"/>
        <item x="641"/>
        <item x="855"/>
        <item x="260"/>
        <item x="508"/>
        <item x="664"/>
        <item x="1184"/>
        <item x="316"/>
        <item x="450"/>
        <item x="941"/>
        <item x="1183"/>
        <item x="60"/>
        <item x="93"/>
        <item x="44"/>
        <item x="398"/>
        <item x="812"/>
        <item x="1084"/>
        <item x="880"/>
        <item x="1019"/>
        <item x="1005"/>
        <item x="363"/>
        <item x="1241"/>
        <item x="903"/>
        <item x="42"/>
        <item x="278"/>
        <item x="513"/>
        <item x="1200"/>
        <item x="1061"/>
        <item x="607"/>
        <item x="599"/>
        <item x="486"/>
        <item x="39"/>
        <item x="1086"/>
        <item x="1242"/>
        <item x="144"/>
        <item x="605"/>
        <item x="1016"/>
        <item x="828"/>
        <item x="340"/>
        <item x="110"/>
        <item x="264"/>
        <item x="125"/>
        <item x="1190"/>
        <item x="1239"/>
        <item x="138"/>
        <item x="866"/>
        <item x="1107"/>
        <item x="173"/>
        <item x="467"/>
        <item x="702"/>
        <item x="86"/>
        <item x="831"/>
        <item x="927"/>
        <item x="145"/>
        <item x="14"/>
        <item x="971"/>
        <item x="193"/>
        <item x="1041"/>
        <item x="249"/>
        <item x="172"/>
        <item x="109"/>
        <item x="406"/>
        <item x="280"/>
        <item x="84"/>
        <item x="1008"/>
        <item x="699"/>
        <item x="767"/>
        <item x="1147"/>
        <item x="370"/>
        <item x="922"/>
        <item x="416"/>
        <item x="1133"/>
        <item x="985"/>
        <item x="563"/>
        <item x="789"/>
        <item x="330"/>
        <item x="964"/>
        <item x="487"/>
        <item x="1141"/>
        <item x="1117"/>
        <item x="1085"/>
        <item x="1227"/>
        <item x="1157"/>
        <item x="938"/>
        <item x="1255"/>
        <item x="962"/>
        <item x="505"/>
        <item x="413"/>
        <item x="838"/>
        <item x="50"/>
        <item x="666"/>
        <item x="507"/>
        <item x="890"/>
        <item x="419"/>
        <item x="113"/>
        <item x="510"/>
        <item x="491"/>
        <item x="8"/>
        <item x="112"/>
        <item x="633"/>
        <item x="76"/>
        <item x="1170"/>
        <item x="669"/>
        <item x="1191"/>
        <item x="766"/>
        <item x="913"/>
        <item x="244"/>
        <item x="488"/>
        <item x="425"/>
        <item x="415"/>
        <item x="684"/>
        <item x="268"/>
        <item x="1058"/>
        <item x="6"/>
        <item x="813"/>
        <item x="549"/>
        <item x="765"/>
        <item x="815"/>
        <item x="888"/>
        <item x="1199"/>
        <item x="1109"/>
        <item x="37"/>
        <item x="853"/>
        <item x="89"/>
        <item x="1194"/>
        <item x="1029"/>
        <item x="905"/>
        <item x="1075"/>
        <item x="194"/>
        <item x="925"/>
        <item x="810"/>
        <item x="1087"/>
        <item x="497"/>
        <item x="1146"/>
        <item x="1253"/>
        <item x="1237"/>
        <item x="1045"/>
        <item x="553"/>
        <item x="630"/>
        <item x="1213"/>
        <item x="159"/>
        <item x="1031"/>
        <item x="1100"/>
        <item x="802"/>
        <item x="473"/>
        <item x="23"/>
        <item x="1222"/>
        <item x="38"/>
        <item x="1256"/>
        <item x="1164"/>
        <item x="351"/>
        <item x="228"/>
        <item x="1129"/>
        <item x="91"/>
        <item x="251"/>
        <item x="62"/>
        <item x="1040"/>
        <item x="696"/>
        <item x="1172"/>
        <item x="1196"/>
        <item x="980"/>
        <item x="165"/>
        <item x="468"/>
        <item x="1243"/>
        <item x="197"/>
        <item x="1004"/>
        <item x="644"/>
        <item x="379"/>
        <item x="385"/>
        <item x="756"/>
        <item x="248"/>
        <item x="1113"/>
        <item x="360"/>
        <item x="1047"/>
        <item x="476"/>
        <item x="614"/>
        <item x="1139"/>
        <item x="148"/>
        <item x="566"/>
        <item x="776"/>
        <item x="615"/>
        <item x="621"/>
        <item x="1118"/>
        <item x="524"/>
        <item x="118"/>
        <item x="231"/>
        <item x="1221"/>
        <item x="183"/>
        <item x="253"/>
        <item x="864"/>
        <item x="312"/>
        <item x="775"/>
        <item x="584"/>
        <item x="671"/>
        <item x="88"/>
        <item x="1128"/>
        <item x="1119"/>
        <item x="807"/>
        <item x="830"/>
        <item x="883"/>
        <item x="77"/>
        <item x="1035"/>
        <item x="1208"/>
        <item x="235"/>
        <item x="1223"/>
        <item x="469"/>
        <item x="581"/>
        <item x="1148"/>
        <item x="1076"/>
        <item x="550"/>
        <item x="1189"/>
        <item x="1015"/>
        <item x="786"/>
        <item x="1106"/>
        <item x="714"/>
        <item x="479"/>
        <item x="1234"/>
        <item x="0"/>
        <item x="651"/>
        <item x="1219"/>
        <item x="536"/>
        <item x="373"/>
        <item x="166"/>
        <item x="826"/>
        <item x="691"/>
        <item x="1099"/>
        <item x="437"/>
        <item x="825"/>
        <item x="301"/>
        <item x="226"/>
        <item x="342"/>
        <item x="1006"/>
        <item x="80"/>
        <item x="1174"/>
        <item x="154"/>
        <item x="1205"/>
        <item x="1033"/>
        <item x="345"/>
        <item x="332"/>
        <item x="1"/>
        <item x="687"/>
        <item x="315"/>
        <item x="245"/>
        <item x="956"/>
        <item x="1262"/>
        <item x="1236"/>
        <item x="141"/>
        <item x="949"/>
        <item x="551"/>
        <item x="597"/>
        <item x="708"/>
        <item x="492"/>
        <item x="854"/>
        <item x="978"/>
        <item x="296"/>
        <item x="7"/>
        <item x="1050"/>
        <item x="46"/>
        <item x="1096"/>
        <item x="661"/>
        <item x="407"/>
        <item x="649"/>
        <item x="1073"/>
        <item x="386"/>
        <item x="502"/>
        <item x="1116"/>
        <item x="899"/>
        <item x="577"/>
        <item x="1032"/>
        <item x="199"/>
        <item x="121"/>
        <item x="458"/>
        <item x="108"/>
        <item x="246"/>
        <item x="477"/>
        <item x="921"/>
        <item x="954"/>
        <item x="219"/>
        <item x="270"/>
        <item x="645"/>
        <item x="10"/>
        <item x="1149"/>
        <item x="874"/>
        <item x="131"/>
        <item x="965"/>
        <item x="320"/>
        <item x="41"/>
        <item x="794"/>
        <item x="397"/>
        <item x="211"/>
        <item x="533"/>
        <item x="655"/>
        <item x="1034"/>
        <item x="65"/>
        <item x="804"/>
        <item x="1244"/>
        <item x="494"/>
        <item x="87"/>
        <item x="884"/>
        <item x="376"/>
        <item x="850"/>
        <item x="335"/>
        <item x="232"/>
        <item x="1181"/>
        <item x="636"/>
        <item x="701"/>
        <item x="992"/>
        <item x="485"/>
        <item x="643"/>
        <item x="979"/>
        <item x="1193"/>
        <item x="1001"/>
        <item x="81"/>
        <item x="356"/>
        <item x="495"/>
        <item x="29"/>
        <item x="188"/>
        <item x="140"/>
        <item x="92"/>
        <item x="94"/>
        <item x="618"/>
        <item x="21"/>
        <item x="785"/>
        <item x="325"/>
        <item x="841"/>
        <item x="574"/>
        <item x="1195"/>
        <item x="898"/>
        <item x="657"/>
        <item x="667"/>
        <item x="102"/>
        <item x="1111"/>
        <item x="382"/>
        <item x="1215"/>
        <item x="435"/>
        <item x="565"/>
        <item x="472"/>
        <item x="128"/>
        <item x="297"/>
        <item x="341"/>
        <item x="362"/>
        <item x="1135"/>
        <item x="589"/>
        <item x="1102"/>
        <item x="1057"/>
        <item x="499"/>
        <item x="1182"/>
        <item x="466"/>
        <item x="1063"/>
        <item x="999"/>
        <item x="916"/>
        <item x="991"/>
        <item x="252"/>
        <item x="156"/>
        <item x="1264"/>
        <item x="1078"/>
        <item x="395"/>
        <item x="273"/>
        <item x="680"/>
        <item x="465"/>
        <item x="295"/>
        <item x="1130"/>
        <item x="191"/>
        <item x="404"/>
        <item x="164"/>
        <item x="755"/>
        <item x="695"/>
        <item x="306"/>
        <item x="1159"/>
        <item x="26"/>
        <item x="393"/>
        <item x="422"/>
        <item x="580"/>
        <item x="1140"/>
        <item x="54"/>
        <item x="56"/>
        <item x="135"/>
        <item x="1258"/>
        <item x="552"/>
        <item x="354"/>
        <item x="821"/>
        <item x="637"/>
        <item x="1020"/>
        <item x="3"/>
        <item x="1018"/>
        <item x="449"/>
        <item x="976"/>
        <item x="1094"/>
        <item x="1214"/>
        <item x="1065"/>
        <item x="947"/>
        <item x="18"/>
        <item x="498"/>
        <item x="539"/>
        <item x="218"/>
        <item x="1155"/>
        <item x="324"/>
        <item x="1051"/>
        <item x="596"/>
        <item x="255"/>
        <item x="1226"/>
        <item x="686"/>
        <item x="20"/>
        <item x="434"/>
        <item x="471"/>
        <item x="889"/>
        <item x="1030"/>
        <item x="753"/>
        <item x="930"/>
        <item x="501"/>
        <item x="950"/>
        <item x="83"/>
        <item x="1178"/>
        <item x="693"/>
        <item x="1206"/>
        <item x="1095"/>
        <item x="668"/>
        <item x="1043"/>
        <item x="299"/>
        <item x="303"/>
        <item x="642"/>
        <item x="1248"/>
        <item x="1070"/>
        <item x="1137"/>
        <item x="73"/>
        <item x="31"/>
        <item x="1247"/>
        <item x="74"/>
        <item x="858"/>
        <item x="123"/>
        <item x="762"/>
        <item x="504"/>
        <item x="289"/>
        <item x="891"/>
        <item x="455"/>
        <item x="1023"/>
        <item x="500"/>
        <item x="1168"/>
        <item x="634"/>
        <item x="1179"/>
        <item x="12"/>
        <item x="918"/>
        <item x="493"/>
        <item x="800"/>
        <item x="1091"/>
        <item x="528"/>
        <item x="732"/>
        <item x="1180"/>
        <item x="998"/>
        <item x="1211"/>
        <item x="230"/>
        <item x="221"/>
        <item x="55"/>
        <item x="1166"/>
        <item x="111"/>
        <item x="846"/>
        <item x="650"/>
        <item x="532"/>
        <item x="881"/>
        <item x="256"/>
        <item x="781"/>
        <item x="136"/>
        <item x="852"/>
        <item x="1254"/>
        <item x="52"/>
        <item x="748"/>
        <item x="1175"/>
        <item x="40"/>
        <item x="236"/>
        <item x="371"/>
        <item x="134"/>
        <item x="323"/>
        <item x="561"/>
        <item x="723"/>
        <item x="587"/>
        <item x="556"/>
        <item x="1153"/>
        <item x="390"/>
        <item x="182"/>
        <item x="331"/>
        <item x="438"/>
        <item x="791"/>
        <item x="1176"/>
        <item x="1103"/>
        <item x="792"/>
        <item x="1082"/>
        <item x="57"/>
        <item x="736"/>
        <item x="157"/>
        <item x="1257"/>
        <item x="250"/>
        <item x="1060"/>
        <item x="210"/>
        <item x="972"/>
        <item x="282"/>
        <item x="47"/>
        <item x="176"/>
        <item x="233"/>
        <item x="276"/>
        <item x="683"/>
        <item x="882"/>
        <item x="96"/>
        <item x="555"/>
        <item x="117"/>
        <item x="746"/>
        <item x="1097"/>
        <item x="186"/>
        <item x="567"/>
        <item x="844"/>
        <item x="817"/>
        <item x="1048"/>
        <item x="1162"/>
        <item x="943"/>
        <item x="1132"/>
        <item x="537"/>
        <item x="784"/>
        <item x="875"/>
        <item x="640"/>
        <item x="600"/>
        <item x="1185"/>
        <item x="970"/>
        <item x="122"/>
        <item x="394"/>
        <item x="750"/>
        <item x="616"/>
        <item x="25"/>
        <item x="168"/>
        <item x="430"/>
        <item x="705"/>
        <item x="721"/>
        <item x="174"/>
        <item x="321"/>
        <item x="263"/>
        <item x="175"/>
        <item x="291"/>
        <item x="856"/>
        <item x="391"/>
        <item x="796"/>
        <item x="424"/>
        <item x="790"/>
        <item x="274"/>
        <item x="265"/>
        <item x="132"/>
        <item x="1002"/>
        <item x="482"/>
        <item x="743"/>
        <item x="1229"/>
        <item x="711"/>
        <item x="783"/>
        <item x="179"/>
        <item x="988"/>
        <item x="1024"/>
        <item x="604"/>
        <item x="806"/>
        <item x="442"/>
        <item x="901"/>
        <item x="459"/>
        <item x="516"/>
        <item x="380"/>
        <item x="586"/>
        <item x="364"/>
        <item x="799"/>
        <item x="1055"/>
        <item x="220"/>
        <item x="337"/>
        <item x="357"/>
        <item x="67"/>
        <item x="408"/>
        <item x="240"/>
        <item x="522"/>
        <item x="1235"/>
        <item x="205"/>
        <item x="401"/>
        <item x="1220"/>
        <item x="1072"/>
        <item x="579"/>
        <item x="603"/>
        <item x="305"/>
        <item x="1231"/>
        <item x="192"/>
        <item x="1081"/>
        <item x="1022"/>
        <item x="660"/>
        <item x="302"/>
        <item x="464"/>
        <item x="1014"/>
        <item x="374"/>
        <item x="104"/>
        <item x="674"/>
        <item x="475"/>
        <item x="675"/>
        <item x="213"/>
        <item x="161"/>
        <item x="924"/>
        <item x="336"/>
        <item x="319"/>
        <item x="869"/>
        <item x="229"/>
        <item x="224"/>
        <item x="402"/>
        <item x="612"/>
        <item x="418"/>
        <item x="788"/>
        <item x="223"/>
        <item x="158"/>
        <item x="915"/>
        <item x="457"/>
        <item x="733"/>
        <item x="861"/>
        <item x="203"/>
        <item x="745"/>
        <item x="429"/>
        <item x="120"/>
        <item x="2"/>
        <item x="490"/>
        <item x="772"/>
        <item x="97"/>
        <item x="436"/>
        <item x="720"/>
        <item x="719"/>
        <item x="848"/>
        <item x="51"/>
        <item x="1156"/>
        <item x="1115"/>
        <item x="824"/>
        <item x="489"/>
        <item x="451"/>
        <item x="560"/>
        <item x="940"/>
        <item x="378"/>
        <item x="409"/>
        <item x="15"/>
        <item x="333"/>
        <item x="1187"/>
        <item x="1052"/>
        <item x="663"/>
        <item x="1202"/>
        <item x="317"/>
        <item x="548"/>
        <item x="739"/>
        <item x="932"/>
        <item x="103"/>
        <item x="728"/>
        <item x="185"/>
        <item x="628"/>
        <item x="1036"/>
        <item x="167"/>
        <item x="1228"/>
        <item x="346"/>
        <item x="572"/>
        <item x="90"/>
        <item x="629"/>
        <item x="225"/>
        <item x="1121"/>
        <item x="627"/>
        <item x="982"/>
        <item x="36"/>
        <item x="349"/>
        <item x="300"/>
        <item x="697"/>
        <item x="885"/>
        <item x="353"/>
        <item x="17"/>
        <item x="625"/>
        <item x="782"/>
        <item x="1044"/>
        <item x="843"/>
        <item x="384"/>
        <item x="196"/>
        <item x="1068"/>
        <item x="1046"/>
        <item x="515"/>
        <item x="369"/>
        <item x="862"/>
        <item x="350"/>
        <item x="444"/>
        <item x="423"/>
        <item x="1012"/>
        <item x="32"/>
        <item x="665"/>
        <item x="285"/>
        <item x="61"/>
        <item x="392"/>
        <item x="602"/>
        <item x="803"/>
        <item x="960"/>
        <item x="503"/>
        <item x="1039"/>
        <item x="100"/>
        <item x="1071"/>
        <item x="284"/>
        <item x="45"/>
        <item x="724"/>
        <item x="1142"/>
        <item x="710"/>
        <item x="216"/>
        <item x="780"/>
        <item x="1225"/>
        <item x="115"/>
        <item x="184"/>
        <item x="1042"/>
        <item x="28"/>
        <item x="631"/>
        <item x="1145"/>
        <item x="105"/>
        <item x="658"/>
        <item x="119"/>
        <item x="272"/>
        <item x="935"/>
        <item x="69"/>
        <item x="760"/>
        <item x="126"/>
        <item x="823"/>
        <item x="578"/>
        <item x="1186"/>
        <item x="987"/>
        <item x="878"/>
        <item x="958"/>
        <item x="734"/>
        <item x="1207"/>
        <item x="694"/>
        <item x="243"/>
        <item x="1171"/>
        <item x="557"/>
        <item x="13"/>
        <item x="227"/>
        <item x="298"/>
        <item x="562"/>
        <item x="946"/>
        <item x="1077"/>
        <item x="829"/>
        <item x="310"/>
        <item x="98"/>
        <item x="348"/>
        <item x="892"/>
        <item x="478"/>
        <item x="1259"/>
        <item x="352"/>
        <item x="1138"/>
        <item x="840"/>
        <item x="66"/>
        <item x="242"/>
        <item x="187"/>
        <item x="177"/>
        <item x="293"/>
        <item x="569"/>
        <item x="1218"/>
        <item x="820"/>
        <item x="700"/>
        <item x="414"/>
        <item x="704"/>
        <item x="598"/>
        <item x="757"/>
        <item x="286"/>
        <item x="953"/>
        <item x="936"/>
        <item x="334"/>
        <item x="275"/>
        <item x="1010"/>
        <item x="206"/>
        <item x="703"/>
        <item x="859"/>
        <item x="777"/>
        <item x="729"/>
        <item x="907"/>
        <item x="863"/>
        <item x="741"/>
        <item x="496"/>
        <item x="623"/>
        <item x="261"/>
        <item x="1049"/>
        <item x="1059"/>
        <item x="1143"/>
        <item x="389"/>
        <item x="1124"/>
        <item x="1151"/>
        <item x="1066"/>
        <item x="129"/>
        <item x="1017"/>
        <item x="857"/>
        <item x="1000"/>
        <item x="150"/>
        <item x="63"/>
        <item x="445"/>
        <item x="896"/>
        <item x="944"/>
        <item x="1233"/>
        <item x="1131"/>
        <item x="142"/>
        <item x="514"/>
        <item x="400"/>
        <item x="1104"/>
        <item x="632"/>
        <item x="939"/>
        <item x="730"/>
        <item x="638"/>
        <item x="1177"/>
        <item x="822"/>
        <item x="24"/>
        <item x="923"/>
        <item x="5"/>
        <item x="308"/>
        <item x="1114"/>
        <item x="749"/>
        <item x="506"/>
        <item x="722"/>
        <item x="617"/>
        <item x="1158"/>
        <item x="534"/>
        <item x="713"/>
        <item x="740"/>
        <item x="1251"/>
        <item x="798"/>
        <item x="959"/>
        <item x="835"/>
        <item x="1074"/>
        <item x="677"/>
        <item x="130"/>
        <item x="452"/>
        <item x="1154"/>
        <item x="948"/>
        <item x="662"/>
        <item x="1053"/>
        <item x="731"/>
        <item x="1110"/>
        <item x="433"/>
        <item x="1007"/>
        <item x="738"/>
        <item x="808"/>
        <item x="659"/>
        <item x="198"/>
        <item x="576"/>
        <item x="420"/>
        <item x="277"/>
        <item x="832"/>
        <item x="974"/>
        <item x="372"/>
        <item x="811"/>
        <item x="989"/>
        <item x="1120"/>
        <item x="1108"/>
        <item x="70"/>
        <item x="601"/>
        <item x="845"/>
        <item x="871"/>
        <item x="1260"/>
        <item x="292"/>
        <item x="893"/>
        <item x="912"/>
        <item x="873"/>
        <item x="877"/>
        <item x="593"/>
        <item x="180"/>
        <item x="995"/>
        <item x="564"/>
        <item x="613"/>
        <item x="872"/>
        <item x="1026"/>
        <item x="774"/>
        <item x="201"/>
        <item x="1037"/>
        <item x="238"/>
        <item x="1101"/>
        <item x="234"/>
        <item x="1212"/>
        <item x="1083"/>
        <item x="1232"/>
        <item x="860"/>
        <item x="460"/>
        <item x="818"/>
        <item x="622"/>
        <item x="453"/>
        <item x="981"/>
        <item x="381"/>
        <item x="610"/>
        <item x="1127"/>
        <item x="966"/>
        <item x="160"/>
        <item x="754"/>
        <item x="689"/>
        <item x="542"/>
        <item x="241"/>
        <item x="1089"/>
        <item x="1209"/>
        <item x="911"/>
        <item x="1025"/>
        <item x="11"/>
        <item x="279"/>
        <item x="463"/>
        <item x="344"/>
        <item x="307"/>
        <item x="673"/>
        <item x="461"/>
        <item x="421"/>
        <item x="986"/>
        <item x="795"/>
        <item x="439"/>
        <item x="568"/>
        <item x="1062"/>
        <item x="314"/>
        <item x="124"/>
        <item x="99"/>
        <item x="48"/>
        <item x="771"/>
        <item x="544"/>
        <item x="1126"/>
        <item x="71"/>
        <item x="1188"/>
        <item x="328"/>
        <item x="758"/>
        <item x="688"/>
        <item x="1098"/>
        <item x="169"/>
        <item x="908"/>
        <item x="963"/>
        <item x="1160"/>
        <item x="957"/>
        <item x="79"/>
        <item x="865"/>
        <item x="27"/>
        <item x="588"/>
        <item x="1203"/>
        <item x="511"/>
        <item x="259"/>
        <item x="518"/>
        <item x="1252"/>
        <item x="747"/>
        <item x="690"/>
        <item x="626"/>
        <item x="909"/>
        <item x="1112"/>
        <item x="1136"/>
        <item x="530"/>
        <item x="139"/>
        <item x="652"/>
        <item x="512"/>
        <item x="761"/>
        <item x="428"/>
        <item x="257"/>
        <item x="147"/>
        <item x="1003"/>
        <item x="834"/>
        <item x="571"/>
        <item x="318"/>
        <item x="620"/>
        <item x="329"/>
        <item x="1161"/>
        <item x="1216"/>
        <item x="559"/>
        <item x="1122"/>
        <item x="322"/>
        <item x="735"/>
        <item x="214"/>
        <item x="1167"/>
        <item x="951"/>
        <item x="377"/>
        <item x="204"/>
        <item x="388"/>
        <item x="934"/>
        <item t="default"/>
      </items>
    </pivotField>
    <pivotField showAll="0"/>
    <pivotField showAll="0"/>
    <pivotField showAll="0"/>
    <pivotField showAll="0">
      <items count="6">
        <item h="1" x="4"/>
        <item h="1" x="2"/>
        <item h="1" x="3"/>
        <item h="1" x="0"/>
        <item x="1"/>
        <item t="default"/>
      </items>
    </pivotField>
    <pivotField showAll="0"/>
    <pivotField showAll="0">
      <items count="7">
        <item x="2"/>
        <item x="4"/>
        <item x="0"/>
        <item x="1"/>
        <item x="5"/>
        <item x="3"/>
        <item t="default"/>
      </items>
    </pivotField>
    <pivotField dataField="1" numFmtId="2" showAll="0"/>
    <pivotField showAll="0"/>
    <pivotField showAll="0"/>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3"/>
  </rowFields>
  <rowItems count="7">
    <i>
      <x/>
    </i>
    <i>
      <x v="1"/>
    </i>
    <i>
      <x v="2"/>
    </i>
    <i>
      <x v="3"/>
    </i>
    <i>
      <x v="4"/>
    </i>
    <i>
      <x v="5"/>
    </i>
    <i t="grand">
      <x/>
    </i>
  </rowItems>
  <colItems count="1">
    <i/>
  </colItems>
  <dataFields count="1">
    <dataField name="Total_Billing" fld="15" baseField="0" baseItem="0" numFmtId="2"/>
  </dataFields>
  <formats count="1">
    <format dxfId="182">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5DBD03-2825-468C-B7D3-ABD957A72DB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2" firstHeaderRow="0" firstDataRow="1" firstDataCol="1"/>
  <pivotFields count="25">
    <pivotField dataField="1" showAll="0"/>
    <pivotField showAll="0"/>
    <pivotField showAll="0"/>
    <pivotField showAll="0">
      <items count="7">
        <item x="0"/>
        <item x="2"/>
        <item x="5"/>
        <item x="3"/>
        <item x="4"/>
        <item x="1"/>
        <item t="default"/>
      </items>
    </pivotField>
    <pivotField showAll="0">
      <items count="3">
        <item x="1"/>
        <item x="0"/>
        <item t="default"/>
      </items>
    </pivotField>
    <pivotField showAll="0"/>
    <pivotField axis="axisRow" showAll="0">
      <items count="9">
        <item x="5"/>
        <item x="1"/>
        <item x="4"/>
        <item x="3"/>
        <item x="2"/>
        <item x="0"/>
        <item x="7"/>
        <item x="6"/>
        <item t="default"/>
      </items>
    </pivotField>
    <pivotField showAll="0">
      <items count="5">
        <item h="1" x="1"/>
        <item x="0"/>
        <item h="1" x="3"/>
        <item h="1" x="2"/>
        <item t="default"/>
      </items>
    </pivotField>
    <pivotField numFmtId="164" showAll="0">
      <items count="1267">
        <item x="744"/>
        <item x="1173"/>
        <item x="529"/>
        <item x="1079"/>
        <item x="456"/>
        <item x="470"/>
        <item x="955"/>
        <item x="725"/>
        <item x="410"/>
        <item x="647"/>
        <item x="937"/>
        <item x="521"/>
        <item x="271"/>
        <item x="692"/>
        <item x="606"/>
        <item x="1261"/>
        <item x="928"/>
        <item x="926"/>
        <item x="797"/>
        <item x="1125"/>
        <item x="635"/>
        <item x="839"/>
        <item x="313"/>
        <item x="355"/>
        <item x="698"/>
        <item x="1054"/>
        <item x="977"/>
        <item x="254"/>
        <item x="609"/>
        <item x="68"/>
        <item x="624"/>
        <item x="462"/>
        <item x="801"/>
        <item x="996"/>
        <item x="1069"/>
        <item x="931"/>
        <item x="212"/>
        <item x="672"/>
        <item x="541"/>
        <item x="646"/>
        <item x="1105"/>
        <item x="842"/>
        <item x="554"/>
        <item x="53"/>
        <item x="527"/>
        <item x="969"/>
        <item x="190"/>
        <item x="1093"/>
        <item x="727"/>
        <item x="171"/>
        <item x="239"/>
        <item x="375"/>
        <item x="525"/>
        <item x="1201"/>
        <item x="837"/>
        <item x="209"/>
        <item x="1230"/>
        <item x="339"/>
        <item x="983"/>
        <item x="1246"/>
        <item x="290"/>
        <item x="1192"/>
        <item x="34"/>
        <item x="682"/>
        <item x="787"/>
        <item x="309"/>
        <item x="1249"/>
        <item x="870"/>
        <item x="1011"/>
        <item x="1088"/>
        <item x="1064"/>
        <item x="281"/>
        <item x="929"/>
        <item x="715"/>
        <item x="399"/>
        <item x="716"/>
        <item x="656"/>
        <item x="258"/>
        <item x="517"/>
        <item x="540"/>
        <item x="181"/>
        <item x="327"/>
        <item x="454"/>
        <item x="994"/>
        <item x="1224"/>
        <item x="906"/>
        <item x="146"/>
        <item x="681"/>
        <item x="961"/>
        <item x="975"/>
        <item x="942"/>
        <item x="143"/>
        <item x="751"/>
        <item x="304"/>
        <item x="22"/>
        <item x="49"/>
        <item x="75"/>
        <item x="294"/>
        <item x="162"/>
        <item x="763"/>
        <item x="1245"/>
        <item x="895"/>
        <item x="648"/>
        <item x="217"/>
        <item x="1067"/>
        <item x="849"/>
        <item x="897"/>
        <item x="737"/>
        <item x="847"/>
        <item x="546"/>
        <item x="654"/>
        <item x="1210"/>
        <item x="717"/>
        <item x="367"/>
        <item x="137"/>
        <item x="917"/>
        <item x="819"/>
        <item x="851"/>
        <item x="78"/>
        <item x="189"/>
        <item x="347"/>
        <item x="900"/>
        <item x="1150"/>
        <item x="876"/>
        <item x="1265"/>
        <item x="685"/>
        <item x="1217"/>
        <item x="441"/>
        <item x="1238"/>
        <item x="997"/>
        <item x="343"/>
        <item x="712"/>
        <item x="287"/>
        <item x="526"/>
        <item x="247"/>
        <item x="570"/>
        <item x="64"/>
        <item x="709"/>
        <item x="809"/>
        <item x="608"/>
        <item x="59"/>
        <item x="619"/>
        <item x="446"/>
        <item x="670"/>
        <item x="116"/>
        <item x="573"/>
        <item x="706"/>
        <item x="215"/>
        <item x="163"/>
        <item x="417"/>
        <item x="805"/>
        <item x="432"/>
        <item x="764"/>
        <item x="338"/>
        <item x="910"/>
        <item x="1027"/>
        <item x="33"/>
        <item x="547"/>
        <item x="973"/>
        <item x="538"/>
        <item x="707"/>
        <item x="933"/>
        <item x="403"/>
        <item x="4"/>
        <item x="1021"/>
        <item x="543"/>
        <item x="833"/>
        <item x="133"/>
        <item x="365"/>
        <item x="592"/>
        <item x="358"/>
        <item x="412"/>
        <item x="968"/>
        <item x="984"/>
        <item x="1144"/>
        <item x="448"/>
        <item x="431"/>
        <item x="545"/>
        <item x="262"/>
        <item x="405"/>
        <item x="770"/>
        <item x="1263"/>
        <item x="1169"/>
        <item x="114"/>
        <item x="155"/>
        <item x="283"/>
        <item x="267"/>
        <item x="768"/>
        <item x="887"/>
        <item x="945"/>
        <item x="387"/>
        <item x="1123"/>
        <item x="359"/>
        <item x="814"/>
        <item x="361"/>
        <item x="58"/>
        <item x="653"/>
        <item x="208"/>
        <item x="904"/>
        <item x="106"/>
        <item x="585"/>
        <item x="484"/>
        <item x="967"/>
        <item x="35"/>
        <item x="639"/>
        <item x="836"/>
        <item x="43"/>
        <item x="222"/>
        <item x="718"/>
        <item x="591"/>
        <item x="902"/>
        <item x="366"/>
        <item x="759"/>
        <item x="1092"/>
        <item x="383"/>
        <item x="742"/>
        <item x="509"/>
        <item x="575"/>
        <item x="95"/>
        <item x="127"/>
        <item x="480"/>
        <item x="558"/>
        <item x="535"/>
        <item x="1013"/>
        <item x="1028"/>
        <item x="1038"/>
        <item x="867"/>
        <item x="427"/>
        <item x="952"/>
        <item x="1197"/>
        <item x="726"/>
        <item x="583"/>
        <item x="879"/>
        <item x="894"/>
        <item x="816"/>
        <item x="919"/>
        <item x="1163"/>
        <item x="411"/>
        <item x="30"/>
        <item x="778"/>
        <item x="266"/>
        <item x="531"/>
        <item x="594"/>
        <item x="19"/>
        <item x="368"/>
        <item x="773"/>
        <item x="85"/>
        <item x="920"/>
        <item x="443"/>
        <item x="678"/>
        <item x="793"/>
        <item x="9"/>
        <item x="752"/>
        <item x="202"/>
        <item x="1240"/>
        <item x="993"/>
        <item x="151"/>
        <item x="178"/>
        <item x="269"/>
        <item x="481"/>
        <item x="152"/>
        <item x="72"/>
        <item x="1134"/>
        <item x="523"/>
        <item x="886"/>
        <item x="396"/>
        <item x="779"/>
        <item x="676"/>
        <item x="82"/>
        <item x="1080"/>
        <item x="1250"/>
        <item x="769"/>
        <item x="868"/>
        <item x="679"/>
        <item x="595"/>
        <item x="237"/>
        <item x="1198"/>
        <item x="1152"/>
        <item x="1090"/>
        <item x="426"/>
        <item x="200"/>
        <item x="149"/>
        <item x="101"/>
        <item x="914"/>
        <item x="440"/>
        <item x="590"/>
        <item x="483"/>
        <item x="16"/>
        <item x="827"/>
        <item x="1056"/>
        <item x="207"/>
        <item x="170"/>
        <item x="311"/>
        <item x="288"/>
        <item x="474"/>
        <item x="1204"/>
        <item x="1009"/>
        <item x="611"/>
        <item x="1165"/>
        <item x="990"/>
        <item x="153"/>
        <item x="520"/>
        <item x="326"/>
        <item x="582"/>
        <item x="447"/>
        <item x="195"/>
        <item x="519"/>
        <item x="107"/>
        <item x="641"/>
        <item x="855"/>
        <item x="260"/>
        <item x="508"/>
        <item x="664"/>
        <item x="1184"/>
        <item x="316"/>
        <item x="450"/>
        <item x="941"/>
        <item x="1183"/>
        <item x="60"/>
        <item x="93"/>
        <item x="44"/>
        <item x="398"/>
        <item x="812"/>
        <item x="1084"/>
        <item x="880"/>
        <item x="1019"/>
        <item x="1005"/>
        <item x="363"/>
        <item x="1241"/>
        <item x="903"/>
        <item x="42"/>
        <item x="278"/>
        <item x="513"/>
        <item x="1200"/>
        <item x="1061"/>
        <item x="607"/>
        <item x="599"/>
        <item x="486"/>
        <item x="39"/>
        <item x="1086"/>
        <item x="1242"/>
        <item x="144"/>
        <item x="605"/>
        <item x="1016"/>
        <item x="828"/>
        <item x="340"/>
        <item x="110"/>
        <item x="264"/>
        <item x="125"/>
        <item x="1190"/>
        <item x="1239"/>
        <item x="138"/>
        <item x="866"/>
        <item x="1107"/>
        <item x="173"/>
        <item x="467"/>
        <item x="702"/>
        <item x="86"/>
        <item x="831"/>
        <item x="927"/>
        <item x="145"/>
        <item x="14"/>
        <item x="971"/>
        <item x="193"/>
        <item x="1041"/>
        <item x="249"/>
        <item x="172"/>
        <item x="109"/>
        <item x="406"/>
        <item x="280"/>
        <item x="84"/>
        <item x="1008"/>
        <item x="699"/>
        <item x="767"/>
        <item x="1147"/>
        <item x="370"/>
        <item x="922"/>
        <item x="416"/>
        <item x="1133"/>
        <item x="985"/>
        <item x="563"/>
        <item x="789"/>
        <item x="330"/>
        <item x="964"/>
        <item x="487"/>
        <item x="1141"/>
        <item x="1117"/>
        <item x="1085"/>
        <item x="1227"/>
        <item x="1157"/>
        <item x="938"/>
        <item x="1255"/>
        <item x="962"/>
        <item x="505"/>
        <item x="413"/>
        <item x="838"/>
        <item x="50"/>
        <item x="666"/>
        <item x="507"/>
        <item x="890"/>
        <item x="419"/>
        <item x="113"/>
        <item x="510"/>
        <item x="491"/>
        <item x="8"/>
        <item x="112"/>
        <item x="633"/>
        <item x="76"/>
        <item x="1170"/>
        <item x="669"/>
        <item x="1191"/>
        <item x="766"/>
        <item x="913"/>
        <item x="244"/>
        <item x="488"/>
        <item x="425"/>
        <item x="415"/>
        <item x="684"/>
        <item x="268"/>
        <item x="1058"/>
        <item x="6"/>
        <item x="813"/>
        <item x="549"/>
        <item x="765"/>
        <item x="815"/>
        <item x="888"/>
        <item x="1199"/>
        <item x="1109"/>
        <item x="37"/>
        <item x="853"/>
        <item x="89"/>
        <item x="1194"/>
        <item x="1029"/>
        <item x="905"/>
        <item x="1075"/>
        <item x="194"/>
        <item x="925"/>
        <item x="810"/>
        <item x="1087"/>
        <item x="497"/>
        <item x="1146"/>
        <item x="1253"/>
        <item x="1237"/>
        <item x="1045"/>
        <item x="553"/>
        <item x="630"/>
        <item x="1213"/>
        <item x="159"/>
        <item x="1031"/>
        <item x="1100"/>
        <item x="802"/>
        <item x="473"/>
        <item x="23"/>
        <item x="1222"/>
        <item x="38"/>
        <item x="1256"/>
        <item x="1164"/>
        <item x="351"/>
        <item x="228"/>
        <item x="1129"/>
        <item x="91"/>
        <item x="251"/>
        <item x="62"/>
        <item x="1040"/>
        <item x="696"/>
        <item x="1172"/>
        <item x="1196"/>
        <item x="980"/>
        <item x="165"/>
        <item x="468"/>
        <item x="1243"/>
        <item x="197"/>
        <item x="1004"/>
        <item x="644"/>
        <item x="379"/>
        <item x="385"/>
        <item x="756"/>
        <item x="248"/>
        <item x="1113"/>
        <item x="360"/>
        <item x="1047"/>
        <item x="476"/>
        <item x="614"/>
        <item x="1139"/>
        <item x="148"/>
        <item x="566"/>
        <item x="776"/>
        <item x="615"/>
        <item x="621"/>
        <item x="1118"/>
        <item x="524"/>
        <item x="118"/>
        <item x="231"/>
        <item x="1221"/>
        <item x="183"/>
        <item x="253"/>
        <item x="864"/>
        <item x="312"/>
        <item x="775"/>
        <item x="584"/>
        <item x="671"/>
        <item x="88"/>
        <item x="1128"/>
        <item x="1119"/>
        <item x="807"/>
        <item x="830"/>
        <item x="883"/>
        <item x="77"/>
        <item x="1035"/>
        <item x="1208"/>
        <item x="235"/>
        <item x="1223"/>
        <item x="469"/>
        <item x="581"/>
        <item x="1148"/>
        <item x="1076"/>
        <item x="550"/>
        <item x="1189"/>
        <item x="1015"/>
        <item x="786"/>
        <item x="1106"/>
        <item x="714"/>
        <item x="479"/>
        <item x="1234"/>
        <item x="0"/>
        <item x="651"/>
        <item x="1219"/>
        <item x="536"/>
        <item x="373"/>
        <item x="166"/>
        <item x="826"/>
        <item x="691"/>
        <item x="1099"/>
        <item x="437"/>
        <item x="825"/>
        <item x="301"/>
        <item x="226"/>
        <item x="342"/>
        <item x="1006"/>
        <item x="80"/>
        <item x="1174"/>
        <item x="154"/>
        <item x="1205"/>
        <item x="1033"/>
        <item x="345"/>
        <item x="332"/>
        <item x="1"/>
        <item x="687"/>
        <item x="315"/>
        <item x="245"/>
        <item x="956"/>
        <item x="1262"/>
        <item x="1236"/>
        <item x="141"/>
        <item x="949"/>
        <item x="551"/>
        <item x="597"/>
        <item x="708"/>
        <item x="492"/>
        <item x="854"/>
        <item x="978"/>
        <item x="296"/>
        <item x="7"/>
        <item x="1050"/>
        <item x="46"/>
        <item x="1096"/>
        <item x="661"/>
        <item x="407"/>
        <item x="649"/>
        <item x="1073"/>
        <item x="386"/>
        <item x="502"/>
        <item x="1116"/>
        <item x="899"/>
        <item x="577"/>
        <item x="1032"/>
        <item x="199"/>
        <item x="121"/>
        <item x="458"/>
        <item x="108"/>
        <item x="246"/>
        <item x="477"/>
        <item x="921"/>
        <item x="954"/>
        <item x="219"/>
        <item x="270"/>
        <item x="645"/>
        <item x="10"/>
        <item x="1149"/>
        <item x="874"/>
        <item x="131"/>
        <item x="965"/>
        <item x="320"/>
        <item x="41"/>
        <item x="794"/>
        <item x="397"/>
        <item x="211"/>
        <item x="533"/>
        <item x="655"/>
        <item x="1034"/>
        <item x="65"/>
        <item x="804"/>
        <item x="1244"/>
        <item x="494"/>
        <item x="87"/>
        <item x="884"/>
        <item x="376"/>
        <item x="850"/>
        <item x="335"/>
        <item x="232"/>
        <item x="1181"/>
        <item x="636"/>
        <item x="701"/>
        <item x="992"/>
        <item x="485"/>
        <item x="643"/>
        <item x="979"/>
        <item x="1193"/>
        <item x="1001"/>
        <item x="81"/>
        <item x="356"/>
        <item x="495"/>
        <item x="29"/>
        <item x="188"/>
        <item x="140"/>
        <item x="92"/>
        <item x="94"/>
        <item x="618"/>
        <item x="21"/>
        <item x="785"/>
        <item x="325"/>
        <item x="841"/>
        <item x="574"/>
        <item x="1195"/>
        <item x="898"/>
        <item x="657"/>
        <item x="667"/>
        <item x="102"/>
        <item x="1111"/>
        <item x="382"/>
        <item x="1215"/>
        <item x="435"/>
        <item x="565"/>
        <item x="472"/>
        <item x="128"/>
        <item x="297"/>
        <item x="341"/>
        <item x="362"/>
        <item x="1135"/>
        <item x="589"/>
        <item x="1102"/>
        <item x="1057"/>
        <item x="499"/>
        <item x="1182"/>
        <item x="466"/>
        <item x="1063"/>
        <item x="999"/>
        <item x="916"/>
        <item x="991"/>
        <item x="252"/>
        <item x="156"/>
        <item x="1264"/>
        <item x="1078"/>
        <item x="395"/>
        <item x="273"/>
        <item x="680"/>
        <item x="465"/>
        <item x="295"/>
        <item x="1130"/>
        <item x="191"/>
        <item x="404"/>
        <item x="164"/>
        <item x="755"/>
        <item x="695"/>
        <item x="306"/>
        <item x="1159"/>
        <item x="26"/>
        <item x="393"/>
        <item x="422"/>
        <item x="580"/>
        <item x="1140"/>
        <item x="54"/>
        <item x="56"/>
        <item x="135"/>
        <item x="1258"/>
        <item x="552"/>
        <item x="354"/>
        <item x="821"/>
        <item x="637"/>
        <item x="1020"/>
        <item x="3"/>
        <item x="1018"/>
        <item x="449"/>
        <item x="976"/>
        <item x="1094"/>
        <item x="1214"/>
        <item x="1065"/>
        <item x="947"/>
        <item x="18"/>
        <item x="498"/>
        <item x="539"/>
        <item x="218"/>
        <item x="1155"/>
        <item x="324"/>
        <item x="1051"/>
        <item x="596"/>
        <item x="255"/>
        <item x="1226"/>
        <item x="686"/>
        <item x="20"/>
        <item x="434"/>
        <item x="471"/>
        <item x="889"/>
        <item x="1030"/>
        <item x="753"/>
        <item x="930"/>
        <item x="501"/>
        <item x="950"/>
        <item x="83"/>
        <item x="1178"/>
        <item x="693"/>
        <item x="1206"/>
        <item x="1095"/>
        <item x="668"/>
        <item x="1043"/>
        <item x="299"/>
        <item x="303"/>
        <item x="642"/>
        <item x="1248"/>
        <item x="1070"/>
        <item x="1137"/>
        <item x="73"/>
        <item x="31"/>
        <item x="1247"/>
        <item x="74"/>
        <item x="858"/>
        <item x="123"/>
        <item x="762"/>
        <item x="504"/>
        <item x="289"/>
        <item x="891"/>
        <item x="455"/>
        <item x="1023"/>
        <item x="500"/>
        <item x="1168"/>
        <item x="634"/>
        <item x="1179"/>
        <item x="12"/>
        <item x="918"/>
        <item x="493"/>
        <item x="800"/>
        <item x="1091"/>
        <item x="528"/>
        <item x="732"/>
        <item x="1180"/>
        <item x="998"/>
        <item x="1211"/>
        <item x="230"/>
        <item x="221"/>
        <item x="55"/>
        <item x="1166"/>
        <item x="111"/>
        <item x="846"/>
        <item x="650"/>
        <item x="532"/>
        <item x="881"/>
        <item x="256"/>
        <item x="781"/>
        <item x="136"/>
        <item x="852"/>
        <item x="1254"/>
        <item x="52"/>
        <item x="748"/>
        <item x="1175"/>
        <item x="40"/>
        <item x="236"/>
        <item x="371"/>
        <item x="134"/>
        <item x="323"/>
        <item x="561"/>
        <item x="723"/>
        <item x="587"/>
        <item x="556"/>
        <item x="1153"/>
        <item x="390"/>
        <item x="182"/>
        <item x="331"/>
        <item x="438"/>
        <item x="791"/>
        <item x="1176"/>
        <item x="1103"/>
        <item x="792"/>
        <item x="1082"/>
        <item x="57"/>
        <item x="736"/>
        <item x="157"/>
        <item x="1257"/>
        <item x="250"/>
        <item x="1060"/>
        <item x="210"/>
        <item x="972"/>
        <item x="282"/>
        <item x="47"/>
        <item x="176"/>
        <item x="233"/>
        <item x="276"/>
        <item x="683"/>
        <item x="882"/>
        <item x="96"/>
        <item x="555"/>
        <item x="117"/>
        <item x="746"/>
        <item x="1097"/>
        <item x="186"/>
        <item x="567"/>
        <item x="844"/>
        <item x="817"/>
        <item x="1048"/>
        <item x="1162"/>
        <item x="943"/>
        <item x="1132"/>
        <item x="537"/>
        <item x="784"/>
        <item x="875"/>
        <item x="640"/>
        <item x="600"/>
        <item x="1185"/>
        <item x="970"/>
        <item x="122"/>
        <item x="394"/>
        <item x="750"/>
        <item x="616"/>
        <item x="25"/>
        <item x="168"/>
        <item x="430"/>
        <item x="705"/>
        <item x="721"/>
        <item x="174"/>
        <item x="321"/>
        <item x="263"/>
        <item x="175"/>
        <item x="291"/>
        <item x="856"/>
        <item x="391"/>
        <item x="796"/>
        <item x="424"/>
        <item x="790"/>
        <item x="274"/>
        <item x="265"/>
        <item x="132"/>
        <item x="1002"/>
        <item x="482"/>
        <item x="743"/>
        <item x="1229"/>
        <item x="711"/>
        <item x="783"/>
        <item x="179"/>
        <item x="988"/>
        <item x="1024"/>
        <item x="604"/>
        <item x="806"/>
        <item x="442"/>
        <item x="901"/>
        <item x="459"/>
        <item x="516"/>
        <item x="380"/>
        <item x="586"/>
        <item x="364"/>
        <item x="799"/>
        <item x="1055"/>
        <item x="220"/>
        <item x="337"/>
        <item x="357"/>
        <item x="67"/>
        <item x="408"/>
        <item x="240"/>
        <item x="522"/>
        <item x="1235"/>
        <item x="205"/>
        <item x="401"/>
        <item x="1220"/>
        <item x="1072"/>
        <item x="579"/>
        <item x="603"/>
        <item x="305"/>
        <item x="1231"/>
        <item x="192"/>
        <item x="1081"/>
        <item x="1022"/>
        <item x="660"/>
        <item x="302"/>
        <item x="464"/>
        <item x="1014"/>
        <item x="374"/>
        <item x="104"/>
        <item x="674"/>
        <item x="475"/>
        <item x="675"/>
        <item x="213"/>
        <item x="161"/>
        <item x="924"/>
        <item x="336"/>
        <item x="319"/>
        <item x="869"/>
        <item x="229"/>
        <item x="224"/>
        <item x="402"/>
        <item x="612"/>
        <item x="418"/>
        <item x="788"/>
        <item x="223"/>
        <item x="158"/>
        <item x="915"/>
        <item x="457"/>
        <item x="733"/>
        <item x="861"/>
        <item x="203"/>
        <item x="745"/>
        <item x="429"/>
        <item x="120"/>
        <item x="2"/>
        <item x="490"/>
        <item x="772"/>
        <item x="97"/>
        <item x="436"/>
        <item x="720"/>
        <item x="719"/>
        <item x="848"/>
        <item x="51"/>
        <item x="1156"/>
        <item x="1115"/>
        <item x="824"/>
        <item x="489"/>
        <item x="451"/>
        <item x="560"/>
        <item x="940"/>
        <item x="378"/>
        <item x="409"/>
        <item x="15"/>
        <item x="333"/>
        <item x="1187"/>
        <item x="1052"/>
        <item x="663"/>
        <item x="1202"/>
        <item x="317"/>
        <item x="548"/>
        <item x="739"/>
        <item x="932"/>
        <item x="103"/>
        <item x="728"/>
        <item x="185"/>
        <item x="628"/>
        <item x="1036"/>
        <item x="167"/>
        <item x="1228"/>
        <item x="346"/>
        <item x="572"/>
        <item x="90"/>
        <item x="629"/>
        <item x="225"/>
        <item x="1121"/>
        <item x="627"/>
        <item x="982"/>
        <item x="36"/>
        <item x="349"/>
        <item x="300"/>
        <item x="697"/>
        <item x="885"/>
        <item x="353"/>
        <item x="17"/>
        <item x="625"/>
        <item x="782"/>
        <item x="1044"/>
        <item x="843"/>
        <item x="384"/>
        <item x="196"/>
        <item x="1068"/>
        <item x="1046"/>
        <item x="515"/>
        <item x="369"/>
        <item x="862"/>
        <item x="350"/>
        <item x="444"/>
        <item x="423"/>
        <item x="1012"/>
        <item x="32"/>
        <item x="665"/>
        <item x="285"/>
        <item x="61"/>
        <item x="392"/>
        <item x="602"/>
        <item x="803"/>
        <item x="960"/>
        <item x="503"/>
        <item x="1039"/>
        <item x="100"/>
        <item x="1071"/>
        <item x="284"/>
        <item x="45"/>
        <item x="724"/>
        <item x="1142"/>
        <item x="710"/>
        <item x="216"/>
        <item x="780"/>
        <item x="1225"/>
        <item x="115"/>
        <item x="184"/>
        <item x="1042"/>
        <item x="28"/>
        <item x="631"/>
        <item x="1145"/>
        <item x="105"/>
        <item x="658"/>
        <item x="119"/>
        <item x="272"/>
        <item x="935"/>
        <item x="69"/>
        <item x="760"/>
        <item x="126"/>
        <item x="823"/>
        <item x="578"/>
        <item x="1186"/>
        <item x="987"/>
        <item x="878"/>
        <item x="958"/>
        <item x="734"/>
        <item x="1207"/>
        <item x="694"/>
        <item x="243"/>
        <item x="1171"/>
        <item x="557"/>
        <item x="13"/>
        <item x="227"/>
        <item x="298"/>
        <item x="562"/>
        <item x="946"/>
        <item x="1077"/>
        <item x="829"/>
        <item x="310"/>
        <item x="98"/>
        <item x="348"/>
        <item x="892"/>
        <item x="478"/>
        <item x="1259"/>
        <item x="352"/>
        <item x="1138"/>
        <item x="840"/>
        <item x="66"/>
        <item x="242"/>
        <item x="187"/>
        <item x="177"/>
        <item x="293"/>
        <item x="569"/>
        <item x="1218"/>
        <item x="820"/>
        <item x="700"/>
        <item x="414"/>
        <item x="704"/>
        <item x="598"/>
        <item x="757"/>
        <item x="286"/>
        <item x="953"/>
        <item x="936"/>
        <item x="334"/>
        <item x="275"/>
        <item x="1010"/>
        <item x="206"/>
        <item x="703"/>
        <item x="859"/>
        <item x="777"/>
        <item x="729"/>
        <item x="907"/>
        <item x="863"/>
        <item x="741"/>
        <item x="496"/>
        <item x="623"/>
        <item x="261"/>
        <item x="1049"/>
        <item x="1059"/>
        <item x="1143"/>
        <item x="389"/>
        <item x="1124"/>
        <item x="1151"/>
        <item x="1066"/>
        <item x="129"/>
        <item x="1017"/>
        <item x="857"/>
        <item x="1000"/>
        <item x="150"/>
        <item x="63"/>
        <item x="445"/>
        <item x="896"/>
        <item x="944"/>
        <item x="1233"/>
        <item x="1131"/>
        <item x="142"/>
        <item x="514"/>
        <item x="400"/>
        <item x="1104"/>
        <item x="632"/>
        <item x="939"/>
        <item x="730"/>
        <item x="638"/>
        <item x="1177"/>
        <item x="822"/>
        <item x="24"/>
        <item x="923"/>
        <item x="5"/>
        <item x="308"/>
        <item x="1114"/>
        <item x="749"/>
        <item x="506"/>
        <item x="722"/>
        <item x="617"/>
        <item x="1158"/>
        <item x="534"/>
        <item x="713"/>
        <item x="740"/>
        <item x="1251"/>
        <item x="798"/>
        <item x="959"/>
        <item x="835"/>
        <item x="1074"/>
        <item x="677"/>
        <item x="130"/>
        <item x="452"/>
        <item x="1154"/>
        <item x="948"/>
        <item x="662"/>
        <item x="1053"/>
        <item x="731"/>
        <item x="1110"/>
        <item x="433"/>
        <item x="1007"/>
        <item x="738"/>
        <item x="808"/>
        <item x="659"/>
        <item x="198"/>
        <item x="576"/>
        <item x="420"/>
        <item x="277"/>
        <item x="832"/>
        <item x="974"/>
        <item x="372"/>
        <item x="811"/>
        <item x="989"/>
        <item x="1120"/>
        <item x="1108"/>
        <item x="70"/>
        <item x="601"/>
        <item x="845"/>
        <item x="871"/>
        <item x="1260"/>
        <item x="292"/>
        <item x="893"/>
        <item x="912"/>
        <item x="873"/>
        <item x="877"/>
        <item x="593"/>
        <item x="180"/>
        <item x="995"/>
        <item x="564"/>
        <item x="613"/>
        <item x="872"/>
        <item x="1026"/>
        <item x="774"/>
        <item x="201"/>
        <item x="1037"/>
        <item x="238"/>
        <item x="1101"/>
        <item x="234"/>
        <item x="1212"/>
        <item x="1083"/>
        <item x="1232"/>
        <item x="860"/>
        <item x="460"/>
        <item x="818"/>
        <item x="622"/>
        <item x="453"/>
        <item x="981"/>
        <item x="381"/>
        <item x="610"/>
        <item x="1127"/>
        <item x="966"/>
        <item x="160"/>
        <item x="754"/>
        <item x="689"/>
        <item x="542"/>
        <item x="241"/>
        <item x="1089"/>
        <item x="1209"/>
        <item x="911"/>
        <item x="1025"/>
        <item x="11"/>
        <item x="279"/>
        <item x="463"/>
        <item x="344"/>
        <item x="307"/>
        <item x="673"/>
        <item x="461"/>
        <item x="421"/>
        <item x="986"/>
        <item x="795"/>
        <item x="439"/>
        <item x="568"/>
        <item x="1062"/>
        <item x="314"/>
        <item x="124"/>
        <item x="99"/>
        <item x="48"/>
        <item x="771"/>
        <item x="544"/>
        <item x="1126"/>
        <item x="71"/>
        <item x="1188"/>
        <item x="328"/>
        <item x="758"/>
        <item x="688"/>
        <item x="1098"/>
        <item x="169"/>
        <item x="908"/>
        <item x="963"/>
        <item x="1160"/>
        <item x="957"/>
        <item x="79"/>
        <item x="865"/>
        <item x="27"/>
        <item x="588"/>
        <item x="1203"/>
        <item x="511"/>
        <item x="259"/>
        <item x="518"/>
        <item x="1252"/>
        <item x="747"/>
        <item x="690"/>
        <item x="626"/>
        <item x="909"/>
        <item x="1112"/>
        <item x="1136"/>
        <item x="530"/>
        <item x="139"/>
        <item x="652"/>
        <item x="512"/>
        <item x="761"/>
        <item x="428"/>
        <item x="257"/>
        <item x="147"/>
        <item x="1003"/>
        <item x="834"/>
        <item x="571"/>
        <item x="318"/>
        <item x="620"/>
        <item x="329"/>
        <item x="1161"/>
        <item x="1216"/>
        <item x="559"/>
        <item x="1122"/>
        <item x="322"/>
        <item x="735"/>
        <item x="214"/>
        <item x="1167"/>
        <item x="951"/>
        <item x="377"/>
        <item x="204"/>
        <item x="388"/>
        <item x="934"/>
        <item t="default"/>
      </items>
    </pivotField>
    <pivotField showAll="0"/>
    <pivotField showAll="0"/>
    <pivotField showAll="0"/>
    <pivotField showAll="0">
      <items count="6">
        <item h="1" x="4"/>
        <item h="1" x="2"/>
        <item h="1" x="3"/>
        <item h="1" x="0"/>
        <item x="1"/>
        <item t="default"/>
      </items>
    </pivotField>
    <pivotField showAll="0"/>
    <pivotField showAll="0">
      <items count="7">
        <item x="2"/>
        <item x="4"/>
        <item x="0"/>
        <item x="1"/>
        <item x="5"/>
        <item x="3"/>
        <item t="default"/>
      </items>
    </pivotField>
    <pivotField dataField="1" numFmtId="2" showAll="0"/>
    <pivotField showAll="0"/>
    <pivotField showAll="0"/>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6"/>
  </rowFields>
  <rowItems count="9">
    <i>
      <x/>
    </i>
    <i>
      <x v="1"/>
    </i>
    <i>
      <x v="2"/>
    </i>
    <i>
      <x v="3"/>
    </i>
    <i>
      <x v="4"/>
    </i>
    <i>
      <x v="5"/>
    </i>
    <i>
      <x v="6"/>
    </i>
    <i>
      <x v="7"/>
    </i>
    <i t="grand">
      <x/>
    </i>
  </rowItems>
  <colFields count="1">
    <field x="-2"/>
  </colFields>
  <colItems count="2">
    <i>
      <x/>
    </i>
    <i i="1">
      <x v="1"/>
    </i>
  </colItems>
  <dataFields count="2">
    <dataField name="Total_Billing" fld="15" baseField="0" baseItem="0" numFmtId="2"/>
    <dataField name="Total Patients" fld="0" subtotal="count" baseField="0" baseItem="0"/>
  </dataFields>
  <formats count="3">
    <format dxfId="185">
      <pivotArea outline="0" collapsedLevelsAreSubtotals="1" fieldPosition="0"/>
    </format>
    <format dxfId="184">
      <pivotArea collapsedLevelsAreSubtotals="1" fieldPosition="0">
        <references count="2">
          <reference field="4294967294" count="1" selected="0">
            <x v="1"/>
          </reference>
          <reference field="6" count="0"/>
        </references>
      </pivotArea>
    </format>
    <format dxfId="183">
      <pivotArea field="6" grandRow="1" outline="0" collapsedLevelsAreSubtotals="1" axis="axisRow" fieldPosition="0">
        <references count="1">
          <reference field="4294967294" count="1" selected="0">
            <x v="1"/>
          </reference>
        </references>
      </pivotArea>
    </format>
  </format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CB1DB1-E730-4417-ABB9-B11BC23D41F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2:K45" firstHeaderRow="0" firstDataRow="1" firstDataCol="1"/>
  <pivotFields count="25">
    <pivotField dataField="1" showAll="0"/>
    <pivotField showAll="0"/>
    <pivotField showAll="0"/>
    <pivotField showAll="0">
      <items count="7">
        <item x="0"/>
        <item x="2"/>
        <item x="5"/>
        <item x="3"/>
        <item x="4"/>
        <item x="1"/>
        <item t="default"/>
      </items>
    </pivotField>
    <pivotField showAll="0">
      <items count="3">
        <item x="1"/>
        <item x="0"/>
        <item t="default"/>
      </items>
    </pivotField>
    <pivotField showAll="0"/>
    <pivotField showAll="0">
      <items count="9">
        <item x="5"/>
        <item x="1"/>
        <item x="4"/>
        <item x="3"/>
        <item x="2"/>
        <item x="0"/>
        <item x="7"/>
        <item x="6"/>
        <item t="default"/>
      </items>
    </pivotField>
    <pivotField showAll="0">
      <items count="5">
        <item h="1" x="1"/>
        <item x="0"/>
        <item h="1" x="3"/>
        <item h="1" x="2"/>
        <item t="default"/>
      </items>
    </pivotField>
    <pivotField numFmtId="164" showAll="0">
      <items count="1267">
        <item x="744"/>
        <item x="1173"/>
        <item x="529"/>
        <item x="1079"/>
        <item x="456"/>
        <item x="470"/>
        <item x="955"/>
        <item x="725"/>
        <item x="410"/>
        <item x="647"/>
        <item x="937"/>
        <item x="521"/>
        <item x="271"/>
        <item x="692"/>
        <item x="606"/>
        <item x="1261"/>
        <item x="928"/>
        <item x="926"/>
        <item x="797"/>
        <item x="1125"/>
        <item x="635"/>
        <item x="839"/>
        <item x="313"/>
        <item x="355"/>
        <item x="698"/>
        <item x="1054"/>
        <item x="977"/>
        <item x="254"/>
        <item x="609"/>
        <item x="68"/>
        <item x="624"/>
        <item x="462"/>
        <item x="801"/>
        <item x="996"/>
        <item x="1069"/>
        <item x="931"/>
        <item x="212"/>
        <item x="672"/>
        <item x="541"/>
        <item x="646"/>
        <item x="1105"/>
        <item x="842"/>
        <item x="554"/>
        <item x="53"/>
        <item x="527"/>
        <item x="969"/>
        <item x="190"/>
        <item x="1093"/>
        <item x="727"/>
        <item x="171"/>
        <item x="239"/>
        <item x="375"/>
        <item x="525"/>
        <item x="1201"/>
        <item x="837"/>
        <item x="209"/>
        <item x="1230"/>
        <item x="339"/>
        <item x="983"/>
        <item x="1246"/>
        <item x="290"/>
        <item x="1192"/>
        <item x="34"/>
        <item x="682"/>
        <item x="787"/>
        <item x="309"/>
        <item x="1249"/>
        <item x="870"/>
        <item x="1011"/>
        <item x="1088"/>
        <item x="1064"/>
        <item x="281"/>
        <item x="929"/>
        <item x="715"/>
        <item x="399"/>
        <item x="716"/>
        <item x="656"/>
        <item x="258"/>
        <item x="517"/>
        <item x="540"/>
        <item x="181"/>
        <item x="327"/>
        <item x="454"/>
        <item x="994"/>
        <item x="1224"/>
        <item x="906"/>
        <item x="146"/>
        <item x="681"/>
        <item x="961"/>
        <item x="975"/>
        <item x="942"/>
        <item x="143"/>
        <item x="751"/>
        <item x="304"/>
        <item x="22"/>
        <item x="49"/>
        <item x="75"/>
        <item x="294"/>
        <item x="162"/>
        <item x="763"/>
        <item x="1245"/>
        <item x="895"/>
        <item x="648"/>
        <item x="217"/>
        <item x="1067"/>
        <item x="849"/>
        <item x="897"/>
        <item x="737"/>
        <item x="847"/>
        <item x="546"/>
        <item x="654"/>
        <item x="1210"/>
        <item x="717"/>
        <item x="367"/>
        <item x="137"/>
        <item x="917"/>
        <item x="819"/>
        <item x="851"/>
        <item x="78"/>
        <item x="189"/>
        <item x="347"/>
        <item x="900"/>
        <item x="1150"/>
        <item x="876"/>
        <item x="1265"/>
        <item x="685"/>
        <item x="1217"/>
        <item x="441"/>
        <item x="1238"/>
        <item x="997"/>
        <item x="343"/>
        <item x="712"/>
        <item x="287"/>
        <item x="526"/>
        <item x="247"/>
        <item x="570"/>
        <item x="64"/>
        <item x="709"/>
        <item x="809"/>
        <item x="608"/>
        <item x="59"/>
        <item x="619"/>
        <item x="446"/>
        <item x="670"/>
        <item x="116"/>
        <item x="573"/>
        <item x="706"/>
        <item x="215"/>
        <item x="163"/>
        <item x="417"/>
        <item x="805"/>
        <item x="432"/>
        <item x="764"/>
        <item x="338"/>
        <item x="910"/>
        <item x="1027"/>
        <item x="33"/>
        <item x="547"/>
        <item x="973"/>
        <item x="538"/>
        <item x="707"/>
        <item x="933"/>
        <item x="403"/>
        <item x="4"/>
        <item x="1021"/>
        <item x="543"/>
        <item x="833"/>
        <item x="133"/>
        <item x="365"/>
        <item x="592"/>
        <item x="358"/>
        <item x="412"/>
        <item x="968"/>
        <item x="984"/>
        <item x="1144"/>
        <item x="448"/>
        <item x="431"/>
        <item x="545"/>
        <item x="262"/>
        <item x="405"/>
        <item x="770"/>
        <item x="1263"/>
        <item x="1169"/>
        <item x="114"/>
        <item x="155"/>
        <item x="283"/>
        <item x="267"/>
        <item x="768"/>
        <item x="887"/>
        <item x="945"/>
        <item x="387"/>
        <item x="1123"/>
        <item x="359"/>
        <item x="814"/>
        <item x="361"/>
        <item x="58"/>
        <item x="653"/>
        <item x="208"/>
        <item x="904"/>
        <item x="106"/>
        <item x="585"/>
        <item x="484"/>
        <item x="967"/>
        <item x="35"/>
        <item x="639"/>
        <item x="836"/>
        <item x="43"/>
        <item x="222"/>
        <item x="718"/>
        <item x="591"/>
        <item x="902"/>
        <item x="366"/>
        <item x="759"/>
        <item x="1092"/>
        <item x="383"/>
        <item x="742"/>
        <item x="509"/>
        <item x="575"/>
        <item x="95"/>
        <item x="127"/>
        <item x="480"/>
        <item x="558"/>
        <item x="535"/>
        <item x="1013"/>
        <item x="1028"/>
        <item x="1038"/>
        <item x="867"/>
        <item x="427"/>
        <item x="952"/>
        <item x="1197"/>
        <item x="726"/>
        <item x="583"/>
        <item x="879"/>
        <item x="894"/>
        <item x="816"/>
        <item x="919"/>
        <item x="1163"/>
        <item x="411"/>
        <item x="30"/>
        <item x="778"/>
        <item x="266"/>
        <item x="531"/>
        <item x="594"/>
        <item x="19"/>
        <item x="368"/>
        <item x="773"/>
        <item x="85"/>
        <item x="920"/>
        <item x="443"/>
        <item x="678"/>
        <item x="793"/>
        <item x="9"/>
        <item x="752"/>
        <item x="202"/>
        <item x="1240"/>
        <item x="993"/>
        <item x="151"/>
        <item x="178"/>
        <item x="269"/>
        <item x="481"/>
        <item x="152"/>
        <item x="72"/>
        <item x="1134"/>
        <item x="523"/>
        <item x="886"/>
        <item x="396"/>
        <item x="779"/>
        <item x="676"/>
        <item x="82"/>
        <item x="1080"/>
        <item x="1250"/>
        <item x="769"/>
        <item x="868"/>
        <item x="679"/>
        <item x="595"/>
        <item x="237"/>
        <item x="1198"/>
        <item x="1152"/>
        <item x="1090"/>
        <item x="426"/>
        <item x="200"/>
        <item x="149"/>
        <item x="101"/>
        <item x="914"/>
        <item x="440"/>
        <item x="590"/>
        <item x="483"/>
        <item x="16"/>
        <item x="827"/>
        <item x="1056"/>
        <item x="207"/>
        <item x="170"/>
        <item x="311"/>
        <item x="288"/>
        <item x="474"/>
        <item x="1204"/>
        <item x="1009"/>
        <item x="611"/>
        <item x="1165"/>
        <item x="990"/>
        <item x="153"/>
        <item x="520"/>
        <item x="326"/>
        <item x="582"/>
        <item x="447"/>
        <item x="195"/>
        <item x="519"/>
        <item x="107"/>
        <item x="641"/>
        <item x="855"/>
        <item x="260"/>
        <item x="508"/>
        <item x="664"/>
        <item x="1184"/>
        <item x="316"/>
        <item x="450"/>
        <item x="941"/>
        <item x="1183"/>
        <item x="60"/>
        <item x="93"/>
        <item x="44"/>
        <item x="398"/>
        <item x="812"/>
        <item x="1084"/>
        <item x="880"/>
        <item x="1019"/>
        <item x="1005"/>
        <item x="363"/>
        <item x="1241"/>
        <item x="903"/>
        <item x="42"/>
        <item x="278"/>
        <item x="513"/>
        <item x="1200"/>
        <item x="1061"/>
        <item x="607"/>
        <item x="599"/>
        <item x="486"/>
        <item x="39"/>
        <item x="1086"/>
        <item x="1242"/>
        <item x="144"/>
        <item x="605"/>
        <item x="1016"/>
        <item x="828"/>
        <item x="340"/>
        <item x="110"/>
        <item x="264"/>
        <item x="125"/>
        <item x="1190"/>
        <item x="1239"/>
        <item x="138"/>
        <item x="866"/>
        <item x="1107"/>
        <item x="173"/>
        <item x="467"/>
        <item x="702"/>
        <item x="86"/>
        <item x="831"/>
        <item x="927"/>
        <item x="145"/>
        <item x="14"/>
        <item x="971"/>
        <item x="193"/>
        <item x="1041"/>
        <item x="249"/>
        <item x="172"/>
        <item x="109"/>
        <item x="406"/>
        <item x="280"/>
        <item x="84"/>
        <item x="1008"/>
        <item x="699"/>
        <item x="767"/>
        <item x="1147"/>
        <item x="370"/>
        <item x="922"/>
        <item x="416"/>
        <item x="1133"/>
        <item x="985"/>
        <item x="563"/>
        <item x="789"/>
        <item x="330"/>
        <item x="964"/>
        <item x="487"/>
        <item x="1141"/>
        <item x="1117"/>
        <item x="1085"/>
        <item x="1227"/>
        <item x="1157"/>
        <item x="938"/>
        <item x="1255"/>
        <item x="962"/>
        <item x="505"/>
        <item x="413"/>
        <item x="838"/>
        <item x="50"/>
        <item x="666"/>
        <item x="507"/>
        <item x="890"/>
        <item x="419"/>
        <item x="113"/>
        <item x="510"/>
        <item x="491"/>
        <item x="8"/>
        <item x="112"/>
        <item x="633"/>
        <item x="76"/>
        <item x="1170"/>
        <item x="669"/>
        <item x="1191"/>
        <item x="766"/>
        <item x="913"/>
        <item x="244"/>
        <item x="488"/>
        <item x="425"/>
        <item x="415"/>
        <item x="684"/>
        <item x="268"/>
        <item x="1058"/>
        <item x="6"/>
        <item x="813"/>
        <item x="549"/>
        <item x="765"/>
        <item x="815"/>
        <item x="888"/>
        <item x="1199"/>
        <item x="1109"/>
        <item x="37"/>
        <item x="853"/>
        <item x="89"/>
        <item x="1194"/>
        <item x="1029"/>
        <item x="905"/>
        <item x="1075"/>
        <item x="194"/>
        <item x="925"/>
        <item x="810"/>
        <item x="1087"/>
        <item x="497"/>
        <item x="1146"/>
        <item x="1253"/>
        <item x="1237"/>
        <item x="1045"/>
        <item x="553"/>
        <item x="630"/>
        <item x="1213"/>
        <item x="159"/>
        <item x="1031"/>
        <item x="1100"/>
        <item x="802"/>
        <item x="473"/>
        <item x="23"/>
        <item x="1222"/>
        <item x="38"/>
        <item x="1256"/>
        <item x="1164"/>
        <item x="351"/>
        <item x="228"/>
        <item x="1129"/>
        <item x="91"/>
        <item x="251"/>
        <item x="62"/>
        <item x="1040"/>
        <item x="696"/>
        <item x="1172"/>
        <item x="1196"/>
        <item x="980"/>
        <item x="165"/>
        <item x="468"/>
        <item x="1243"/>
        <item x="197"/>
        <item x="1004"/>
        <item x="644"/>
        <item x="379"/>
        <item x="385"/>
        <item x="756"/>
        <item x="248"/>
        <item x="1113"/>
        <item x="360"/>
        <item x="1047"/>
        <item x="476"/>
        <item x="614"/>
        <item x="1139"/>
        <item x="148"/>
        <item x="566"/>
        <item x="776"/>
        <item x="615"/>
        <item x="621"/>
        <item x="1118"/>
        <item x="524"/>
        <item x="118"/>
        <item x="231"/>
        <item x="1221"/>
        <item x="183"/>
        <item x="253"/>
        <item x="864"/>
        <item x="312"/>
        <item x="775"/>
        <item x="584"/>
        <item x="671"/>
        <item x="88"/>
        <item x="1128"/>
        <item x="1119"/>
        <item x="807"/>
        <item x="830"/>
        <item x="883"/>
        <item x="77"/>
        <item x="1035"/>
        <item x="1208"/>
        <item x="235"/>
        <item x="1223"/>
        <item x="469"/>
        <item x="581"/>
        <item x="1148"/>
        <item x="1076"/>
        <item x="550"/>
        <item x="1189"/>
        <item x="1015"/>
        <item x="786"/>
        <item x="1106"/>
        <item x="714"/>
        <item x="479"/>
        <item x="1234"/>
        <item x="0"/>
        <item x="651"/>
        <item x="1219"/>
        <item x="536"/>
        <item x="373"/>
        <item x="166"/>
        <item x="826"/>
        <item x="691"/>
        <item x="1099"/>
        <item x="437"/>
        <item x="825"/>
        <item x="301"/>
        <item x="226"/>
        <item x="342"/>
        <item x="1006"/>
        <item x="80"/>
        <item x="1174"/>
        <item x="154"/>
        <item x="1205"/>
        <item x="1033"/>
        <item x="345"/>
        <item x="332"/>
        <item x="1"/>
        <item x="687"/>
        <item x="315"/>
        <item x="245"/>
        <item x="956"/>
        <item x="1262"/>
        <item x="1236"/>
        <item x="141"/>
        <item x="949"/>
        <item x="551"/>
        <item x="597"/>
        <item x="708"/>
        <item x="492"/>
        <item x="854"/>
        <item x="978"/>
        <item x="296"/>
        <item x="7"/>
        <item x="1050"/>
        <item x="46"/>
        <item x="1096"/>
        <item x="661"/>
        <item x="407"/>
        <item x="649"/>
        <item x="1073"/>
        <item x="386"/>
        <item x="502"/>
        <item x="1116"/>
        <item x="899"/>
        <item x="577"/>
        <item x="1032"/>
        <item x="199"/>
        <item x="121"/>
        <item x="458"/>
        <item x="108"/>
        <item x="246"/>
        <item x="477"/>
        <item x="921"/>
        <item x="954"/>
        <item x="219"/>
        <item x="270"/>
        <item x="645"/>
        <item x="10"/>
        <item x="1149"/>
        <item x="874"/>
        <item x="131"/>
        <item x="965"/>
        <item x="320"/>
        <item x="41"/>
        <item x="794"/>
        <item x="397"/>
        <item x="211"/>
        <item x="533"/>
        <item x="655"/>
        <item x="1034"/>
        <item x="65"/>
        <item x="804"/>
        <item x="1244"/>
        <item x="494"/>
        <item x="87"/>
        <item x="884"/>
        <item x="376"/>
        <item x="850"/>
        <item x="335"/>
        <item x="232"/>
        <item x="1181"/>
        <item x="636"/>
        <item x="701"/>
        <item x="992"/>
        <item x="485"/>
        <item x="643"/>
        <item x="979"/>
        <item x="1193"/>
        <item x="1001"/>
        <item x="81"/>
        <item x="356"/>
        <item x="495"/>
        <item x="29"/>
        <item x="188"/>
        <item x="140"/>
        <item x="92"/>
        <item x="94"/>
        <item x="618"/>
        <item x="21"/>
        <item x="785"/>
        <item x="325"/>
        <item x="841"/>
        <item x="574"/>
        <item x="1195"/>
        <item x="898"/>
        <item x="657"/>
        <item x="667"/>
        <item x="102"/>
        <item x="1111"/>
        <item x="382"/>
        <item x="1215"/>
        <item x="435"/>
        <item x="565"/>
        <item x="472"/>
        <item x="128"/>
        <item x="297"/>
        <item x="341"/>
        <item x="362"/>
        <item x="1135"/>
        <item x="589"/>
        <item x="1102"/>
        <item x="1057"/>
        <item x="499"/>
        <item x="1182"/>
        <item x="466"/>
        <item x="1063"/>
        <item x="999"/>
        <item x="916"/>
        <item x="991"/>
        <item x="252"/>
        <item x="156"/>
        <item x="1264"/>
        <item x="1078"/>
        <item x="395"/>
        <item x="273"/>
        <item x="680"/>
        <item x="465"/>
        <item x="295"/>
        <item x="1130"/>
        <item x="191"/>
        <item x="404"/>
        <item x="164"/>
        <item x="755"/>
        <item x="695"/>
        <item x="306"/>
        <item x="1159"/>
        <item x="26"/>
        <item x="393"/>
        <item x="422"/>
        <item x="580"/>
        <item x="1140"/>
        <item x="54"/>
        <item x="56"/>
        <item x="135"/>
        <item x="1258"/>
        <item x="552"/>
        <item x="354"/>
        <item x="821"/>
        <item x="637"/>
        <item x="1020"/>
        <item x="3"/>
        <item x="1018"/>
        <item x="449"/>
        <item x="976"/>
        <item x="1094"/>
        <item x="1214"/>
        <item x="1065"/>
        <item x="947"/>
        <item x="18"/>
        <item x="498"/>
        <item x="539"/>
        <item x="218"/>
        <item x="1155"/>
        <item x="324"/>
        <item x="1051"/>
        <item x="596"/>
        <item x="255"/>
        <item x="1226"/>
        <item x="686"/>
        <item x="20"/>
        <item x="434"/>
        <item x="471"/>
        <item x="889"/>
        <item x="1030"/>
        <item x="753"/>
        <item x="930"/>
        <item x="501"/>
        <item x="950"/>
        <item x="83"/>
        <item x="1178"/>
        <item x="693"/>
        <item x="1206"/>
        <item x="1095"/>
        <item x="668"/>
        <item x="1043"/>
        <item x="299"/>
        <item x="303"/>
        <item x="642"/>
        <item x="1248"/>
        <item x="1070"/>
        <item x="1137"/>
        <item x="73"/>
        <item x="31"/>
        <item x="1247"/>
        <item x="74"/>
        <item x="858"/>
        <item x="123"/>
        <item x="762"/>
        <item x="504"/>
        <item x="289"/>
        <item x="891"/>
        <item x="455"/>
        <item x="1023"/>
        <item x="500"/>
        <item x="1168"/>
        <item x="634"/>
        <item x="1179"/>
        <item x="12"/>
        <item x="918"/>
        <item x="493"/>
        <item x="800"/>
        <item x="1091"/>
        <item x="528"/>
        <item x="732"/>
        <item x="1180"/>
        <item x="998"/>
        <item x="1211"/>
        <item x="230"/>
        <item x="221"/>
        <item x="55"/>
        <item x="1166"/>
        <item x="111"/>
        <item x="846"/>
        <item x="650"/>
        <item x="532"/>
        <item x="881"/>
        <item x="256"/>
        <item x="781"/>
        <item x="136"/>
        <item x="852"/>
        <item x="1254"/>
        <item x="52"/>
        <item x="748"/>
        <item x="1175"/>
        <item x="40"/>
        <item x="236"/>
        <item x="371"/>
        <item x="134"/>
        <item x="323"/>
        <item x="561"/>
        <item x="723"/>
        <item x="587"/>
        <item x="556"/>
        <item x="1153"/>
        <item x="390"/>
        <item x="182"/>
        <item x="331"/>
        <item x="438"/>
        <item x="791"/>
        <item x="1176"/>
        <item x="1103"/>
        <item x="792"/>
        <item x="1082"/>
        <item x="57"/>
        <item x="736"/>
        <item x="157"/>
        <item x="1257"/>
        <item x="250"/>
        <item x="1060"/>
        <item x="210"/>
        <item x="972"/>
        <item x="282"/>
        <item x="47"/>
        <item x="176"/>
        <item x="233"/>
        <item x="276"/>
        <item x="683"/>
        <item x="882"/>
        <item x="96"/>
        <item x="555"/>
        <item x="117"/>
        <item x="746"/>
        <item x="1097"/>
        <item x="186"/>
        <item x="567"/>
        <item x="844"/>
        <item x="817"/>
        <item x="1048"/>
        <item x="1162"/>
        <item x="943"/>
        <item x="1132"/>
        <item x="537"/>
        <item x="784"/>
        <item x="875"/>
        <item x="640"/>
        <item x="600"/>
        <item x="1185"/>
        <item x="970"/>
        <item x="122"/>
        <item x="394"/>
        <item x="750"/>
        <item x="616"/>
        <item x="25"/>
        <item x="168"/>
        <item x="430"/>
        <item x="705"/>
        <item x="721"/>
        <item x="174"/>
        <item x="321"/>
        <item x="263"/>
        <item x="175"/>
        <item x="291"/>
        <item x="856"/>
        <item x="391"/>
        <item x="796"/>
        <item x="424"/>
        <item x="790"/>
        <item x="274"/>
        <item x="265"/>
        <item x="132"/>
        <item x="1002"/>
        <item x="482"/>
        <item x="743"/>
        <item x="1229"/>
        <item x="711"/>
        <item x="783"/>
        <item x="179"/>
        <item x="988"/>
        <item x="1024"/>
        <item x="604"/>
        <item x="806"/>
        <item x="442"/>
        <item x="901"/>
        <item x="459"/>
        <item x="516"/>
        <item x="380"/>
        <item x="586"/>
        <item x="364"/>
        <item x="799"/>
        <item x="1055"/>
        <item x="220"/>
        <item x="337"/>
        <item x="357"/>
        <item x="67"/>
        <item x="408"/>
        <item x="240"/>
        <item x="522"/>
        <item x="1235"/>
        <item x="205"/>
        <item x="401"/>
        <item x="1220"/>
        <item x="1072"/>
        <item x="579"/>
        <item x="603"/>
        <item x="305"/>
        <item x="1231"/>
        <item x="192"/>
        <item x="1081"/>
        <item x="1022"/>
        <item x="660"/>
        <item x="302"/>
        <item x="464"/>
        <item x="1014"/>
        <item x="374"/>
        <item x="104"/>
        <item x="674"/>
        <item x="475"/>
        <item x="675"/>
        <item x="213"/>
        <item x="161"/>
        <item x="924"/>
        <item x="336"/>
        <item x="319"/>
        <item x="869"/>
        <item x="229"/>
        <item x="224"/>
        <item x="402"/>
        <item x="612"/>
        <item x="418"/>
        <item x="788"/>
        <item x="223"/>
        <item x="158"/>
        <item x="915"/>
        <item x="457"/>
        <item x="733"/>
        <item x="861"/>
        <item x="203"/>
        <item x="745"/>
        <item x="429"/>
        <item x="120"/>
        <item x="2"/>
        <item x="490"/>
        <item x="772"/>
        <item x="97"/>
        <item x="436"/>
        <item x="720"/>
        <item x="719"/>
        <item x="848"/>
        <item x="51"/>
        <item x="1156"/>
        <item x="1115"/>
        <item x="824"/>
        <item x="489"/>
        <item x="451"/>
        <item x="560"/>
        <item x="940"/>
        <item x="378"/>
        <item x="409"/>
        <item x="15"/>
        <item x="333"/>
        <item x="1187"/>
        <item x="1052"/>
        <item x="663"/>
        <item x="1202"/>
        <item x="317"/>
        <item x="548"/>
        <item x="739"/>
        <item x="932"/>
        <item x="103"/>
        <item x="728"/>
        <item x="185"/>
        <item x="628"/>
        <item x="1036"/>
        <item x="167"/>
        <item x="1228"/>
        <item x="346"/>
        <item x="572"/>
        <item x="90"/>
        <item x="629"/>
        <item x="225"/>
        <item x="1121"/>
        <item x="627"/>
        <item x="982"/>
        <item x="36"/>
        <item x="349"/>
        <item x="300"/>
        <item x="697"/>
        <item x="885"/>
        <item x="353"/>
        <item x="17"/>
        <item x="625"/>
        <item x="782"/>
        <item x="1044"/>
        <item x="843"/>
        <item x="384"/>
        <item x="196"/>
        <item x="1068"/>
        <item x="1046"/>
        <item x="515"/>
        <item x="369"/>
        <item x="862"/>
        <item x="350"/>
        <item x="444"/>
        <item x="423"/>
        <item x="1012"/>
        <item x="32"/>
        <item x="665"/>
        <item x="285"/>
        <item x="61"/>
        <item x="392"/>
        <item x="602"/>
        <item x="803"/>
        <item x="960"/>
        <item x="503"/>
        <item x="1039"/>
        <item x="100"/>
        <item x="1071"/>
        <item x="284"/>
        <item x="45"/>
        <item x="724"/>
        <item x="1142"/>
        <item x="710"/>
        <item x="216"/>
        <item x="780"/>
        <item x="1225"/>
        <item x="115"/>
        <item x="184"/>
        <item x="1042"/>
        <item x="28"/>
        <item x="631"/>
        <item x="1145"/>
        <item x="105"/>
        <item x="658"/>
        <item x="119"/>
        <item x="272"/>
        <item x="935"/>
        <item x="69"/>
        <item x="760"/>
        <item x="126"/>
        <item x="823"/>
        <item x="578"/>
        <item x="1186"/>
        <item x="987"/>
        <item x="878"/>
        <item x="958"/>
        <item x="734"/>
        <item x="1207"/>
        <item x="694"/>
        <item x="243"/>
        <item x="1171"/>
        <item x="557"/>
        <item x="13"/>
        <item x="227"/>
        <item x="298"/>
        <item x="562"/>
        <item x="946"/>
        <item x="1077"/>
        <item x="829"/>
        <item x="310"/>
        <item x="98"/>
        <item x="348"/>
        <item x="892"/>
        <item x="478"/>
        <item x="1259"/>
        <item x="352"/>
        <item x="1138"/>
        <item x="840"/>
        <item x="66"/>
        <item x="242"/>
        <item x="187"/>
        <item x="177"/>
        <item x="293"/>
        <item x="569"/>
        <item x="1218"/>
        <item x="820"/>
        <item x="700"/>
        <item x="414"/>
        <item x="704"/>
        <item x="598"/>
        <item x="757"/>
        <item x="286"/>
        <item x="953"/>
        <item x="936"/>
        <item x="334"/>
        <item x="275"/>
        <item x="1010"/>
        <item x="206"/>
        <item x="703"/>
        <item x="859"/>
        <item x="777"/>
        <item x="729"/>
        <item x="907"/>
        <item x="863"/>
        <item x="741"/>
        <item x="496"/>
        <item x="623"/>
        <item x="261"/>
        <item x="1049"/>
        <item x="1059"/>
        <item x="1143"/>
        <item x="389"/>
        <item x="1124"/>
        <item x="1151"/>
        <item x="1066"/>
        <item x="129"/>
        <item x="1017"/>
        <item x="857"/>
        <item x="1000"/>
        <item x="150"/>
        <item x="63"/>
        <item x="445"/>
        <item x="896"/>
        <item x="944"/>
        <item x="1233"/>
        <item x="1131"/>
        <item x="142"/>
        <item x="514"/>
        <item x="400"/>
        <item x="1104"/>
        <item x="632"/>
        <item x="939"/>
        <item x="730"/>
        <item x="638"/>
        <item x="1177"/>
        <item x="822"/>
        <item x="24"/>
        <item x="923"/>
        <item x="5"/>
        <item x="308"/>
        <item x="1114"/>
        <item x="749"/>
        <item x="506"/>
        <item x="722"/>
        <item x="617"/>
        <item x="1158"/>
        <item x="534"/>
        <item x="713"/>
        <item x="740"/>
        <item x="1251"/>
        <item x="798"/>
        <item x="959"/>
        <item x="835"/>
        <item x="1074"/>
        <item x="677"/>
        <item x="130"/>
        <item x="452"/>
        <item x="1154"/>
        <item x="948"/>
        <item x="662"/>
        <item x="1053"/>
        <item x="731"/>
        <item x="1110"/>
        <item x="433"/>
        <item x="1007"/>
        <item x="738"/>
        <item x="808"/>
        <item x="659"/>
        <item x="198"/>
        <item x="576"/>
        <item x="420"/>
        <item x="277"/>
        <item x="832"/>
        <item x="974"/>
        <item x="372"/>
        <item x="811"/>
        <item x="989"/>
        <item x="1120"/>
        <item x="1108"/>
        <item x="70"/>
        <item x="601"/>
        <item x="845"/>
        <item x="871"/>
        <item x="1260"/>
        <item x="292"/>
        <item x="893"/>
        <item x="912"/>
        <item x="873"/>
        <item x="877"/>
        <item x="593"/>
        <item x="180"/>
        <item x="995"/>
        <item x="564"/>
        <item x="613"/>
        <item x="872"/>
        <item x="1026"/>
        <item x="774"/>
        <item x="201"/>
        <item x="1037"/>
        <item x="238"/>
        <item x="1101"/>
        <item x="234"/>
        <item x="1212"/>
        <item x="1083"/>
        <item x="1232"/>
        <item x="860"/>
        <item x="460"/>
        <item x="818"/>
        <item x="622"/>
        <item x="453"/>
        <item x="981"/>
        <item x="381"/>
        <item x="610"/>
        <item x="1127"/>
        <item x="966"/>
        <item x="160"/>
        <item x="754"/>
        <item x="689"/>
        <item x="542"/>
        <item x="241"/>
        <item x="1089"/>
        <item x="1209"/>
        <item x="911"/>
        <item x="1025"/>
        <item x="11"/>
        <item x="279"/>
        <item x="463"/>
        <item x="344"/>
        <item x="307"/>
        <item x="673"/>
        <item x="461"/>
        <item x="421"/>
        <item x="986"/>
        <item x="795"/>
        <item x="439"/>
        <item x="568"/>
        <item x="1062"/>
        <item x="314"/>
        <item x="124"/>
        <item x="99"/>
        <item x="48"/>
        <item x="771"/>
        <item x="544"/>
        <item x="1126"/>
        <item x="71"/>
        <item x="1188"/>
        <item x="328"/>
        <item x="758"/>
        <item x="688"/>
        <item x="1098"/>
        <item x="169"/>
        <item x="908"/>
        <item x="963"/>
        <item x="1160"/>
        <item x="957"/>
        <item x="79"/>
        <item x="865"/>
        <item x="27"/>
        <item x="588"/>
        <item x="1203"/>
        <item x="511"/>
        <item x="259"/>
        <item x="518"/>
        <item x="1252"/>
        <item x="747"/>
        <item x="690"/>
        <item x="626"/>
        <item x="909"/>
        <item x="1112"/>
        <item x="1136"/>
        <item x="530"/>
        <item x="139"/>
        <item x="652"/>
        <item x="512"/>
        <item x="761"/>
        <item x="428"/>
        <item x="257"/>
        <item x="147"/>
        <item x="1003"/>
        <item x="834"/>
        <item x="571"/>
        <item x="318"/>
        <item x="620"/>
        <item x="329"/>
        <item x="1161"/>
        <item x="1216"/>
        <item x="559"/>
        <item x="1122"/>
        <item x="322"/>
        <item x="735"/>
        <item x="214"/>
        <item x="1167"/>
        <item x="951"/>
        <item x="377"/>
        <item x="204"/>
        <item x="388"/>
        <item x="934"/>
        <item t="default"/>
      </items>
    </pivotField>
    <pivotField showAll="0"/>
    <pivotField showAll="0"/>
    <pivotField showAll="0"/>
    <pivotField showAll="0">
      <items count="6">
        <item h="1" x="4"/>
        <item h="1" x="2"/>
        <item h="1" x="3"/>
        <item h="1" x="0"/>
        <item x="1"/>
        <item t="default"/>
      </items>
    </pivotField>
    <pivotField showAll="0"/>
    <pivotField showAll="0">
      <items count="7">
        <item x="2"/>
        <item x="4"/>
        <item x="0"/>
        <item x="1"/>
        <item x="5"/>
        <item x="3"/>
        <item t="default"/>
      </items>
    </pivotField>
    <pivotField dataField="1" numFmtId="2" showAll="0"/>
    <pivotField showAll="0"/>
    <pivotField showAll="0"/>
    <pivotField showAll="0"/>
    <pivotField showAll="0"/>
    <pivotField showAll="0"/>
    <pivotField showAll="0">
      <items count="3">
        <item x="0"/>
        <item x="1"/>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0">
        <item sd="0" x="0"/>
        <item sd="0" x="1"/>
        <item sd="0" x="2"/>
        <item sd="0" x="3"/>
        <item sd="0" x="4"/>
        <item sd="0" x="5"/>
        <item sd="0" x="6"/>
        <item sd="0" x="7"/>
        <item sd="0" x="8"/>
        <item t="default"/>
      </items>
    </pivotField>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Total_Billing" fld="15" baseField="0" baseItem="0" numFmtId="2"/>
    <dataField name="Total Patients" fld="0" subtotal="count" baseField="0" baseItem="0"/>
  </dataFields>
  <formats count="2">
    <format dxfId="187">
      <pivotArea outline="0" collapsedLevelsAreSubtotals="1" fieldPosition="0"/>
    </format>
    <format dxfId="186">
      <pivotArea field="6" grandRow="1" outline="0" collapsedLevelsAreSubtotals="1">
        <references count="1">
          <reference field="4294967294" count="1" selected="0">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ABA54F-7012-4B86-A22E-2797C53FA80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6:C45" firstHeaderRow="0" firstDataRow="1" firstDataCol="1"/>
  <pivotFields count="25">
    <pivotField dataField="1" showAll="0"/>
    <pivotField showAll="0"/>
    <pivotField showAll="0"/>
    <pivotField showAll="0">
      <items count="7">
        <item x="0"/>
        <item x="2"/>
        <item x="5"/>
        <item x="3"/>
        <item x="4"/>
        <item x="1"/>
        <item t="default"/>
      </items>
    </pivotField>
    <pivotField showAll="0">
      <items count="3">
        <item x="1"/>
        <item x="0"/>
        <item t="default"/>
      </items>
    </pivotField>
    <pivotField showAll="0"/>
    <pivotField axis="axisRow" showAll="0">
      <items count="9">
        <item x="5"/>
        <item x="1"/>
        <item x="4"/>
        <item x="3"/>
        <item x="2"/>
        <item x="0"/>
        <item x="7"/>
        <item x="6"/>
        <item t="default"/>
      </items>
    </pivotField>
    <pivotField showAll="0">
      <items count="5">
        <item h="1" x="1"/>
        <item x="0"/>
        <item h="1" x="3"/>
        <item h="1" x="2"/>
        <item t="default"/>
      </items>
    </pivotField>
    <pivotField numFmtId="164" showAll="0">
      <items count="1267">
        <item x="744"/>
        <item x="1173"/>
        <item x="529"/>
        <item x="1079"/>
        <item x="456"/>
        <item x="470"/>
        <item x="955"/>
        <item x="725"/>
        <item x="410"/>
        <item x="647"/>
        <item x="937"/>
        <item x="521"/>
        <item x="271"/>
        <item x="692"/>
        <item x="606"/>
        <item x="1261"/>
        <item x="928"/>
        <item x="926"/>
        <item x="797"/>
        <item x="1125"/>
        <item x="635"/>
        <item x="839"/>
        <item x="313"/>
        <item x="355"/>
        <item x="698"/>
        <item x="1054"/>
        <item x="977"/>
        <item x="254"/>
        <item x="609"/>
        <item x="68"/>
        <item x="624"/>
        <item x="462"/>
        <item x="801"/>
        <item x="996"/>
        <item x="1069"/>
        <item x="931"/>
        <item x="212"/>
        <item x="672"/>
        <item x="541"/>
        <item x="646"/>
        <item x="1105"/>
        <item x="842"/>
        <item x="554"/>
        <item x="53"/>
        <item x="527"/>
        <item x="969"/>
        <item x="190"/>
        <item x="1093"/>
        <item x="727"/>
        <item x="171"/>
        <item x="239"/>
        <item x="375"/>
        <item x="525"/>
        <item x="1201"/>
        <item x="837"/>
        <item x="209"/>
        <item x="1230"/>
        <item x="339"/>
        <item x="983"/>
        <item x="1246"/>
        <item x="290"/>
        <item x="1192"/>
        <item x="34"/>
        <item x="682"/>
        <item x="787"/>
        <item x="309"/>
        <item x="1249"/>
        <item x="870"/>
        <item x="1011"/>
        <item x="1088"/>
        <item x="1064"/>
        <item x="281"/>
        <item x="929"/>
        <item x="715"/>
        <item x="399"/>
        <item x="716"/>
        <item x="656"/>
        <item x="258"/>
        <item x="517"/>
        <item x="540"/>
        <item x="181"/>
        <item x="327"/>
        <item x="454"/>
        <item x="994"/>
        <item x="1224"/>
        <item x="906"/>
        <item x="146"/>
        <item x="681"/>
        <item x="961"/>
        <item x="975"/>
        <item x="942"/>
        <item x="143"/>
        <item x="751"/>
        <item x="304"/>
        <item x="22"/>
        <item x="49"/>
        <item x="75"/>
        <item x="294"/>
        <item x="162"/>
        <item x="763"/>
        <item x="1245"/>
        <item x="895"/>
        <item x="648"/>
        <item x="217"/>
        <item x="1067"/>
        <item x="849"/>
        <item x="897"/>
        <item x="737"/>
        <item x="847"/>
        <item x="546"/>
        <item x="654"/>
        <item x="1210"/>
        <item x="717"/>
        <item x="367"/>
        <item x="137"/>
        <item x="917"/>
        <item x="819"/>
        <item x="851"/>
        <item x="78"/>
        <item x="189"/>
        <item x="347"/>
        <item x="900"/>
        <item x="1150"/>
        <item x="876"/>
        <item x="1265"/>
        <item x="685"/>
        <item x="1217"/>
        <item x="441"/>
        <item x="1238"/>
        <item x="997"/>
        <item x="343"/>
        <item x="712"/>
        <item x="287"/>
        <item x="526"/>
        <item x="247"/>
        <item x="570"/>
        <item x="64"/>
        <item x="709"/>
        <item x="809"/>
        <item x="608"/>
        <item x="59"/>
        <item x="619"/>
        <item x="446"/>
        <item x="670"/>
        <item x="116"/>
        <item x="573"/>
        <item x="706"/>
        <item x="215"/>
        <item x="163"/>
        <item x="417"/>
        <item x="805"/>
        <item x="432"/>
        <item x="764"/>
        <item x="338"/>
        <item x="910"/>
        <item x="1027"/>
        <item x="33"/>
        <item x="547"/>
        <item x="973"/>
        <item x="538"/>
        <item x="707"/>
        <item x="933"/>
        <item x="403"/>
        <item x="4"/>
        <item x="1021"/>
        <item x="543"/>
        <item x="833"/>
        <item x="133"/>
        <item x="365"/>
        <item x="592"/>
        <item x="358"/>
        <item x="412"/>
        <item x="968"/>
        <item x="984"/>
        <item x="1144"/>
        <item x="448"/>
        <item x="431"/>
        <item x="545"/>
        <item x="262"/>
        <item x="405"/>
        <item x="770"/>
        <item x="1263"/>
        <item x="1169"/>
        <item x="114"/>
        <item x="155"/>
        <item x="283"/>
        <item x="267"/>
        <item x="768"/>
        <item x="887"/>
        <item x="945"/>
        <item x="387"/>
        <item x="1123"/>
        <item x="359"/>
        <item x="814"/>
        <item x="361"/>
        <item x="58"/>
        <item x="653"/>
        <item x="208"/>
        <item x="904"/>
        <item x="106"/>
        <item x="585"/>
        <item x="484"/>
        <item x="967"/>
        <item x="35"/>
        <item x="639"/>
        <item x="836"/>
        <item x="43"/>
        <item x="222"/>
        <item x="718"/>
        <item x="591"/>
        <item x="902"/>
        <item x="366"/>
        <item x="759"/>
        <item x="1092"/>
        <item x="383"/>
        <item x="742"/>
        <item x="509"/>
        <item x="575"/>
        <item x="95"/>
        <item x="127"/>
        <item x="480"/>
        <item x="558"/>
        <item x="535"/>
        <item x="1013"/>
        <item x="1028"/>
        <item x="1038"/>
        <item x="867"/>
        <item x="427"/>
        <item x="952"/>
        <item x="1197"/>
        <item x="726"/>
        <item x="583"/>
        <item x="879"/>
        <item x="894"/>
        <item x="816"/>
        <item x="919"/>
        <item x="1163"/>
        <item x="411"/>
        <item x="30"/>
        <item x="778"/>
        <item x="266"/>
        <item x="531"/>
        <item x="594"/>
        <item x="19"/>
        <item x="368"/>
        <item x="773"/>
        <item x="85"/>
        <item x="920"/>
        <item x="443"/>
        <item x="678"/>
        <item x="793"/>
        <item x="9"/>
        <item x="752"/>
        <item x="202"/>
        <item x="1240"/>
        <item x="993"/>
        <item x="151"/>
        <item x="178"/>
        <item x="269"/>
        <item x="481"/>
        <item x="152"/>
        <item x="72"/>
        <item x="1134"/>
        <item x="523"/>
        <item x="886"/>
        <item x="396"/>
        <item x="779"/>
        <item x="676"/>
        <item x="82"/>
        <item x="1080"/>
        <item x="1250"/>
        <item x="769"/>
        <item x="868"/>
        <item x="679"/>
        <item x="595"/>
        <item x="237"/>
        <item x="1198"/>
        <item x="1152"/>
        <item x="1090"/>
        <item x="426"/>
        <item x="200"/>
        <item x="149"/>
        <item x="101"/>
        <item x="914"/>
        <item x="440"/>
        <item x="590"/>
        <item x="483"/>
        <item x="16"/>
        <item x="827"/>
        <item x="1056"/>
        <item x="207"/>
        <item x="170"/>
        <item x="311"/>
        <item x="288"/>
        <item x="474"/>
        <item x="1204"/>
        <item x="1009"/>
        <item x="611"/>
        <item x="1165"/>
        <item x="990"/>
        <item x="153"/>
        <item x="520"/>
        <item x="326"/>
        <item x="582"/>
        <item x="447"/>
        <item x="195"/>
        <item x="519"/>
        <item x="107"/>
        <item x="641"/>
        <item x="855"/>
        <item x="260"/>
        <item x="508"/>
        <item x="664"/>
        <item x="1184"/>
        <item x="316"/>
        <item x="450"/>
        <item x="941"/>
        <item x="1183"/>
        <item x="60"/>
        <item x="93"/>
        <item x="44"/>
        <item x="398"/>
        <item x="812"/>
        <item x="1084"/>
        <item x="880"/>
        <item x="1019"/>
        <item x="1005"/>
        <item x="363"/>
        <item x="1241"/>
        <item x="903"/>
        <item x="42"/>
        <item x="278"/>
        <item x="513"/>
        <item x="1200"/>
        <item x="1061"/>
        <item x="607"/>
        <item x="599"/>
        <item x="486"/>
        <item x="39"/>
        <item x="1086"/>
        <item x="1242"/>
        <item x="144"/>
        <item x="605"/>
        <item x="1016"/>
        <item x="828"/>
        <item x="340"/>
        <item x="110"/>
        <item x="264"/>
        <item x="125"/>
        <item x="1190"/>
        <item x="1239"/>
        <item x="138"/>
        <item x="866"/>
        <item x="1107"/>
        <item x="173"/>
        <item x="467"/>
        <item x="702"/>
        <item x="86"/>
        <item x="831"/>
        <item x="927"/>
        <item x="145"/>
        <item x="14"/>
        <item x="971"/>
        <item x="193"/>
        <item x="1041"/>
        <item x="249"/>
        <item x="172"/>
        <item x="109"/>
        <item x="406"/>
        <item x="280"/>
        <item x="84"/>
        <item x="1008"/>
        <item x="699"/>
        <item x="767"/>
        <item x="1147"/>
        <item x="370"/>
        <item x="922"/>
        <item x="416"/>
        <item x="1133"/>
        <item x="985"/>
        <item x="563"/>
        <item x="789"/>
        <item x="330"/>
        <item x="964"/>
        <item x="487"/>
        <item x="1141"/>
        <item x="1117"/>
        <item x="1085"/>
        <item x="1227"/>
        <item x="1157"/>
        <item x="938"/>
        <item x="1255"/>
        <item x="962"/>
        <item x="505"/>
        <item x="413"/>
        <item x="838"/>
        <item x="50"/>
        <item x="666"/>
        <item x="507"/>
        <item x="890"/>
        <item x="419"/>
        <item x="113"/>
        <item x="510"/>
        <item x="491"/>
        <item x="8"/>
        <item x="112"/>
        <item x="633"/>
        <item x="76"/>
        <item x="1170"/>
        <item x="669"/>
        <item x="1191"/>
        <item x="766"/>
        <item x="913"/>
        <item x="244"/>
        <item x="488"/>
        <item x="425"/>
        <item x="415"/>
        <item x="684"/>
        <item x="268"/>
        <item x="1058"/>
        <item x="6"/>
        <item x="813"/>
        <item x="549"/>
        <item x="765"/>
        <item x="815"/>
        <item x="888"/>
        <item x="1199"/>
        <item x="1109"/>
        <item x="37"/>
        <item x="853"/>
        <item x="89"/>
        <item x="1194"/>
        <item x="1029"/>
        <item x="905"/>
        <item x="1075"/>
        <item x="194"/>
        <item x="925"/>
        <item x="810"/>
        <item x="1087"/>
        <item x="497"/>
        <item x="1146"/>
        <item x="1253"/>
        <item x="1237"/>
        <item x="1045"/>
        <item x="553"/>
        <item x="630"/>
        <item x="1213"/>
        <item x="159"/>
        <item x="1031"/>
        <item x="1100"/>
        <item x="802"/>
        <item x="473"/>
        <item x="23"/>
        <item x="1222"/>
        <item x="38"/>
        <item x="1256"/>
        <item x="1164"/>
        <item x="351"/>
        <item x="228"/>
        <item x="1129"/>
        <item x="91"/>
        <item x="251"/>
        <item x="62"/>
        <item x="1040"/>
        <item x="696"/>
        <item x="1172"/>
        <item x="1196"/>
        <item x="980"/>
        <item x="165"/>
        <item x="468"/>
        <item x="1243"/>
        <item x="197"/>
        <item x="1004"/>
        <item x="644"/>
        <item x="379"/>
        <item x="385"/>
        <item x="756"/>
        <item x="248"/>
        <item x="1113"/>
        <item x="360"/>
        <item x="1047"/>
        <item x="476"/>
        <item x="614"/>
        <item x="1139"/>
        <item x="148"/>
        <item x="566"/>
        <item x="776"/>
        <item x="615"/>
        <item x="621"/>
        <item x="1118"/>
        <item x="524"/>
        <item x="118"/>
        <item x="231"/>
        <item x="1221"/>
        <item x="183"/>
        <item x="253"/>
        <item x="864"/>
        <item x="312"/>
        <item x="775"/>
        <item x="584"/>
        <item x="671"/>
        <item x="88"/>
        <item x="1128"/>
        <item x="1119"/>
        <item x="807"/>
        <item x="830"/>
        <item x="883"/>
        <item x="77"/>
        <item x="1035"/>
        <item x="1208"/>
        <item x="235"/>
        <item x="1223"/>
        <item x="469"/>
        <item x="581"/>
        <item x="1148"/>
        <item x="1076"/>
        <item x="550"/>
        <item x="1189"/>
        <item x="1015"/>
        <item x="786"/>
        <item x="1106"/>
        <item x="714"/>
        <item x="479"/>
        <item x="1234"/>
        <item x="0"/>
        <item x="651"/>
        <item x="1219"/>
        <item x="536"/>
        <item x="373"/>
        <item x="166"/>
        <item x="826"/>
        <item x="691"/>
        <item x="1099"/>
        <item x="437"/>
        <item x="825"/>
        <item x="301"/>
        <item x="226"/>
        <item x="342"/>
        <item x="1006"/>
        <item x="80"/>
        <item x="1174"/>
        <item x="154"/>
        <item x="1205"/>
        <item x="1033"/>
        <item x="345"/>
        <item x="332"/>
        <item x="1"/>
        <item x="687"/>
        <item x="315"/>
        <item x="245"/>
        <item x="956"/>
        <item x="1262"/>
        <item x="1236"/>
        <item x="141"/>
        <item x="949"/>
        <item x="551"/>
        <item x="597"/>
        <item x="708"/>
        <item x="492"/>
        <item x="854"/>
        <item x="978"/>
        <item x="296"/>
        <item x="7"/>
        <item x="1050"/>
        <item x="46"/>
        <item x="1096"/>
        <item x="661"/>
        <item x="407"/>
        <item x="649"/>
        <item x="1073"/>
        <item x="386"/>
        <item x="502"/>
        <item x="1116"/>
        <item x="899"/>
        <item x="577"/>
        <item x="1032"/>
        <item x="199"/>
        <item x="121"/>
        <item x="458"/>
        <item x="108"/>
        <item x="246"/>
        <item x="477"/>
        <item x="921"/>
        <item x="954"/>
        <item x="219"/>
        <item x="270"/>
        <item x="645"/>
        <item x="10"/>
        <item x="1149"/>
        <item x="874"/>
        <item x="131"/>
        <item x="965"/>
        <item x="320"/>
        <item x="41"/>
        <item x="794"/>
        <item x="397"/>
        <item x="211"/>
        <item x="533"/>
        <item x="655"/>
        <item x="1034"/>
        <item x="65"/>
        <item x="804"/>
        <item x="1244"/>
        <item x="494"/>
        <item x="87"/>
        <item x="884"/>
        <item x="376"/>
        <item x="850"/>
        <item x="335"/>
        <item x="232"/>
        <item x="1181"/>
        <item x="636"/>
        <item x="701"/>
        <item x="992"/>
        <item x="485"/>
        <item x="643"/>
        <item x="979"/>
        <item x="1193"/>
        <item x="1001"/>
        <item x="81"/>
        <item x="356"/>
        <item x="495"/>
        <item x="29"/>
        <item x="188"/>
        <item x="140"/>
        <item x="92"/>
        <item x="94"/>
        <item x="618"/>
        <item x="21"/>
        <item x="785"/>
        <item x="325"/>
        <item x="841"/>
        <item x="574"/>
        <item x="1195"/>
        <item x="898"/>
        <item x="657"/>
        <item x="667"/>
        <item x="102"/>
        <item x="1111"/>
        <item x="382"/>
        <item x="1215"/>
        <item x="435"/>
        <item x="565"/>
        <item x="472"/>
        <item x="128"/>
        <item x="297"/>
        <item x="341"/>
        <item x="362"/>
        <item x="1135"/>
        <item x="589"/>
        <item x="1102"/>
        <item x="1057"/>
        <item x="499"/>
        <item x="1182"/>
        <item x="466"/>
        <item x="1063"/>
        <item x="999"/>
        <item x="916"/>
        <item x="991"/>
        <item x="252"/>
        <item x="156"/>
        <item x="1264"/>
        <item x="1078"/>
        <item x="395"/>
        <item x="273"/>
        <item x="680"/>
        <item x="465"/>
        <item x="295"/>
        <item x="1130"/>
        <item x="191"/>
        <item x="404"/>
        <item x="164"/>
        <item x="755"/>
        <item x="695"/>
        <item x="306"/>
        <item x="1159"/>
        <item x="26"/>
        <item x="393"/>
        <item x="422"/>
        <item x="580"/>
        <item x="1140"/>
        <item x="54"/>
        <item x="56"/>
        <item x="135"/>
        <item x="1258"/>
        <item x="552"/>
        <item x="354"/>
        <item x="821"/>
        <item x="637"/>
        <item x="1020"/>
        <item x="3"/>
        <item x="1018"/>
        <item x="449"/>
        <item x="976"/>
        <item x="1094"/>
        <item x="1214"/>
        <item x="1065"/>
        <item x="947"/>
        <item x="18"/>
        <item x="498"/>
        <item x="539"/>
        <item x="218"/>
        <item x="1155"/>
        <item x="324"/>
        <item x="1051"/>
        <item x="596"/>
        <item x="255"/>
        <item x="1226"/>
        <item x="686"/>
        <item x="20"/>
        <item x="434"/>
        <item x="471"/>
        <item x="889"/>
        <item x="1030"/>
        <item x="753"/>
        <item x="930"/>
        <item x="501"/>
        <item x="950"/>
        <item x="83"/>
        <item x="1178"/>
        <item x="693"/>
        <item x="1206"/>
        <item x="1095"/>
        <item x="668"/>
        <item x="1043"/>
        <item x="299"/>
        <item x="303"/>
        <item x="642"/>
        <item x="1248"/>
        <item x="1070"/>
        <item x="1137"/>
        <item x="73"/>
        <item x="31"/>
        <item x="1247"/>
        <item x="74"/>
        <item x="858"/>
        <item x="123"/>
        <item x="762"/>
        <item x="504"/>
        <item x="289"/>
        <item x="891"/>
        <item x="455"/>
        <item x="1023"/>
        <item x="500"/>
        <item x="1168"/>
        <item x="634"/>
        <item x="1179"/>
        <item x="12"/>
        <item x="918"/>
        <item x="493"/>
        <item x="800"/>
        <item x="1091"/>
        <item x="528"/>
        <item x="732"/>
        <item x="1180"/>
        <item x="998"/>
        <item x="1211"/>
        <item x="230"/>
        <item x="221"/>
        <item x="55"/>
        <item x="1166"/>
        <item x="111"/>
        <item x="846"/>
        <item x="650"/>
        <item x="532"/>
        <item x="881"/>
        <item x="256"/>
        <item x="781"/>
        <item x="136"/>
        <item x="852"/>
        <item x="1254"/>
        <item x="52"/>
        <item x="748"/>
        <item x="1175"/>
        <item x="40"/>
        <item x="236"/>
        <item x="371"/>
        <item x="134"/>
        <item x="323"/>
        <item x="561"/>
        <item x="723"/>
        <item x="587"/>
        <item x="556"/>
        <item x="1153"/>
        <item x="390"/>
        <item x="182"/>
        <item x="331"/>
        <item x="438"/>
        <item x="791"/>
        <item x="1176"/>
        <item x="1103"/>
        <item x="792"/>
        <item x="1082"/>
        <item x="57"/>
        <item x="736"/>
        <item x="157"/>
        <item x="1257"/>
        <item x="250"/>
        <item x="1060"/>
        <item x="210"/>
        <item x="972"/>
        <item x="282"/>
        <item x="47"/>
        <item x="176"/>
        <item x="233"/>
        <item x="276"/>
        <item x="683"/>
        <item x="882"/>
        <item x="96"/>
        <item x="555"/>
        <item x="117"/>
        <item x="746"/>
        <item x="1097"/>
        <item x="186"/>
        <item x="567"/>
        <item x="844"/>
        <item x="817"/>
        <item x="1048"/>
        <item x="1162"/>
        <item x="943"/>
        <item x="1132"/>
        <item x="537"/>
        <item x="784"/>
        <item x="875"/>
        <item x="640"/>
        <item x="600"/>
        <item x="1185"/>
        <item x="970"/>
        <item x="122"/>
        <item x="394"/>
        <item x="750"/>
        <item x="616"/>
        <item x="25"/>
        <item x="168"/>
        <item x="430"/>
        <item x="705"/>
        <item x="721"/>
        <item x="174"/>
        <item x="321"/>
        <item x="263"/>
        <item x="175"/>
        <item x="291"/>
        <item x="856"/>
        <item x="391"/>
        <item x="796"/>
        <item x="424"/>
        <item x="790"/>
        <item x="274"/>
        <item x="265"/>
        <item x="132"/>
        <item x="1002"/>
        <item x="482"/>
        <item x="743"/>
        <item x="1229"/>
        <item x="711"/>
        <item x="783"/>
        <item x="179"/>
        <item x="988"/>
        <item x="1024"/>
        <item x="604"/>
        <item x="806"/>
        <item x="442"/>
        <item x="901"/>
        <item x="459"/>
        <item x="516"/>
        <item x="380"/>
        <item x="586"/>
        <item x="364"/>
        <item x="799"/>
        <item x="1055"/>
        <item x="220"/>
        <item x="337"/>
        <item x="357"/>
        <item x="67"/>
        <item x="408"/>
        <item x="240"/>
        <item x="522"/>
        <item x="1235"/>
        <item x="205"/>
        <item x="401"/>
        <item x="1220"/>
        <item x="1072"/>
        <item x="579"/>
        <item x="603"/>
        <item x="305"/>
        <item x="1231"/>
        <item x="192"/>
        <item x="1081"/>
        <item x="1022"/>
        <item x="660"/>
        <item x="302"/>
        <item x="464"/>
        <item x="1014"/>
        <item x="374"/>
        <item x="104"/>
        <item x="674"/>
        <item x="475"/>
        <item x="675"/>
        <item x="213"/>
        <item x="161"/>
        <item x="924"/>
        <item x="336"/>
        <item x="319"/>
        <item x="869"/>
        <item x="229"/>
        <item x="224"/>
        <item x="402"/>
        <item x="612"/>
        <item x="418"/>
        <item x="788"/>
        <item x="223"/>
        <item x="158"/>
        <item x="915"/>
        <item x="457"/>
        <item x="733"/>
        <item x="861"/>
        <item x="203"/>
        <item x="745"/>
        <item x="429"/>
        <item x="120"/>
        <item x="2"/>
        <item x="490"/>
        <item x="772"/>
        <item x="97"/>
        <item x="436"/>
        <item x="720"/>
        <item x="719"/>
        <item x="848"/>
        <item x="51"/>
        <item x="1156"/>
        <item x="1115"/>
        <item x="824"/>
        <item x="489"/>
        <item x="451"/>
        <item x="560"/>
        <item x="940"/>
        <item x="378"/>
        <item x="409"/>
        <item x="15"/>
        <item x="333"/>
        <item x="1187"/>
        <item x="1052"/>
        <item x="663"/>
        <item x="1202"/>
        <item x="317"/>
        <item x="548"/>
        <item x="739"/>
        <item x="932"/>
        <item x="103"/>
        <item x="728"/>
        <item x="185"/>
        <item x="628"/>
        <item x="1036"/>
        <item x="167"/>
        <item x="1228"/>
        <item x="346"/>
        <item x="572"/>
        <item x="90"/>
        <item x="629"/>
        <item x="225"/>
        <item x="1121"/>
        <item x="627"/>
        <item x="982"/>
        <item x="36"/>
        <item x="349"/>
        <item x="300"/>
        <item x="697"/>
        <item x="885"/>
        <item x="353"/>
        <item x="17"/>
        <item x="625"/>
        <item x="782"/>
        <item x="1044"/>
        <item x="843"/>
        <item x="384"/>
        <item x="196"/>
        <item x="1068"/>
        <item x="1046"/>
        <item x="515"/>
        <item x="369"/>
        <item x="862"/>
        <item x="350"/>
        <item x="444"/>
        <item x="423"/>
        <item x="1012"/>
        <item x="32"/>
        <item x="665"/>
        <item x="285"/>
        <item x="61"/>
        <item x="392"/>
        <item x="602"/>
        <item x="803"/>
        <item x="960"/>
        <item x="503"/>
        <item x="1039"/>
        <item x="100"/>
        <item x="1071"/>
        <item x="284"/>
        <item x="45"/>
        <item x="724"/>
        <item x="1142"/>
        <item x="710"/>
        <item x="216"/>
        <item x="780"/>
        <item x="1225"/>
        <item x="115"/>
        <item x="184"/>
        <item x="1042"/>
        <item x="28"/>
        <item x="631"/>
        <item x="1145"/>
        <item x="105"/>
        <item x="658"/>
        <item x="119"/>
        <item x="272"/>
        <item x="935"/>
        <item x="69"/>
        <item x="760"/>
        <item x="126"/>
        <item x="823"/>
        <item x="578"/>
        <item x="1186"/>
        <item x="987"/>
        <item x="878"/>
        <item x="958"/>
        <item x="734"/>
        <item x="1207"/>
        <item x="694"/>
        <item x="243"/>
        <item x="1171"/>
        <item x="557"/>
        <item x="13"/>
        <item x="227"/>
        <item x="298"/>
        <item x="562"/>
        <item x="946"/>
        <item x="1077"/>
        <item x="829"/>
        <item x="310"/>
        <item x="98"/>
        <item x="348"/>
        <item x="892"/>
        <item x="478"/>
        <item x="1259"/>
        <item x="352"/>
        <item x="1138"/>
        <item x="840"/>
        <item x="66"/>
        <item x="242"/>
        <item x="187"/>
        <item x="177"/>
        <item x="293"/>
        <item x="569"/>
        <item x="1218"/>
        <item x="820"/>
        <item x="700"/>
        <item x="414"/>
        <item x="704"/>
        <item x="598"/>
        <item x="757"/>
        <item x="286"/>
        <item x="953"/>
        <item x="936"/>
        <item x="334"/>
        <item x="275"/>
        <item x="1010"/>
        <item x="206"/>
        <item x="703"/>
        <item x="859"/>
        <item x="777"/>
        <item x="729"/>
        <item x="907"/>
        <item x="863"/>
        <item x="741"/>
        <item x="496"/>
        <item x="623"/>
        <item x="261"/>
        <item x="1049"/>
        <item x="1059"/>
        <item x="1143"/>
        <item x="389"/>
        <item x="1124"/>
        <item x="1151"/>
        <item x="1066"/>
        <item x="129"/>
        <item x="1017"/>
        <item x="857"/>
        <item x="1000"/>
        <item x="150"/>
        <item x="63"/>
        <item x="445"/>
        <item x="896"/>
        <item x="944"/>
        <item x="1233"/>
        <item x="1131"/>
        <item x="142"/>
        <item x="514"/>
        <item x="400"/>
        <item x="1104"/>
        <item x="632"/>
        <item x="939"/>
        <item x="730"/>
        <item x="638"/>
        <item x="1177"/>
        <item x="822"/>
        <item x="24"/>
        <item x="923"/>
        <item x="5"/>
        <item x="308"/>
        <item x="1114"/>
        <item x="749"/>
        <item x="506"/>
        <item x="722"/>
        <item x="617"/>
        <item x="1158"/>
        <item x="534"/>
        <item x="713"/>
        <item x="740"/>
        <item x="1251"/>
        <item x="798"/>
        <item x="959"/>
        <item x="835"/>
        <item x="1074"/>
        <item x="677"/>
        <item x="130"/>
        <item x="452"/>
        <item x="1154"/>
        <item x="948"/>
        <item x="662"/>
        <item x="1053"/>
        <item x="731"/>
        <item x="1110"/>
        <item x="433"/>
        <item x="1007"/>
        <item x="738"/>
        <item x="808"/>
        <item x="659"/>
        <item x="198"/>
        <item x="576"/>
        <item x="420"/>
        <item x="277"/>
        <item x="832"/>
        <item x="974"/>
        <item x="372"/>
        <item x="811"/>
        <item x="989"/>
        <item x="1120"/>
        <item x="1108"/>
        <item x="70"/>
        <item x="601"/>
        <item x="845"/>
        <item x="871"/>
        <item x="1260"/>
        <item x="292"/>
        <item x="893"/>
        <item x="912"/>
        <item x="873"/>
        <item x="877"/>
        <item x="593"/>
        <item x="180"/>
        <item x="995"/>
        <item x="564"/>
        <item x="613"/>
        <item x="872"/>
        <item x="1026"/>
        <item x="774"/>
        <item x="201"/>
        <item x="1037"/>
        <item x="238"/>
        <item x="1101"/>
        <item x="234"/>
        <item x="1212"/>
        <item x="1083"/>
        <item x="1232"/>
        <item x="860"/>
        <item x="460"/>
        <item x="818"/>
        <item x="622"/>
        <item x="453"/>
        <item x="981"/>
        <item x="381"/>
        <item x="610"/>
        <item x="1127"/>
        <item x="966"/>
        <item x="160"/>
        <item x="754"/>
        <item x="689"/>
        <item x="542"/>
        <item x="241"/>
        <item x="1089"/>
        <item x="1209"/>
        <item x="911"/>
        <item x="1025"/>
        <item x="11"/>
        <item x="279"/>
        <item x="463"/>
        <item x="344"/>
        <item x="307"/>
        <item x="673"/>
        <item x="461"/>
        <item x="421"/>
        <item x="986"/>
        <item x="795"/>
        <item x="439"/>
        <item x="568"/>
        <item x="1062"/>
        <item x="314"/>
        <item x="124"/>
        <item x="99"/>
        <item x="48"/>
        <item x="771"/>
        <item x="544"/>
        <item x="1126"/>
        <item x="71"/>
        <item x="1188"/>
        <item x="328"/>
        <item x="758"/>
        <item x="688"/>
        <item x="1098"/>
        <item x="169"/>
        <item x="908"/>
        <item x="963"/>
        <item x="1160"/>
        <item x="957"/>
        <item x="79"/>
        <item x="865"/>
        <item x="27"/>
        <item x="588"/>
        <item x="1203"/>
        <item x="511"/>
        <item x="259"/>
        <item x="518"/>
        <item x="1252"/>
        <item x="747"/>
        <item x="690"/>
        <item x="626"/>
        <item x="909"/>
        <item x="1112"/>
        <item x="1136"/>
        <item x="530"/>
        <item x="139"/>
        <item x="652"/>
        <item x="512"/>
        <item x="761"/>
        <item x="428"/>
        <item x="257"/>
        <item x="147"/>
        <item x="1003"/>
        <item x="834"/>
        <item x="571"/>
        <item x="318"/>
        <item x="620"/>
        <item x="329"/>
        <item x="1161"/>
        <item x="1216"/>
        <item x="559"/>
        <item x="1122"/>
        <item x="322"/>
        <item x="735"/>
        <item x="214"/>
        <item x="1167"/>
        <item x="951"/>
        <item x="377"/>
        <item x="204"/>
        <item x="388"/>
        <item x="934"/>
        <item t="default"/>
      </items>
    </pivotField>
    <pivotField showAll="0"/>
    <pivotField showAll="0"/>
    <pivotField showAll="0"/>
    <pivotField showAll="0">
      <items count="6">
        <item h="1" x="4"/>
        <item h="1" x="2"/>
        <item h="1" x="3"/>
        <item h="1" x="0"/>
        <item x="1"/>
        <item t="default"/>
      </items>
    </pivotField>
    <pivotField showAll="0"/>
    <pivotField showAll="0">
      <items count="7">
        <item x="2"/>
        <item x="4"/>
        <item x="0"/>
        <item x="1"/>
        <item x="5"/>
        <item x="3"/>
        <item t="default"/>
      </items>
    </pivotField>
    <pivotField dataField="1" numFmtId="2" showAll="0"/>
    <pivotField showAll="0"/>
    <pivotField showAll="0"/>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6"/>
  </rowFields>
  <rowItems count="9">
    <i>
      <x/>
    </i>
    <i>
      <x v="1"/>
    </i>
    <i>
      <x v="2"/>
    </i>
    <i>
      <x v="3"/>
    </i>
    <i>
      <x v="4"/>
    </i>
    <i>
      <x v="5"/>
    </i>
    <i>
      <x v="6"/>
    </i>
    <i>
      <x v="7"/>
    </i>
    <i t="grand">
      <x/>
    </i>
  </rowItems>
  <colFields count="1">
    <field x="-2"/>
  </colFields>
  <colItems count="2">
    <i>
      <x/>
    </i>
    <i i="1">
      <x v="1"/>
    </i>
  </colItems>
  <dataFields count="2">
    <dataField name="Total_Billing" fld="15" baseField="0" baseItem="0" numFmtId="2"/>
    <dataField name="Total Patients" fld="0" subtotal="count" baseField="0" baseItem="0"/>
  </dataFields>
  <formats count="3">
    <format dxfId="190">
      <pivotArea outline="0" collapsedLevelsAreSubtotals="1" fieldPosition="0"/>
    </format>
    <format dxfId="189">
      <pivotArea collapsedLevelsAreSubtotals="1" fieldPosition="0">
        <references count="2">
          <reference field="4294967294" count="1" selected="0">
            <x v="1"/>
          </reference>
          <reference field="6" count="0"/>
        </references>
      </pivotArea>
    </format>
    <format dxfId="188">
      <pivotArea field="6"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6ED878-8695-4ED7-8CEF-60A86670BF6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Q3:R12" firstHeaderRow="1" firstDataRow="1" firstDataCol="1"/>
  <pivotFields count="25">
    <pivotField showAll="0"/>
    <pivotField showAll="0"/>
    <pivotField showAll="0"/>
    <pivotField showAll="0">
      <items count="7">
        <item x="0"/>
        <item x="2"/>
        <item x="5"/>
        <item x="3"/>
        <item x="4"/>
        <item x="1"/>
        <item t="default"/>
      </items>
    </pivotField>
    <pivotField showAll="0">
      <items count="3">
        <item x="1"/>
        <item x="0"/>
        <item t="default"/>
      </items>
    </pivotField>
    <pivotField showAll="0"/>
    <pivotField axis="axisRow" showAll="0" sortType="ascending">
      <items count="9">
        <item x="5"/>
        <item x="1"/>
        <item x="4"/>
        <item x="3"/>
        <item x="2"/>
        <item x="0"/>
        <item x="7"/>
        <item x="6"/>
        <item t="default"/>
      </items>
      <autoSortScope>
        <pivotArea dataOnly="0" outline="0" fieldPosition="0">
          <references count="1">
            <reference field="4294967294" count="1" selected="0">
              <x v="0"/>
            </reference>
          </references>
        </pivotArea>
      </autoSortScope>
    </pivotField>
    <pivotField showAll="0">
      <items count="5">
        <item h="1" x="1"/>
        <item x="0"/>
        <item h="1" x="3"/>
        <item h="1" x="2"/>
        <item t="default"/>
      </items>
    </pivotField>
    <pivotField numFmtId="164" showAll="0">
      <items count="1267">
        <item x="744"/>
        <item x="1173"/>
        <item x="529"/>
        <item x="1079"/>
        <item x="456"/>
        <item x="470"/>
        <item x="955"/>
        <item x="725"/>
        <item x="410"/>
        <item x="647"/>
        <item x="937"/>
        <item x="521"/>
        <item x="271"/>
        <item x="692"/>
        <item x="606"/>
        <item x="1261"/>
        <item x="928"/>
        <item x="926"/>
        <item x="797"/>
        <item x="1125"/>
        <item x="635"/>
        <item x="839"/>
        <item x="313"/>
        <item x="355"/>
        <item x="698"/>
        <item x="1054"/>
        <item x="977"/>
        <item x="254"/>
        <item x="609"/>
        <item x="68"/>
        <item x="624"/>
        <item x="462"/>
        <item x="801"/>
        <item x="996"/>
        <item x="1069"/>
        <item x="931"/>
        <item x="212"/>
        <item x="672"/>
        <item x="541"/>
        <item x="646"/>
        <item x="1105"/>
        <item x="842"/>
        <item x="554"/>
        <item x="53"/>
        <item x="527"/>
        <item x="969"/>
        <item x="190"/>
        <item x="1093"/>
        <item x="727"/>
        <item x="171"/>
        <item x="239"/>
        <item x="375"/>
        <item x="525"/>
        <item x="1201"/>
        <item x="837"/>
        <item x="209"/>
        <item x="1230"/>
        <item x="339"/>
        <item x="983"/>
        <item x="1246"/>
        <item x="290"/>
        <item x="1192"/>
        <item x="34"/>
        <item x="682"/>
        <item x="787"/>
        <item x="309"/>
        <item x="1249"/>
        <item x="870"/>
        <item x="1011"/>
        <item x="1088"/>
        <item x="1064"/>
        <item x="281"/>
        <item x="929"/>
        <item x="715"/>
        <item x="399"/>
        <item x="716"/>
        <item x="656"/>
        <item x="258"/>
        <item x="517"/>
        <item x="540"/>
        <item x="181"/>
        <item x="327"/>
        <item x="454"/>
        <item x="994"/>
        <item x="1224"/>
        <item x="906"/>
        <item x="146"/>
        <item x="681"/>
        <item x="961"/>
        <item x="975"/>
        <item x="942"/>
        <item x="143"/>
        <item x="751"/>
        <item x="304"/>
        <item x="22"/>
        <item x="49"/>
        <item x="75"/>
        <item x="294"/>
        <item x="162"/>
        <item x="763"/>
        <item x="1245"/>
        <item x="895"/>
        <item x="648"/>
        <item x="217"/>
        <item x="1067"/>
        <item x="849"/>
        <item x="897"/>
        <item x="737"/>
        <item x="847"/>
        <item x="546"/>
        <item x="654"/>
        <item x="1210"/>
        <item x="717"/>
        <item x="367"/>
        <item x="137"/>
        <item x="917"/>
        <item x="819"/>
        <item x="851"/>
        <item x="78"/>
        <item x="189"/>
        <item x="347"/>
        <item x="900"/>
        <item x="1150"/>
        <item x="876"/>
        <item x="1265"/>
        <item x="685"/>
        <item x="1217"/>
        <item x="441"/>
        <item x="1238"/>
        <item x="997"/>
        <item x="343"/>
        <item x="712"/>
        <item x="287"/>
        <item x="526"/>
        <item x="247"/>
        <item x="570"/>
        <item x="64"/>
        <item x="709"/>
        <item x="809"/>
        <item x="608"/>
        <item x="59"/>
        <item x="619"/>
        <item x="446"/>
        <item x="670"/>
        <item x="116"/>
        <item x="573"/>
        <item x="706"/>
        <item x="215"/>
        <item x="163"/>
        <item x="417"/>
        <item x="805"/>
        <item x="432"/>
        <item x="764"/>
        <item x="338"/>
        <item x="910"/>
        <item x="1027"/>
        <item x="33"/>
        <item x="547"/>
        <item x="973"/>
        <item x="538"/>
        <item x="707"/>
        <item x="933"/>
        <item x="403"/>
        <item x="4"/>
        <item x="1021"/>
        <item x="543"/>
        <item x="833"/>
        <item x="133"/>
        <item x="365"/>
        <item x="592"/>
        <item x="358"/>
        <item x="412"/>
        <item x="968"/>
        <item x="984"/>
        <item x="1144"/>
        <item x="448"/>
        <item x="431"/>
        <item x="545"/>
        <item x="262"/>
        <item x="405"/>
        <item x="770"/>
        <item x="1263"/>
        <item x="1169"/>
        <item x="114"/>
        <item x="155"/>
        <item x="283"/>
        <item x="267"/>
        <item x="768"/>
        <item x="887"/>
        <item x="945"/>
        <item x="387"/>
        <item x="1123"/>
        <item x="359"/>
        <item x="814"/>
        <item x="361"/>
        <item x="58"/>
        <item x="653"/>
        <item x="208"/>
        <item x="904"/>
        <item x="106"/>
        <item x="585"/>
        <item x="484"/>
        <item x="967"/>
        <item x="35"/>
        <item x="639"/>
        <item x="836"/>
        <item x="43"/>
        <item x="222"/>
        <item x="718"/>
        <item x="591"/>
        <item x="902"/>
        <item x="366"/>
        <item x="759"/>
        <item x="1092"/>
        <item x="383"/>
        <item x="742"/>
        <item x="509"/>
        <item x="575"/>
        <item x="95"/>
        <item x="127"/>
        <item x="480"/>
        <item x="558"/>
        <item x="535"/>
        <item x="1013"/>
        <item x="1028"/>
        <item x="1038"/>
        <item x="867"/>
        <item x="427"/>
        <item x="952"/>
        <item x="1197"/>
        <item x="726"/>
        <item x="583"/>
        <item x="879"/>
        <item x="894"/>
        <item x="816"/>
        <item x="919"/>
        <item x="1163"/>
        <item x="411"/>
        <item x="30"/>
        <item x="778"/>
        <item x="266"/>
        <item x="531"/>
        <item x="594"/>
        <item x="19"/>
        <item x="368"/>
        <item x="773"/>
        <item x="85"/>
        <item x="920"/>
        <item x="443"/>
        <item x="678"/>
        <item x="793"/>
        <item x="9"/>
        <item x="752"/>
        <item x="202"/>
        <item x="1240"/>
        <item x="993"/>
        <item x="151"/>
        <item x="178"/>
        <item x="269"/>
        <item x="481"/>
        <item x="152"/>
        <item x="72"/>
        <item x="1134"/>
        <item x="523"/>
        <item x="886"/>
        <item x="396"/>
        <item x="779"/>
        <item x="676"/>
        <item x="82"/>
        <item x="1080"/>
        <item x="1250"/>
        <item x="769"/>
        <item x="868"/>
        <item x="679"/>
        <item x="595"/>
        <item x="237"/>
        <item x="1198"/>
        <item x="1152"/>
        <item x="1090"/>
        <item x="426"/>
        <item x="200"/>
        <item x="149"/>
        <item x="101"/>
        <item x="914"/>
        <item x="440"/>
        <item x="590"/>
        <item x="483"/>
        <item x="16"/>
        <item x="827"/>
        <item x="1056"/>
        <item x="207"/>
        <item x="170"/>
        <item x="311"/>
        <item x="288"/>
        <item x="474"/>
        <item x="1204"/>
        <item x="1009"/>
        <item x="611"/>
        <item x="1165"/>
        <item x="990"/>
        <item x="153"/>
        <item x="520"/>
        <item x="326"/>
        <item x="582"/>
        <item x="447"/>
        <item x="195"/>
        <item x="519"/>
        <item x="107"/>
        <item x="641"/>
        <item x="855"/>
        <item x="260"/>
        <item x="508"/>
        <item x="664"/>
        <item x="1184"/>
        <item x="316"/>
        <item x="450"/>
        <item x="941"/>
        <item x="1183"/>
        <item x="60"/>
        <item x="93"/>
        <item x="44"/>
        <item x="398"/>
        <item x="812"/>
        <item x="1084"/>
        <item x="880"/>
        <item x="1019"/>
        <item x="1005"/>
        <item x="363"/>
        <item x="1241"/>
        <item x="903"/>
        <item x="42"/>
        <item x="278"/>
        <item x="513"/>
        <item x="1200"/>
        <item x="1061"/>
        <item x="607"/>
        <item x="599"/>
        <item x="486"/>
        <item x="39"/>
        <item x="1086"/>
        <item x="1242"/>
        <item x="144"/>
        <item x="605"/>
        <item x="1016"/>
        <item x="828"/>
        <item x="340"/>
        <item x="110"/>
        <item x="264"/>
        <item x="125"/>
        <item x="1190"/>
        <item x="1239"/>
        <item x="138"/>
        <item x="866"/>
        <item x="1107"/>
        <item x="173"/>
        <item x="467"/>
        <item x="702"/>
        <item x="86"/>
        <item x="831"/>
        <item x="927"/>
        <item x="145"/>
        <item x="14"/>
        <item x="971"/>
        <item x="193"/>
        <item x="1041"/>
        <item x="249"/>
        <item x="172"/>
        <item x="109"/>
        <item x="406"/>
        <item x="280"/>
        <item x="84"/>
        <item x="1008"/>
        <item x="699"/>
        <item x="767"/>
        <item x="1147"/>
        <item x="370"/>
        <item x="922"/>
        <item x="416"/>
        <item x="1133"/>
        <item x="985"/>
        <item x="563"/>
        <item x="789"/>
        <item x="330"/>
        <item x="964"/>
        <item x="487"/>
        <item x="1141"/>
        <item x="1117"/>
        <item x="1085"/>
        <item x="1227"/>
        <item x="1157"/>
        <item x="938"/>
        <item x="1255"/>
        <item x="962"/>
        <item x="505"/>
        <item x="413"/>
        <item x="838"/>
        <item x="50"/>
        <item x="666"/>
        <item x="507"/>
        <item x="890"/>
        <item x="419"/>
        <item x="113"/>
        <item x="510"/>
        <item x="491"/>
        <item x="8"/>
        <item x="112"/>
        <item x="633"/>
        <item x="76"/>
        <item x="1170"/>
        <item x="669"/>
        <item x="1191"/>
        <item x="766"/>
        <item x="913"/>
        <item x="244"/>
        <item x="488"/>
        <item x="425"/>
        <item x="415"/>
        <item x="684"/>
        <item x="268"/>
        <item x="1058"/>
        <item x="6"/>
        <item x="813"/>
        <item x="549"/>
        <item x="765"/>
        <item x="815"/>
        <item x="888"/>
        <item x="1199"/>
        <item x="1109"/>
        <item x="37"/>
        <item x="853"/>
        <item x="89"/>
        <item x="1194"/>
        <item x="1029"/>
        <item x="905"/>
        <item x="1075"/>
        <item x="194"/>
        <item x="925"/>
        <item x="810"/>
        <item x="1087"/>
        <item x="497"/>
        <item x="1146"/>
        <item x="1253"/>
        <item x="1237"/>
        <item x="1045"/>
        <item x="553"/>
        <item x="630"/>
        <item x="1213"/>
        <item x="159"/>
        <item x="1031"/>
        <item x="1100"/>
        <item x="802"/>
        <item x="473"/>
        <item x="23"/>
        <item x="1222"/>
        <item x="38"/>
        <item x="1256"/>
        <item x="1164"/>
        <item x="351"/>
        <item x="228"/>
        <item x="1129"/>
        <item x="91"/>
        <item x="251"/>
        <item x="62"/>
        <item x="1040"/>
        <item x="696"/>
        <item x="1172"/>
        <item x="1196"/>
        <item x="980"/>
        <item x="165"/>
        <item x="468"/>
        <item x="1243"/>
        <item x="197"/>
        <item x="1004"/>
        <item x="644"/>
        <item x="379"/>
        <item x="385"/>
        <item x="756"/>
        <item x="248"/>
        <item x="1113"/>
        <item x="360"/>
        <item x="1047"/>
        <item x="476"/>
        <item x="614"/>
        <item x="1139"/>
        <item x="148"/>
        <item x="566"/>
        <item x="776"/>
        <item x="615"/>
        <item x="621"/>
        <item x="1118"/>
        <item x="524"/>
        <item x="118"/>
        <item x="231"/>
        <item x="1221"/>
        <item x="183"/>
        <item x="253"/>
        <item x="864"/>
        <item x="312"/>
        <item x="775"/>
        <item x="584"/>
        <item x="671"/>
        <item x="88"/>
        <item x="1128"/>
        <item x="1119"/>
        <item x="807"/>
        <item x="830"/>
        <item x="883"/>
        <item x="77"/>
        <item x="1035"/>
        <item x="1208"/>
        <item x="235"/>
        <item x="1223"/>
        <item x="469"/>
        <item x="581"/>
        <item x="1148"/>
        <item x="1076"/>
        <item x="550"/>
        <item x="1189"/>
        <item x="1015"/>
        <item x="786"/>
        <item x="1106"/>
        <item x="714"/>
        <item x="479"/>
        <item x="1234"/>
        <item x="0"/>
        <item x="651"/>
        <item x="1219"/>
        <item x="536"/>
        <item x="373"/>
        <item x="166"/>
        <item x="826"/>
        <item x="691"/>
        <item x="1099"/>
        <item x="437"/>
        <item x="825"/>
        <item x="301"/>
        <item x="226"/>
        <item x="342"/>
        <item x="1006"/>
        <item x="80"/>
        <item x="1174"/>
        <item x="154"/>
        <item x="1205"/>
        <item x="1033"/>
        <item x="345"/>
        <item x="332"/>
        <item x="1"/>
        <item x="687"/>
        <item x="315"/>
        <item x="245"/>
        <item x="956"/>
        <item x="1262"/>
        <item x="1236"/>
        <item x="141"/>
        <item x="949"/>
        <item x="551"/>
        <item x="597"/>
        <item x="708"/>
        <item x="492"/>
        <item x="854"/>
        <item x="978"/>
        <item x="296"/>
        <item x="7"/>
        <item x="1050"/>
        <item x="46"/>
        <item x="1096"/>
        <item x="661"/>
        <item x="407"/>
        <item x="649"/>
        <item x="1073"/>
        <item x="386"/>
        <item x="502"/>
        <item x="1116"/>
        <item x="899"/>
        <item x="577"/>
        <item x="1032"/>
        <item x="199"/>
        <item x="121"/>
        <item x="458"/>
        <item x="108"/>
        <item x="246"/>
        <item x="477"/>
        <item x="921"/>
        <item x="954"/>
        <item x="219"/>
        <item x="270"/>
        <item x="645"/>
        <item x="10"/>
        <item x="1149"/>
        <item x="874"/>
        <item x="131"/>
        <item x="965"/>
        <item x="320"/>
        <item x="41"/>
        <item x="794"/>
        <item x="397"/>
        <item x="211"/>
        <item x="533"/>
        <item x="655"/>
        <item x="1034"/>
        <item x="65"/>
        <item x="804"/>
        <item x="1244"/>
        <item x="494"/>
        <item x="87"/>
        <item x="884"/>
        <item x="376"/>
        <item x="850"/>
        <item x="335"/>
        <item x="232"/>
        <item x="1181"/>
        <item x="636"/>
        <item x="701"/>
        <item x="992"/>
        <item x="485"/>
        <item x="643"/>
        <item x="979"/>
        <item x="1193"/>
        <item x="1001"/>
        <item x="81"/>
        <item x="356"/>
        <item x="495"/>
        <item x="29"/>
        <item x="188"/>
        <item x="140"/>
        <item x="92"/>
        <item x="94"/>
        <item x="618"/>
        <item x="21"/>
        <item x="785"/>
        <item x="325"/>
        <item x="841"/>
        <item x="574"/>
        <item x="1195"/>
        <item x="898"/>
        <item x="657"/>
        <item x="667"/>
        <item x="102"/>
        <item x="1111"/>
        <item x="382"/>
        <item x="1215"/>
        <item x="435"/>
        <item x="565"/>
        <item x="472"/>
        <item x="128"/>
        <item x="297"/>
        <item x="341"/>
        <item x="362"/>
        <item x="1135"/>
        <item x="589"/>
        <item x="1102"/>
        <item x="1057"/>
        <item x="499"/>
        <item x="1182"/>
        <item x="466"/>
        <item x="1063"/>
        <item x="999"/>
        <item x="916"/>
        <item x="991"/>
        <item x="252"/>
        <item x="156"/>
        <item x="1264"/>
        <item x="1078"/>
        <item x="395"/>
        <item x="273"/>
        <item x="680"/>
        <item x="465"/>
        <item x="295"/>
        <item x="1130"/>
        <item x="191"/>
        <item x="404"/>
        <item x="164"/>
        <item x="755"/>
        <item x="695"/>
        <item x="306"/>
        <item x="1159"/>
        <item x="26"/>
        <item x="393"/>
        <item x="422"/>
        <item x="580"/>
        <item x="1140"/>
        <item x="54"/>
        <item x="56"/>
        <item x="135"/>
        <item x="1258"/>
        <item x="552"/>
        <item x="354"/>
        <item x="821"/>
        <item x="637"/>
        <item x="1020"/>
        <item x="3"/>
        <item x="1018"/>
        <item x="449"/>
        <item x="976"/>
        <item x="1094"/>
        <item x="1214"/>
        <item x="1065"/>
        <item x="947"/>
        <item x="18"/>
        <item x="498"/>
        <item x="539"/>
        <item x="218"/>
        <item x="1155"/>
        <item x="324"/>
        <item x="1051"/>
        <item x="596"/>
        <item x="255"/>
        <item x="1226"/>
        <item x="686"/>
        <item x="20"/>
        <item x="434"/>
        <item x="471"/>
        <item x="889"/>
        <item x="1030"/>
        <item x="753"/>
        <item x="930"/>
        <item x="501"/>
        <item x="950"/>
        <item x="83"/>
        <item x="1178"/>
        <item x="693"/>
        <item x="1206"/>
        <item x="1095"/>
        <item x="668"/>
        <item x="1043"/>
        <item x="299"/>
        <item x="303"/>
        <item x="642"/>
        <item x="1248"/>
        <item x="1070"/>
        <item x="1137"/>
        <item x="73"/>
        <item x="31"/>
        <item x="1247"/>
        <item x="74"/>
        <item x="858"/>
        <item x="123"/>
        <item x="762"/>
        <item x="504"/>
        <item x="289"/>
        <item x="891"/>
        <item x="455"/>
        <item x="1023"/>
        <item x="500"/>
        <item x="1168"/>
        <item x="634"/>
        <item x="1179"/>
        <item x="12"/>
        <item x="918"/>
        <item x="493"/>
        <item x="800"/>
        <item x="1091"/>
        <item x="528"/>
        <item x="732"/>
        <item x="1180"/>
        <item x="998"/>
        <item x="1211"/>
        <item x="230"/>
        <item x="221"/>
        <item x="55"/>
        <item x="1166"/>
        <item x="111"/>
        <item x="846"/>
        <item x="650"/>
        <item x="532"/>
        <item x="881"/>
        <item x="256"/>
        <item x="781"/>
        <item x="136"/>
        <item x="852"/>
        <item x="1254"/>
        <item x="52"/>
        <item x="748"/>
        <item x="1175"/>
        <item x="40"/>
        <item x="236"/>
        <item x="371"/>
        <item x="134"/>
        <item x="323"/>
        <item x="561"/>
        <item x="723"/>
        <item x="587"/>
        <item x="556"/>
        <item x="1153"/>
        <item x="390"/>
        <item x="182"/>
        <item x="331"/>
        <item x="438"/>
        <item x="791"/>
        <item x="1176"/>
        <item x="1103"/>
        <item x="792"/>
        <item x="1082"/>
        <item x="57"/>
        <item x="736"/>
        <item x="157"/>
        <item x="1257"/>
        <item x="250"/>
        <item x="1060"/>
        <item x="210"/>
        <item x="972"/>
        <item x="282"/>
        <item x="47"/>
        <item x="176"/>
        <item x="233"/>
        <item x="276"/>
        <item x="683"/>
        <item x="882"/>
        <item x="96"/>
        <item x="555"/>
        <item x="117"/>
        <item x="746"/>
        <item x="1097"/>
        <item x="186"/>
        <item x="567"/>
        <item x="844"/>
        <item x="817"/>
        <item x="1048"/>
        <item x="1162"/>
        <item x="943"/>
        <item x="1132"/>
        <item x="537"/>
        <item x="784"/>
        <item x="875"/>
        <item x="640"/>
        <item x="600"/>
        <item x="1185"/>
        <item x="970"/>
        <item x="122"/>
        <item x="394"/>
        <item x="750"/>
        <item x="616"/>
        <item x="25"/>
        <item x="168"/>
        <item x="430"/>
        <item x="705"/>
        <item x="721"/>
        <item x="174"/>
        <item x="321"/>
        <item x="263"/>
        <item x="175"/>
        <item x="291"/>
        <item x="856"/>
        <item x="391"/>
        <item x="796"/>
        <item x="424"/>
        <item x="790"/>
        <item x="274"/>
        <item x="265"/>
        <item x="132"/>
        <item x="1002"/>
        <item x="482"/>
        <item x="743"/>
        <item x="1229"/>
        <item x="711"/>
        <item x="783"/>
        <item x="179"/>
        <item x="988"/>
        <item x="1024"/>
        <item x="604"/>
        <item x="806"/>
        <item x="442"/>
        <item x="901"/>
        <item x="459"/>
        <item x="516"/>
        <item x="380"/>
        <item x="586"/>
        <item x="364"/>
        <item x="799"/>
        <item x="1055"/>
        <item x="220"/>
        <item x="337"/>
        <item x="357"/>
        <item x="67"/>
        <item x="408"/>
        <item x="240"/>
        <item x="522"/>
        <item x="1235"/>
        <item x="205"/>
        <item x="401"/>
        <item x="1220"/>
        <item x="1072"/>
        <item x="579"/>
        <item x="603"/>
        <item x="305"/>
        <item x="1231"/>
        <item x="192"/>
        <item x="1081"/>
        <item x="1022"/>
        <item x="660"/>
        <item x="302"/>
        <item x="464"/>
        <item x="1014"/>
        <item x="374"/>
        <item x="104"/>
        <item x="674"/>
        <item x="475"/>
        <item x="675"/>
        <item x="213"/>
        <item x="161"/>
        <item x="924"/>
        <item x="336"/>
        <item x="319"/>
        <item x="869"/>
        <item x="229"/>
        <item x="224"/>
        <item x="402"/>
        <item x="612"/>
        <item x="418"/>
        <item x="788"/>
        <item x="223"/>
        <item x="158"/>
        <item x="915"/>
        <item x="457"/>
        <item x="733"/>
        <item x="861"/>
        <item x="203"/>
        <item x="745"/>
        <item x="429"/>
        <item x="120"/>
        <item x="2"/>
        <item x="490"/>
        <item x="772"/>
        <item x="97"/>
        <item x="436"/>
        <item x="720"/>
        <item x="719"/>
        <item x="848"/>
        <item x="51"/>
        <item x="1156"/>
        <item x="1115"/>
        <item x="824"/>
        <item x="489"/>
        <item x="451"/>
        <item x="560"/>
        <item x="940"/>
        <item x="378"/>
        <item x="409"/>
        <item x="15"/>
        <item x="333"/>
        <item x="1187"/>
        <item x="1052"/>
        <item x="663"/>
        <item x="1202"/>
        <item x="317"/>
        <item x="548"/>
        <item x="739"/>
        <item x="932"/>
        <item x="103"/>
        <item x="728"/>
        <item x="185"/>
        <item x="628"/>
        <item x="1036"/>
        <item x="167"/>
        <item x="1228"/>
        <item x="346"/>
        <item x="572"/>
        <item x="90"/>
        <item x="629"/>
        <item x="225"/>
        <item x="1121"/>
        <item x="627"/>
        <item x="982"/>
        <item x="36"/>
        <item x="349"/>
        <item x="300"/>
        <item x="697"/>
        <item x="885"/>
        <item x="353"/>
        <item x="17"/>
        <item x="625"/>
        <item x="782"/>
        <item x="1044"/>
        <item x="843"/>
        <item x="384"/>
        <item x="196"/>
        <item x="1068"/>
        <item x="1046"/>
        <item x="515"/>
        <item x="369"/>
        <item x="862"/>
        <item x="350"/>
        <item x="444"/>
        <item x="423"/>
        <item x="1012"/>
        <item x="32"/>
        <item x="665"/>
        <item x="285"/>
        <item x="61"/>
        <item x="392"/>
        <item x="602"/>
        <item x="803"/>
        <item x="960"/>
        <item x="503"/>
        <item x="1039"/>
        <item x="100"/>
        <item x="1071"/>
        <item x="284"/>
        <item x="45"/>
        <item x="724"/>
        <item x="1142"/>
        <item x="710"/>
        <item x="216"/>
        <item x="780"/>
        <item x="1225"/>
        <item x="115"/>
        <item x="184"/>
        <item x="1042"/>
        <item x="28"/>
        <item x="631"/>
        <item x="1145"/>
        <item x="105"/>
        <item x="658"/>
        <item x="119"/>
        <item x="272"/>
        <item x="935"/>
        <item x="69"/>
        <item x="760"/>
        <item x="126"/>
        <item x="823"/>
        <item x="578"/>
        <item x="1186"/>
        <item x="987"/>
        <item x="878"/>
        <item x="958"/>
        <item x="734"/>
        <item x="1207"/>
        <item x="694"/>
        <item x="243"/>
        <item x="1171"/>
        <item x="557"/>
        <item x="13"/>
        <item x="227"/>
        <item x="298"/>
        <item x="562"/>
        <item x="946"/>
        <item x="1077"/>
        <item x="829"/>
        <item x="310"/>
        <item x="98"/>
        <item x="348"/>
        <item x="892"/>
        <item x="478"/>
        <item x="1259"/>
        <item x="352"/>
        <item x="1138"/>
        <item x="840"/>
        <item x="66"/>
        <item x="242"/>
        <item x="187"/>
        <item x="177"/>
        <item x="293"/>
        <item x="569"/>
        <item x="1218"/>
        <item x="820"/>
        <item x="700"/>
        <item x="414"/>
        <item x="704"/>
        <item x="598"/>
        <item x="757"/>
        <item x="286"/>
        <item x="953"/>
        <item x="936"/>
        <item x="334"/>
        <item x="275"/>
        <item x="1010"/>
        <item x="206"/>
        <item x="703"/>
        <item x="859"/>
        <item x="777"/>
        <item x="729"/>
        <item x="907"/>
        <item x="863"/>
        <item x="741"/>
        <item x="496"/>
        <item x="623"/>
        <item x="261"/>
        <item x="1049"/>
        <item x="1059"/>
        <item x="1143"/>
        <item x="389"/>
        <item x="1124"/>
        <item x="1151"/>
        <item x="1066"/>
        <item x="129"/>
        <item x="1017"/>
        <item x="857"/>
        <item x="1000"/>
        <item x="150"/>
        <item x="63"/>
        <item x="445"/>
        <item x="896"/>
        <item x="944"/>
        <item x="1233"/>
        <item x="1131"/>
        <item x="142"/>
        <item x="514"/>
        <item x="400"/>
        <item x="1104"/>
        <item x="632"/>
        <item x="939"/>
        <item x="730"/>
        <item x="638"/>
        <item x="1177"/>
        <item x="822"/>
        <item x="24"/>
        <item x="923"/>
        <item x="5"/>
        <item x="308"/>
        <item x="1114"/>
        <item x="749"/>
        <item x="506"/>
        <item x="722"/>
        <item x="617"/>
        <item x="1158"/>
        <item x="534"/>
        <item x="713"/>
        <item x="740"/>
        <item x="1251"/>
        <item x="798"/>
        <item x="959"/>
        <item x="835"/>
        <item x="1074"/>
        <item x="677"/>
        <item x="130"/>
        <item x="452"/>
        <item x="1154"/>
        <item x="948"/>
        <item x="662"/>
        <item x="1053"/>
        <item x="731"/>
        <item x="1110"/>
        <item x="433"/>
        <item x="1007"/>
        <item x="738"/>
        <item x="808"/>
        <item x="659"/>
        <item x="198"/>
        <item x="576"/>
        <item x="420"/>
        <item x="277"/>
        <item x="832"/>
        <item x="974"/>
        <item x="372"/>
        <item x="811"/>
        <item x="989"/>
        <item x="1120"/>
        <item x="1108"/>
        <item x="70"/>
        <item x="601"/>
        <item x="845"/>
        <item x="871"/>
        <item x="1260"/>
        <item x="292"/>
        <item x="893"/>
        <item x="912"/>
        <item x="873"/>
        <item x="877"/>
        <item x="593"/>
        <item x="180"/>
        <item x="995"/>
        <item x="564"/>
        <item x="613"/>
        <item x="872"/>
        <item x="1026"/>
        <item x="774"/>
        <item x="201"/>
        <item x="1037"/>
        <item x="238"/>
        <item x="1101"/>
        <item x="234"/>
        <item x="1212"/>
        <item x="1083"/>
        <item x="1232"/>
        <item x="860"/>
        <item x="460"/>
        <item x="818"/>
        <item x="622"/>
        <item x="453"/>
        <item x="981"/>
        <item x="381"/>
        <item x="610"/>
        <item x="1127"/>
        <item x="966"/>
        <item x="160"/>
        <item x="754"/>
        <item x="689"/>
        <item x="542"/>
        <item x="241"/>
        <item x="1089"/>
        <item x="1209"/>
        <item x="911"/>
        <item x="1025"/>
        <item x="11"/>
        <item x="279"/>
        <item x="463"/>
        <item x="344"/>
        <item x="307"/>
        <item x="673"/>
        <item x="461"/>
        <item x="421"/>
        <item x="986"/>
        <item x="795"/>
        <item x="439"/>
        <item x="568"/>
        <item x="1062"/>
        <item x="314"/>
        <item x="124"/>
        <item x="99"/>
        <item x="48"/>
        <item x="771"/>
        <item x="544"/>
        <item x="1126"/>
        <item x="71"/>
        <item x="1188"/>
        <item x="328"/>
        <item x="758"/>
        <item x="688"/>
        <item x="1098"/>
        <item x="169"/>
        <item x="908"/>
        <item x="963"/>
        <item x="1160"/>
        <item x="957"/>
        <item x="79"/>
        <item x="865"/>
        <item x="27"/>
        <item x="588"/>
        <item x="1203"/>
        <item x="511"/>
        <item x="259"/>
        <item x="518"/>
        <item x="1252"/>
        <item x="747"/>
        <item x="690"/>
        <item x="626"/>
        <item x="909"/>
        <item x="1112"/>
        <item x="1136"/>
        <item x="530"/>
        <item x="139"/>
        <item x="652"/>
        <item x="512"/>
        <item x="761"/>
        <item x="428"/>
        <item x="257"/>
        <item x="147"/>
        <item x="1003"/>
        <item x="834"/>
        <item x="571"/>
        <item x="318"/>
        <item x="620"/>
        <item x="329"/>
        <item x="1161"/>
        <item x="1216"/>
        <item x="559"/>
        <item x="1122"/>
        <item x="322"/>
        <item x="735"/>
        <item x="214"/>
        <item x="1167"/>
        <item x="951"/>
        <item x="377"/>
        <item x="204"/>
        <item x="388"/>
        <item x="934"/>
        <item t="default"/>
      </items>
    </pivotField>
    <pivotField showAll="0"/>
    <pivotField dataField="1" showAll="0"/>
    <pivotField showAll="0"/>
    <pivotField showAll="0">
      <items count="6">
        <item h="1" x="4"/>
        <item h="1" x="2"/>
        <item h="1" x="3"/>
        <item h="1" x="0"/>
        <item x="1"/>
        <item t="default"/>
      </items>
    </pivotField>
    <pivotField showAll="0"/>
    <pivotField showAll="0">
      <items count="7">
        <item x="2"/>
        <item x="4"/>
        <item x="0"/>
        <item x="1"/>
        <item x="5"/>
        <item x="3"/>
        <item t="default"/>
      </items>
    </pivotField>
    <pivotField numFmtId="2" showAll="0"/>
    <pivotField showAll="0"/>
    <pivotField showAll="0"/>
    <pivotField showAll="0"/>
    <pivotField showAll="0"/>
    <pivotField showAll="0"/>
    <pivotField showAll="0">
      <items count="3">
        <item x="0"/>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6"/>
  </rowFields>
  <rowItems count="9">
    <i>
      <x v="2"/>
    </i>
    <i>
      <x v="6"/>
    </i>
    <i>
      <x v="1"/>
    </i>
    <i>
      <x v="7"/>
    </i>
    <i>
      <x v="4"/>
    </i>
    <i>
      <x v="3"/>
    </i>
    <i>
      <x/>
    </i>
    <i>
      <x v="5"/>
    </i>
    <i t="grand">
      <x/>
    </i>
  </rowItems>
  <colItems count="1">
    <i/>
  </colItems>
  <dataFields count="1">
    <dataField name="Average of Length_of_Stay" fld="10" subtotal="average" baseField="6" baseItem="0"/>
  </dataFields>
  <formats count="1">
    <format dxfId="191">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5"/>
          </reference>
        </references>
      </pivotArea>
    </chartFormat>
    <chartFormat chart="3" format="4">
      <pivotArea type="data" outline="0" fieldPosition="0">
        <references count="2">
          <reference field="4294967294" count="1" selected="0">
            <x v="0"/>
          </reference>
          <reference field="6" count="1" selected="0">
            <x v="0"/>
          </reference>
        </references>
      </pivotArea>
    </chartFormat>
    <chartFormat chart="3"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6EE1034A-A58D-4ECD-AF28-6D3B72437F06}" sourceName="Age_Group">
  <pivotTables>
    <pivotTable tabId="6" name="PivotTable7"/>
    <pivotTable tabId="6" name="PivotTable1"/>
    <pivotTable tabId="6" name="PivotTable11"/>
    <pivotTable tabId="6" name="PivotTable14"/>
    <pivotTable tabId="6" name="PivotTable5"/>
    <pivotTable tabId="6" name="PivotTable9"/>
  </pivotTables>
  <data>
    <tabular pivotCacheId="504415451">
      <items count="6">
        <i x="0" s="1"/>
        <i x="2" s="1"/>
        <i x="5" s="1"/>
        <i x="3"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C402CA8-F921-42A4-A241-23365A8A05AC}" sourceName="Gender">
  <pivotTables>
    <pivotTable tabId="6" name="PivotTable7"/>
    <pivotTable tabId="6" name="PivotTable1"/>
    <pivotTable tabId="6" name="PivotTable11"/>
    <pivotTable tabId="6" name="PivotTable13"/>
    <pivotTable tabId="6" name="PivotTable14"/>
    <pivotTable tabId="6" name="PivotTable5"/>
    <pivotTable tabId="6" name="PivotTable9"/>
  </pivotTables>
  <data>
    <tabular pivotCacheId="50441545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mission_Type" xr10:uid="{7B1AE036-39D9-4608-B424-9CAF09F272C0}" sourceName="Admission_Type">
  <pivotTables>
    <pivotTable tabId="6" name="PivotTable7"/>
    <pivotTable tabId="6" name="PivotTable1"/>
    <pivotTable tabId="6" name="PivotTable11"/>
    <pivotTable tabId="6" name="PivotTable13"/>
    <pivotTable tabId="6" name="PivotTable14"/>
    <pivotTable tabId="6" name="PivotTable5"/>
    <pivotTable tabId="6" name="PivotTable9"/>
  </pivotTables>
  <data>
    <tabular pivotCacheId="504415451">
      <items count="4">
        <i x="1"/>
        <i x="0" s="1"/>
        <i x="3"/>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E4F4D04-AAF0-4581-8C3D-B19EB5B0AA36}" sourceName="Region">
  <pivotTables>
    <pivotTable tabId="6" name="PivotTable7"/>
    <pivotTable tabId="6" name="PivotTable1"/>
    <pivotTable tabId="6" name="PivotTable11"/>
    <pivotTable tabId="6" name="PivotTable13"/>
    <pivotTable tabId="6" name="PivotTable14"/>
    <pivotTable tabId="6" name="PivotTable5"/>
    <pivotTable tabId="6" name="PivotTable9"/>
  </pivotTables>
  <data>
    <tabular pivotCacheId="504415451">
      <items count="5">
        <i x="4"/>
        <i x="2"/>
        <i x="3"/>
        <i x="0"/>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Provider" xr10:uid="{CCFCBCF2-8353-4AAB-B637-51E086505717}" sourceName="Insurance_Provider">
  <pivotTables>
    <pivotTable tabId="6" name="PivotTable7"/>
    <pivotTable tabId="6" name="PivotTable1"/>
    <pivotTable tabId="6" name="PivotTable11"/>
    <pivotTable tabId="6" name="PivotTable13"/>
    <pivotTable tabId="6" name="PivotTable5"/>
    <pivotTable tabId="6" name="PivotTable9"/>
  </pivotTables>
  <data>
    <tabular pivotCacheId="504415451">
      <items count="6">
        <i x="2" s="1"/>
        <i x="4" s="1"/>
        <i x="0" s="1"/>
        <i x="1" s="1"/>
        <i x="5"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dmitted_Within_30Days" xr10:uid="{52CDBEF4-773E-4F4B-A411-9CABE77F0826}" sourceName="Readmitted_Within_30Days">
  <pivotTables>
    <pivotTable tabId="6" name="PivotTable7"/>
    <pivotTable tabId="6" name="PivotTable1"/>
    <pivotTable tabId="6" name="PivotTable11"/>
    <pivotTable tabId="6" name="PivotTable13"/>
    <pivotTable tabId="6" name="PivotTable14"/>
    <pivotTable tabId="6" name="PivotTable5"/>
    <pivotTable tabId="6" name="PivotTable9"/>
  </pivotTables>
  <data>
    <tabular pivotCacheId="50441545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49E42201-99EF-45B3-B68D-9E881E6B524B}" cache="Slicer_Age_Group" caption="Age_Group" rowHeight="241300"/>
  <slicer name="Gender" xr10:uid="{E427C674-A567-4893-A971-0E3876935B7A}" cache="Slicer_Gender" caption="Gender" style="SlicerStyleLight1" rowHeight="241300"/>
  <slicer name="Admission_Type" xr10:uid="{191B7BD7-BFE7-4419-8665-4FA5534B4637}" cache="Slicer_Admission_Type" caption="Admission_Type" style="SlicerStyleDark6 2" rowHeight="241300"/>
  <slicer name="Region" xr10:uid="{336FD913-655B-4520-A38A-7B08088BF0D0}" cache="Slicer_Region" caption="Region" style="SlicerStyleLight1" rowHeight="241300"/>
  <slicer name="Insurance_Provider" xr10:uid="{F8444F8B-76D6-4210-BFF9-3539E664EBD3}" cache="Slicer_Insurance_Provider" caption="Insurance_Provider" style="SlicerStyleLight1" rowHeight="241300"/>
  <slicer name="Readmitted_Within_30Days" xr10:uid="{3B6DED13-96CD-4055-B18C-431C57229A02}" cache="Slicer_Readmitted_Within_30Days" caption="Readmitted_Within_30Days"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1" xr10:uid="{8AB0888E-41EB-4303-9B56-F94C0C041C51}" cache="Slicer_Age_Group" caption="Age_Group" style="SlicerStyleDark6 2" rowHeight="241300"/>
  <slicer name="Gender 1" xr10:uid="{7B50B311-0F0E-4F35-86DC-F76794730E38}" cache="Slicer_Gender" caption="Gender" style="SlicerStyleDark6 2" rowHeight="241300"/>
  <slicer name="Admission_Type 1" xr10:uid="{371ED12B-AC03-46EA-92C9-44CCDD03ED74}" cache="Slicer_Admission_Type" caption="Admission_Type" style="SlicerStyleDark6 2" rowHeight="241300"/>
  <slicer name="Region 1" xr10:uid="{898EC989-EB01-42F8-A3DD-604378572C9D}" cache="Slicer_Region" caption="Region" style="SlicerStyleDark6 2" rowHeight="241300"/>
  <slicer name="Insurance_Provider 1" xr10:uid="{66F12199-8FD9-4DEF-B73C-4ACFB635B0C9}" cache="Slicer_Insurance_Provider" caption="Insurance_Provider" style="SlicerStyleDark6 2" rowHeight="241300"/>
  <slicer name="Readmitted_Within_30Days 1" xr10:uid="{A58B36E5-1C32-4AD7-8B01-56AA79E7E267}" cache="Slicer_Readmitted_Within_30Days" caption="Readmitted_Within_30Days" style="SlicerStyleDark6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CAE462-E9A9-4591-A7CF-8988FAFB90F2}" name="Database" displayName="Database" ref="A1:V2001" totalsRowShown="0" headerRowDxfId="178" dataDxfId="176" headerRowBorderDxfId="177" tableBorderDxfId="175">
  <autoFilter ref="A1:V2001" xr:uid="{00000000-0001-0000-0000-000000000000}"/>
  <tableColumns count="22">
    <tableColumn id="1" xr3:uid="{83A43D6B-2ABF-4810-81E5-9941EB6FE3AD}" name="Patient_ID" dataDxfId="174"/>
    <tableColumn id="2" xr3:uid="{AE81F1A4-A770-4553-A6FE-DD3BA62AC649}" name="Full_Name_Clean"/>
    <tableColumn id="3" xr3:uid="{1CE3DA46-6F53-483B-A970-4E30D99495EC}" name="Age"/>
    <tableColumn id="4" xr3:uid="{CDEC0188-EFE9-48C8-BACE-4814C8A940E4}" name="Age_Group" dataDxfId="173"/>
    <tableColumn id="5" xr3:uid="{8401169D-F928-493E-B612-5BF43E917CE9}" name="Gender" dataDxfId="172"/>
    <tableColumn id="6" xr3:uid="{B4AFBB00-0235-421C-81F1-720A626F9736}" name="Blood_Type_Clean" dataDxfId="171"/>
    <tableColumn id="7" xr3:uid="{E38610C0-580D-421C-86A1-86D8A728699F}" name="Condition" dataDxfId="170"/>
    <tableColumn id="8" xr3:uid="{9394AA0A-9735-45CF-A3B4-9C4AB798F249}" name="Admission_Type" dataDxfId="169"/>
    <tableColumn id="9" xr3:uid="{49105BAF-5DDD-47F2-B7A5-DA866C6DFD74}" name="Date_of_Admission"/>
    <tableColumn id="10" xr3:uid="{6522676F-8B31-4D90-BB99-95C8DB784C6D}" name="Date_of_Discharge" dataDxfId="168"/>
    <tableColumn id="11" xr3:uid="{A604422D-C009-4DBA-8590-16C022DAEDF9}" name="Length_of_Stay" dataDxfId="167"/>
    <tableColumn id="12" xr3:uid="{C11B3FF7-97B0-4E3E-8CD6-AD69A1AC18D2}" name="Hospital" dataDxfId="166"/>
    <tableColumn id="13" xr3:uid="{DA9AEB06-1B31-46F9-9E35-7E6B0EC2ABA5}" name="Region" dataDxfId="165"/>
    <tableColumn id="14" xr3:uid="{1C563B9A-1E00-4AB3-B44C-6F341F0D4107}" name="Doctor" dataDxfId="164"/>
    <tableColumn id="15" xr3:uid="{30DC504C-799D-46B1-A2DD-DF73A7472F99}" name="Insurance_Provider" dataDxfId="163"/>
    <tableColumn id="25" xr3:uid="{8D329E95-A2E5-4C4A-86AF-880653949289}" name="Billing_Amount" dataDxfId="162"/>
    <tableColumn id="17" xr3:uid="{89313C85-586B-49F4-BE08-F466612441AA}" name="Medication" dataDxfId="161"/>
    <tableColumn id="18" xr3:uid="{8162C6F4-0564-4F26-B9B0-F7F67C564C11}" name="Num_Medications" dataDxfId="160"/>
    <tableColumn id="19" xr3:uid="{902183ED-44FF-4174-8187-40B88DE98436}" name="Room_Number" dataDxfId="159"/>
    <tableColumn id="20" xr3:uid="{BFA54F35-5181-4DE1-B43E-B4B26481AE66}" name="BMI"/>
    <tableColumn id="21" xr3:uid="{33EA4C23-C63D-4489-8DB6-B0E0FE50303B}" name="Test_Result" dataDxfId="158"/>
    <tableColumn id="22" xr3:uid="{C647C554-391D-4468-BAA4-ED07DCBF3E42}" name="Readmitted_Within_30Days" dataDxfId="157"/>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of_Admission" xr10:uid="{70E4E14D-4C18-4196-8263-8F772676E498}" sourceName="Date_of_Admission">
  <pivotTables>
    <pivotTable tabId="6" name="PivotTable5"/>
  </pivotTables>
  <state minimalRefreshVersion="6" lastRefreshVersion="6" pivotCacheId="504415451" filterType="unknown">
    <bounds startDate="2019-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_of_Admission" xr10:uid="{9FA5B246-311B-4F83-97CE-6972AD6B535A}" cache="NativeTimeline_Date_of_Admission" caption="Date_of_Admission" level="2" selectionLevel="2" scrollPosition="2025-05-24T00:00:00" style="TimeSlicerStyleLight6 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_of_Admission 1" xr10:uid="{D5633AB4-D8A5-419F-9A20-FA627AAD8F43}" cache="NativeTimeline_Date_of_Admission" caption="Date_of_Admission" level="2" selectionLevel="2" scrollPosition="2025-06-10T00:00:00" style="TimeSlicerStyleLight6 2"/>
</timelines>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F5407-D783-4D36-A2F4-D116DB7CB9D4}">
  <dimension ref="A2:AC45"/>
  <sheetViews>
    <sheetView workbookViewId="0">
      <selection activeCell="I7" sqref="I4:I7"/>
    </sheetView>
  </sheetViews>
  <sheetFormatPr defaultRowHeight="15" x14ac:dyDescent="0.25"/>
  <cols>
    <col min="1" max="1" width="16.5703125" bestFit="1" customWidth="1"/>
    <col min="2" max="2" width="14.28515625" bestFit="1" customWidth="1"/>
    <col min="3" max="3" width="13.28515625" bestFit="1" customWidth="1"/>
    <col min="6" max="6" width="2.28515625" style="31" customWidth="1"/>
    <col min="9" max="9" width="13.140625" bestFit="1" customWidth="1"/>
    <col min="10" max="10" width="12" bestFit="1" customWidth="1"/>
    <col min="11" max="11" width="13.28515625" bestFit="1" customWidth="1"/>
    <col min="14" max="14" width="2.42578125" style="31" customWidth="1"/>
    <col min="17" max="17" width="13.140625" bestFit="1" customWidth="1"/>
    <col min="18" max="18" width="14.28515625" bestFit="1" customWidth="1"/>
    <col min="19" max="19" width="13.28515625" bestFit="1" customWidth="1"/>
    <col min="24" max="24" width="3.140625" style="31" customWidth="1"/>
    <col min="27" max="27" width="21.7109375" bestFit="1" customWidth="1"/>
    <col min="28" max="28" width="25" bestFit="1" customWidth="1"/>
    <col min="29" max="29" width="18.5703125" bestFit="1" customWidth="1"/>
  </cols>
  <sheetData>
    <row r="2" spans="1:29" x14ac:dyDescent="0.25">
      <c r="AA2" t="s">
        <v>3717</v>
      </c>
      <c r="AB2" t="s">
        <v>3733</v>
      </c>
      <c r="AC2" t="s">
        <v>3718</v>
      </c>
    </row>
    <row r="3" spans="1:29" x14ac:dyDescent="0.25">
      <c r="A3" s="24" t="s">
        <v>3715</v>
      </c>
      <c r="B3" t="s">
        <v>3720</v>
      </c>
      <c r="C3" t="s">
        <v>3719</v>
      </c>
      <c r="I3" s="24" t="s">
        <v>3715</v>
      </c>
      <c r="J3" t="s">
        <v>3720</v>
      </c>
      <c r="Q3" s="24" t="s">
        <v>3715</v>
      </c>
      <c r="R3" t="s">
        <v>3733</v>
      </c>
      <c r="AA3" s="26">
        <v>15590787.589999996</v>
      </c>
      <c r="AB3" s="26">
        <v>8.8701298701298708</v>
      </c>
      <c r="AC3" s="26">
        <v>240</v>
      </c>
    </row>
    <row r="4" spans="1:29" x14ac:dyDescent="0.25">
      <c r="A4" s="25" t="s">
        <v>77</v>
      </c>
      <c r="B4" s="26">
        <v>6036719.9100000001</v>
      </c>
      <c r="C4" s="27">
        <v>69</v>
      </c>
      <c r="I4" s="25" t="s">
        <v>26</v>
      </c>
      <c r="J4" s="32">
        <v>1</v>
      </c>
      <c r="Q4" s="25" t="s">
        <v>71</v>
      </c>
      <c r="R4" s="26">
        <v>2.75</v>
      </c>
    </row>
    <row r="5" spans="1:29" x14ac:dyDescent="0.25">
      <c r="A5" s="25" t="s">
        <v>38</v>
      </c>
      <c r="B5" s="26">
        <v>1197377.96</v>
      </c>
      <c r="C5" s="27">
        <v>42</v>
      </c>
      <c r="I5" s="25" t="s">
        <v>3716</v>
      </c>
      <c r="J5" s="32">
        <v>1</v>
      </c>
      <c r="Q5" s="25" t="s">
        <v>163</v>
      </c>
      <c r="R5" s="26">
        <v>5.9090909090909092</v>
      </c>
    </row>
    <row r="6" spans="1:29" x14ac:dyDescent="0.25">
      <c r="A6" s="25" t="s">
        <v>71</v>
      </c>
      <c r="B6" s="26">
        <v>221233</v>
      </c>
      <c r="C6" s="27">
        <v>10</v>
      </c>
      <c r="Q6" s="25" t="s">
        <v>38</v>
      </c>
      <c r="R6" s="26">
        <v>5.9512195121951219</v>
      </c>
    </row>
    <row r="7" spans="1:29" x14ac:dyDescent="0.25">
      <c r="A7" s="25" t="s">
        <v>60</v>
      </c>
      <c r="B7" s="26">
        <v>809626.95999999985</v>
      </c>
      <c r="C7" s="27">
        <v>15</v>
      </c>
      <c r="Q7" s="25" t="s">
        <v>131</v>
      </c>
      <c r="R7" s="26">
        <v>6.6590909090909092</v>
      </c>
    </row>
    <row r="8" spans="1:29" x14ac:dyDescent="0.25">
      <c r="A8" s="25" t="s">
        <v>50</v>
      </c>
      <c r="B8" s="26">
        <v>2674201.6599999997</v>
      </c>
      <c r="C8" s="27">
        <v>29</v>
      </c>
      <c r="Q8" s="25" t="s">
        <v>50</v>
      </c>
      <c r="R8" s="26">
        <v>10.107142857142858</v>
      </c>
    </row>
    <row r="9" spans="1:29" x14ac:dyDescent="0.25">
      <c r="A9" s="25" t="s">
        <v>25</v>
      </c>
      <c r="B9" s="26">
        <v>2401270.64</v>
      </c>
      <c r="C9" s="27">
        <v>18</v>
      </c>
      <c r="Q9" s="25" t="s">
        <v>60</v>
      </c>
      <c r="R9" s="26">
        <v>10.666666666666666</v>
      </c>
    </row>
    <row r="10" spans="1:29" x14ac:dyDescent="0.25">
      <c r="A10" s="25" t="s">
        <v>163</v>
      </c>
      <c r="B10" s="26">
        <v>522834.44000000006</v>
      </c>
      <c r="C10" s="27">
        <v>12</v>
      </c>
      <c r="Q10" s="25" t="s">
        <v>77</v>
      </c>
      <c r="R10" s="26">
        <v>11.121212121212121</v>
      </c>
    </row>
    <row r="11" spans="1:29" x14ac:dyDescent="0.25">
      <c r="A11" s="25" t="s">
        <v>131</v>
      </c>
      <c r="B11" s="26">
        <v>1727523.0200000003</v>
      </c>
      <c r="C11" s="27">
        <v>45</v>
      </c>
      <c r="Q11" s="25" t="s">
        <v>25</v>
      </c>
      <c r="R11" s="26">
        <v>13.777777777777779</v>
      </c>
      <c r="AA11" s="33">
        <f>GETPIVOTDATA("Sum of Billing_Amount",$AA$2)</f>
        <v>15590787.589999996</v>
      </c>
      <c r="AB11" s="33">
        <f>GETPIVOTDATA("Average of Length_of_Stay",$AA$2)</f>
        <v>8.8701298701298708</v>
      </c>
      <c r="AC11" s="34">
        <f>GETPIVOTDATA("Count of Patient_ID",$AA$2)</f>
        <v>240</v>
      </c>
    </row>
    <row r="12" spans="1:29" x14ac:dyDescent="0.25">
      <c r="A12" s="25" t="s">
        <v>3716</v>
      </c>
      <c r="B12" s="26">
        <v>15590787.589999994</v>
      </c>
      <c r="C12" s="27">
        <v>240</v>
      </c>
      <c r="Q12" s="25" t="s">
        <v>3716</v>
      </c>
      <c r="R12" s="26">
        <v>8.8701298701298708</v>
      </c>
    </row>
    <row r="31" spans="9:18" x14ac:dyDescent="0.25">
      <c r="Q31" s="24" t="s">
        <v>3715</v>
      </c>
      <c r="R31" t="s">
        <v>3720</v>
      </c>
    </row>
    <row r="32" spans="9:18" x14ac:dyDescent="0.25">
      <c r="I32" s="24" t="s">
        <v>3715</v>
      </c>
      <c r="J32" t="s">
        <v>3720</v>
      </c>
      <c r="K32" t="s">
        <v>3719</v>
      </c>
      <c r="Q32" s="25" t="s">
        <v>22</v>
      </c>
      <c r="R32" s="26">
        <v>286056.02</v>
      </c>
    </row>
    <row r="33" spans="1:18" x14ac:dyDescent="0.25">
      <c r="I33" s="25" t="s">
        <v>3721</v>
      </c>
      <c r="J33" s="26">
        <v>874602.91000000015</v>
      </c>
      <c r="K33" s="26">
        <v>17</v>
      </c>
      <c r="Q33" s="25" t="s">
        <v>47</v>
      </c>
      <c r="R33" s="26">
        <v>516348.80000000005</v>
      </c>
    </row>
    <row r="34" spans="1:18" x14ac:dyDescent="0.25">
      <c r="I34" s="25" t="s">
        <v>3722</v>
      </c>
      <c r="J34" s="26">
        <v>1366089.78</v>
      </c>
      <c r="K34" s="26">
        <v>21</v>
      </c>
      <c r="Q34" s="25" t="s">
        <v>98</v>
      </c>
      <c r="R34" s="26">
        <v>1986388.4199999997</v>
      </c>
    </row>
    <row r="35" spans="1:18" x14ac:dyDescent="0.25">
      <c r="I35" s="25" t="s">
        <v>3723</v>
      </c>
      <c r="J35" s="26">
        <v>1528903.6099999996</v>
      </c>
      <c r="K35" s="26">
        <v>17</v>
      </c>
      <c r="Q35" s="25" t="s">
        <v>59</v>
      </c>
      <c r="R35" s="26">
        <v>3634657.8799999985</v>
      </c>
    </row>
    <row r="36" spans="1:18" x14ac:dyDescent="0.25">
      <c r="A36" s="24" t="s">
        <v>3715</v>
      </c>
      <c r="B36" t="s">
        <v>3720</v>
      </c>
      <c r="C36" t="s">
        <v>3719</v>
      </c>
      <c r="I36" s="25" t="s">
        <v>3724</v>
      </c>
      <c r="J36" s="26">
        <v>940814.04999999993</v>
      </c>
      <c r="K36" s="26">
        <v>19</v>
      </c>
      <c r="Q36" s="25" t="s">
        <v>82</v>
      </c>
      <c r="R36" s="26">
        <v>6110641.2700000005</v>
      </c>
    </row>
    <row r="37" spans="1:18" x14ac:dyDescent="0.25">
      <c r="A37" s="25" t="s">
        <v>77</v>
      </c>
      <c r="B37" s="26">
        <v>6036719.9100000001</v>
      </c>
      <c r="C37" s="27">
        <v>69</v>
      </c>
      <c r="I37" s="25" t="s">
        <v>3725</v>
      </c>
      <c r="J37" s="26">
        <v>1027594.55</v>
      </c>
      <c r="K37" s="26">
        <v>15</v>
      </c>
      <c r="Q37" s="25" t="s">
        <v>36</v>
      </c>
      <c r="R37" s="26">
        <v>3056695.2000000011</v>
      </c>
    </row>
    <row r="38" spans="1:18" x14ac:dyDescent="0.25">
      <c r="A38" s="25" t="s">
        <v>38</v>
      </c>
      <c r="B38" s="26">
        <v>1197377.96</v>
      </c>
      <c r="C38" s="27">
        <v>42</v>
      </c>
      <c r="I38" s="25" t="s">
        <v>3726</v>
      </c>
      <c r="J38" s="26">
        <v>1171684.19</v>
      </c>
      <c r="K38" s="26">
        <v>14</v>
      </c>
      <c r="Q38" s="25" t="s">
        <v>3716</v>
      </c>
      <c r="R38" s="26">
        <v>15590787.59</v>
      </c>
    </row>
    <row r="39" spans="1:18" x14ac:dyDescent="0.25">
      <c r="A39" s="25" t="s">
        <v>71</v>
      </c>
      <c r="B39" s="26">
        <v>221233</v>
      </c>
      <c r="C39" s="27">
        <v>10</v>
      </c>
      <c r="I39" s="25" t="s">
        <v>3727</v>
      </c>
      <c r="J39" s="26">
        <v>1191551.96</v>
      </c>
      <c r="K39" s="26">
        <v>20</v>
      </c>
    </row>
    <row r="40" spans="1:18" x14ac:dyDescent="0.25">
      <c r="A40" s="25" t="s">
        <v>60</v>
      </c>
      <c r="B40" s="26">
        <v>809626.95999999985</v>
      </c>
      <c r="C40" s="27">
        <v>15</v>
      </c>
      <c r="I40" s="25" t="s">
        <v>3728</v>
      </c>
      <c r="J40" s="26">
        <v>1190208.3799999999</v>
      </c>
      <c r="K40" s="26">
        <v>20</v>
      </c>
    </row>
    <row r="41" spans="1:18" x14ac:dyDescent="0.25">
      <c r="A41" s="25" t="s">
        <v>50</v>
      </c>
      <c r="B41" s="26">
        <v>2674201.6599999997</v>
      </c>
      <c r="C41" s="27">
        <v>29</v>
      </c>
      <c r="I41" s="25" t="s">
        <v>3729</v>
      </c>
      <c r="J41" s="26">
        <v>1939173.96</v>
      </c>
      <c r="K41" s="26">
        <v>26</v>
      </c>
    </row>
    <row r="42" spans="1:18" x14ac:dyDescent="0.25">
      <c r="A42" s="25" t="s">
        <v>25</v>
      </c>
      <c r="B42" s="26">
        <v>2401270.64</v>
      </c>
      <c r="C42" s="27">
        <v>18</v>
      </c>
      <c r="I42" s="25" t="s">
        <v>3730</v>
      </c>
      <c r="J42" s="26">
        <v>1443183.25</v>
      </c>
      <c r="K42" s="26">
        <v>26</v>
      </c>
    </row>
    <row r="43" spans="1:18" x14ac:dyDescent="0.25">
      <c r="A43" s="25" t="s">
        <v>163</v>
      </c>
      <c r="B43" s="26">
        <v>522834.44000000006</v>
      </c>
      <c r="C43" s="27">
        <v>12</v>
      </c>
      <c r="I43" s="25" t="s">
        <v>3731</v>
      </c>
      <c r="J43" s="26">
        <v>1938009.1600000004</v>
      </c>
      <c r="K43" s="26">
        <v>26</v>
      </c>
    </row>
    <row r="44" spans="1:18" x14ac:dyDescent="0.25">
      <c r="A44" s="25" t="s">
        <v>131</v>
      </c>
      <c r="B44" s="26">
        <v>1727523.0200000003</v>
      </c>
      <c r="C44" s="27">
        <v>45</v>
      </c>
      <c r="I44" s="25" t="s">
        <v>3732</v>
      </c>
      <c r="J44" s="26">
        <v>978971.79</v>
      </c>
      <c r="K44" s="26">
        <v>19</v>
      </c>
    </row>
    <row r="45" spans="1:18" x14ac:dyDescent="0.25">
      <c r="A45" s="25" t="s">
        <v>3716</v>
      </c>
      <c r="B45" s="26">
        <v>15590787.589999994</v>
      </c>
      <c r="C45" s="27">
        <v>240</v>
      </c>
      <c r="I45" s="25" t="s">
        <v>3716</v>
      </c>
      <c r="J45" s="26">
        <v>15590787.589999994</v>
      </c>
      <c r="K45" s="27">
        <v>240</v>
      </c>
    </row>
  </sheetData>
  <pageMargins left="0.7" right="0.7" top="0.75" bottom="0.75" header="0.3" footer="0.3"/>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C93C9-9DD9-4950-8932-DC6F47A5734E}">
  <dimension ref="A1:Y44"/>
  <sheetViews>
    <sheetView tabSelected="1" zoomScaleNormal="100" workbookViewId="0">
      <selection activeCell="A45" sqref="A45:XFD1048576"/>
    </sheetView>
  </sheetViews>
  <sheetFormatPr defaultColWidth="0" defaultRowHeight="15" zeroHeight="1" x14ac:dyDescent="0.25"/>
  <cols>
    <col min="1" max="25" width="9.28515625" style="35" customWidth="1"/>
    <col min="26" max="16384" width="9.28515625" style="35"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001"/>
  <sheetViews>
    <sheetView topLeftCell="L1" zoomScale="137" zoomScaleNormal="227" workbookViewId="0">
      <pane ySplit="1" topLeftCell="A2" activePane="bottomLeft" state="frozen"/>
      <selection pane="bottomLeft" activeCell="M25" sqref="M25"/>
    </sheetView>
  </sheetViews>
  <sheetFormatPr defaultColWidth="8.7109375" defaultRowHeight="15" x14ac:dyDescent="0.25"/>
  <cols>
    <col min="1" max="1" width="12" customWidth="1"/>
    <col min="2" max="2" width="24" customWidth="1"/>
    <col min="3" max="3" width="7.42578125" style="14" customWidth="1"/>
    <col min="4" max="4" width="12.140625" customWidth="1"/>
    <col min="5" max="5" width="8.7109375" customWidth="1"/>
    <col min="6" max="6" width="18.5703125" customWidth="1"/>
    <col min="7" max="7" width="18" customWidth="1"/>
    <col min="8" max="8" width="16.5703125" customWidth="1"/>
    <col min="9" max="10" width="20" style="9" customWidth="1"/>
    <col min="11" max="11" width="15.5703125" customWidth="1"/>
    <col min="12" max="12" width="42" customWidth="1"/>
    <col min="13" max="13" width="14" customWidth="1"/>
    <col min="14" max="14" width="28" customWidth="1"/>
    <col min="15" max="15" width="23" bestFit="1" customWidth="1"/>
    <col min="16" max="16" width="23" customWidth="1"/>
    <col min="17" max="17" width="22" customWidth="1"/>
    <col min="18" max="18" width="18.28515625" customWidth="1"/>
    <col min="19" max="19" width="15.5703125" customWidth="1"/>
    <col min="20" max="20" width="8" customWidth="1"/>
    <col min="21" max="21" width="14" customWidth="1"/>
    <col min="22" max="22" width="26.85546875" customWidth="1"/>
  </cols>
  <sheetData>
    <row r="1" spans="1:22" ht="31.5" customHeight="1" x14ac:dyDescent="0.25">
      <c r="A1" s="19" t="s">
        <v>0</v>
      </c>
      <c r="B1" s="20" t="s">
        <v>3561</v>
      </c>
      <c r="C1" s="21" t="s">
        <v>1</v>
      </c>
      <c r="D1" s="20" t="s">
        <v>2</v>
      </c>
      <c r="E1" s="20" t="s">
        <v>3</v>
      </c>
      <c r="F1" s="20" t="s">
        <v>3562</v>
      </c>
      <c r="G1" s="20" t="s">
        <v>4</v>
      </c>
      <c r="H1" s="20" t="s">
        <v>5</v>
      </c>
      <c r="I1" s="22" t="s">
        <v>6</v>
      </c>
      <c r="J1" s="22" t="s">
        <v>7</v>
      </c>
      <c r="K1" s="20" t="s">
        <v>8</v>
      </c>
      <c r="L1" s="20" t="s">
        <v>9</v>
      </c>
      <c r="M1" s="20" t="s">
        <v>10</v>
      </c>
      <c r="N1" s="20" t="s">
        <v>11</v>
      </c>
      <c r="O1" s="20" t="s">
        <v>12</v>
      </c>
      <c r="P1" s="28" t="s">
        <v>13</v>
      </c>
      <c r="Q1" s="20" t="s">
        <v>14</v>
      </c>
      <c r="R1" s="20" t="s">
        <v>15</v>
      </c>
      <c r="S1" s="20" t="s">
        <v>16</v>
      </c>
      <c r="T1" s="20" t="s">
        <v>17</v>
      </c>
      <c r="U1" s="20" t="s">
        <v>18</v>
      </c>
      <c r="V1" s="23" t="s">
        <v>19</v>
      </c>
    </row>
    <row r="2" spans="1:22" ht="15" customHeight="1" x14ac:dyDescent="0.25">
      <c r="A2" s="15" t="s">
        <v>20</v>
      </c>
      <c r="B2" s="1" t="s">
        <v>21</v>
      </c>
      <c r="C2">
        <v>10</v>
      </c>
      <c r="D2" s="1" t="s">
        <v>22</v>
      </c>
      <c r="E2" s="1" t="s">
        <v>23</v>
      </c>
      <c r="F2" s="1" t="s">
        <v>24</v>
      </c>
      <c r="G2" s="1" t="s">
        <v>25</v>
      </c>
      <c r="H2" s="1" t="s">
        <v>26</v>
      </c>
      <c r="I2" s="6">
        <v>44361</v>
      </c>
      <c r="J2" s="7">
        <v>44372</v>
      </c>
      <c r="K2" s="1">
        <v>11</v>
      </c>
      <c r="L2" s="1" t="s">
        <v>27</v>
      </c>
      <c r="M2" s="1" t="s">
        <v>28</v>
      </c>
      <c r="N2" s="1" t="s">
        <v>29</v>
      </c>
      <c r="O2" s="1" t="s">
        <v>30</v>
      </c>
      <c r="P2" s="29">
        <v>46712.36</v>
      </c>
      <c r="Q2" s="1" t="s">
        <v>31</v>
      </c>
      <c r="R2" s="1">
        <v>11</v>
      </c>
      <c r="S2" s="1">
        <v>276</v>
      </c>
      <c r="T2" s="1">
        <v>19.600000000000001</v>
      </c>
      <c r="U2" s="1" t="s">
        <v>32</v>
      </c>
      <c r="V2" s="17" t="s">
        <v>33</v>
      </c>
    </row>
    <row r="3" spans="1:22" ht="15" customHeight="1" x14ac:dyDescent="0.25">
      <c r="A3" s="16" t="s">
        <v>34</v>
      </c>
      <c r="B3" s="3" t="s">
        <v>35</v>
      </c>
      <c r="C3">
        <v>87</v>
      </c>
      <c r="D3" s="3" t="s">
        <v>36</v>
      </c>
      <c r="E3" s="3" t="s">
        <v>23</v>
      </c>
      <c r="F3" s="3" t="s">
        <v>37</v>
      </c>
      <c r="G3" s="3" t="s">
        <v>38</v>
      </c>
      <c r="H3" s="3" t="s">
        <v>26</v>
      </c>
      <c r="I3" s="6">
        <v>44399</v>
      </c>
      <c r="J3" s="8">
        <v>44403</v>
      </c>
      <c r="K3" s="3">
        <v>4</v>
      </c>
      <c r="L3" s="3" t="s">
        <v>39</v>
      </c>
      <c r="M3" s="3" t="s">
        <v>40</v>
      </c>
      <c r="N3" s="3" t="s">
        <v>41</v>
      </c>
      <c r="O3" s="3" t="s">
        <v>42</v>
      </c>
      <c r="P3" s="30">
        <v>29236.53</v>
      </c>
      <c r="Q3" s="3" t="s">
        <v>43</v>
      </c>
      <c r="R3" s="3">
        <v>7</v>
      </c>
      <c r="S3" s="3">
        <v>427</v>
      </c>
      <c r="T3" s="3">
        <v>20.6</v>
      </c>
      <c r="U3" s="3" t="s">
        <v>44</v>
      </c>
      <c r="V3" s="18" t="s">
        <v>45</v>
      </c>
    </row>
    <row r="4" spans="1:22" ht="15" customHeight="1" x14ac:dyDescent="0.25">
      <c r="A4" s="15" t="s">
        <v>46</v>
      </c>
      <c r="B4" s="2" t="s">
        <v>3566</v>
      </c>
      <c r="C4">
        <v>19</v>
      </c>
      <c r="D4" s="1" t="s">
        <v>47</v>
      </c>
      <c r="E4" s="1" t="s">
        <v>48</v>
      </c>
      <c r="F4" s="1" t="s">
        <v>49</v>
      </c>
      <c r="G4" s="1" t="s">
        <v>50</v>
      </c>
      <c r="H4" s="1" t="s">
        <v>51</v>
      </c>
      <c r="I4" s="7">
        <v>45086</v>
      </c>
      <c r="J4" s="7">
        <v>45097</v>
      </c>
      <c r="K4" s="1">
        <v>11</v>
      </c>
      <c r="L4" s="1" t="s">
        <v>52</v>
      </c>
      <c r="M4" s="1" t="s">
        <v>53</v>
      </c>
      <c r="N4" s="1" t="s">
        <v>54</v>
      </c>
      <c r="O4" s="1" t="s">
        <v>55</v>
      </c>
      <c r="P4" s="29">
        <v>24931.360000000001</v>
      </c>
      <c r="Q4" s="1" t="s">
        <v>56</v>
      </c>
      <c r="R4" s="1">
        <v>9</v>
      </c>
      <c r="S4" s="1">
        <v>187</v>
      </c>
      <c r="T4" s="1">
        <v>30.5</v>
      </c>
      <c r="U4" s="1" t="s">
        <v>44</v>
      </c>
      <c r="V4" s="17" t="s">
        <v>33</v>
      </c>
    </row>
    <row r="5" spans="1:22" ht="15" customHeight="1" x14ac:dyDescent="0.25">
      <c r="A5" s="16" t="s">
        <v>57</v>
      </c>
      <c r="B5" s="3" t="s">
        <v>58</v>
      </c>
      <c r="C5">
        <v>63</v>
      </c>
      <c r="D5" s="3" t="s">
        <v>59</v>
      </c>
      <c r="E5" s="3" t="s">
        <v>48</v>
      </c>
      <c r="F5" s="3" t="s">
        <v>37</v>
      </c>
      <c r="G5" s="3" t="s">
        <v>60</v>
      </c>
      <c r="H5" s="3" t="s">
        <v>51</v>
      </c>
      <c r="I5" s="8">
        <v>44668</v>
      </c>
      <c r="J5" s="8">
        <v>44672</v>
      </c>
      <c r="K5" s="3">
        <v>4</v>
      </c>
      <c r="L5" s="3" t="s">
        <v>27</v>
      </c>
      <c r="M5" s="3" t="s">
        <v>28</v>
      </c>
      <c r="N5" s="3" t="s">
        <v>61</v>
      </c>
      <c r="O5" s="3" t="s">
        <v>42</v>
      </c>
      <c r="P5" s="30">
        <v>42770.13</v>
      </c>
      <c r="Q5" s="3" t="s">
        <v>62</v>
      </c>
      <c r="R5" s="3">
        <v>6</v>
      </c>
      <c r="S5" s="3">
        <v>169</v>
      </c>
      <c r="T5" s="3">
        <v>38</v>
      </c>
      <c r="U5" s="3" t="s">
        <v>44</v>
      </c>
      <c r="V5" s="18" t="s">
        <v>33</v>
      </c>
    </row>
    <row r="6" spans="1:22" ht="15" customHeight="1" x14ac:dyDescent="0.25">
      <c r="A6" s="15" t="s">
        <v>63</v>
      </c>
      <c r="B6" s="2" t="s">
        <v>3567</v>
      </c>
      <c r="C6">
        <v>56</v>
      </c>
      <c r="D6" s="1" t="s">
        <v>59</v>
      </c>
      <c r="E6" s="1" t="s">
        <v>48</v>
      </c>
      <c r="F6" s="2" t="s">
        <v>76</v>
      </c>
      <c r="G6" s="1" t="s">
        <v>25</v>
      </c>
      <c r="H6" s="1" t="s">
        <v>51</v>
      </c>
      <c r="I6" s="7">
        <v>43749</v>
      </c>
      <c r="J6" s="7">
        <v>43753</v>
      </c>
      <c r="K6" s="1">
        <v>4</v>
      </c>
      <c r="L6" s="1" t="s">
        <v>52</v>
      </c>
      <c r="M6" s="1" t="s">
        <v>53</v>
      </c>
      <c r="N6" s="1" t="s">
        <v>65</v>
      </c>
      <c r="O6" s="1" t="s">
        <v>66</v>
      </c>
      <c r="P6" s="29">
        <v>131866.75</v>
      </c>
      <c r="Q6" s="1" t="s">
        <v>67</v>
      </c>
      <c r="R6" s="1">
        <v>12</v>
      </c>
      <c r="S6" s="1">
        <v>100</v>
      </c>
      <c r="T6" s="1">
        <v>20.6</v>
      </c>
      <c r="U6" s="1" t="s">
        <v>32</v>
      </c>
      <c r="V6" s="17" t="s">
        <v>33</v>
      </c>
    </row>
    <row r="7" spans="1:22" ht="15" customHeight="1" x14ac:dyDescent="0.25">
      <c r="A7" s="16" t="s">
        <v>68</v>
      </c>
      <c r="B7" s="3" t="s">
        <v>69</v>
      </c>
      <c r="C7">
        <v>77</v>
      </c>
      <c r="D7" s="3" t="s">
        <v>36</v>
      </c>
      <c r="E7" s="3" t="s">
        <v>48</v>
      </c>
      <c r="F7" s="3" t="s">
        <v>70</v>
      </c>
      <c r="G7" s="3" t="s">
        <v>71</v>
      </c>
      <c r="H7" s="3" t="s">
        <v>51</v>
      </c>
      <c r="I7" s="8">
        <v>45402</v>
      </c>
      <c r="J7" s="8">
        <v>45404</v>
      </c>
      <c r="K7" s="3">
        <v>2</v>
      </c>
      <c r="L7" s="3" t="s">
        <v>27</v>
      </c>
      <c r="M7" s="3" t="s">
        <v>28</v>
      </c>
      <c r="N7" s="3" t="s">
        <v>72</v>
      </c>
      <c r="O7" s="3" t="s">
        <v>30</v>
      </c>
      <c r="P7" s="30">
        <v>7097.77</v>
      </c>
      <c r="Q7" s="3" t="s">
        <v>73</v>
      </c>
      <c r="R7" s="3">
        <v>2</v>
      </c>
      <c r="S7" s="3">
        <v>131</v>
      </c>
      <c r="T7" s="3">
        <v>30.4</v>
      </c>
      <c r="U7" s="3" t="s">
        <v>32</v>
      </c>
      <c r="V7" s="18" t="s">
        <v>33</v>
      </c>
    </row>
    <row r="8" spans="1:22" ht="15" customHeight="1" x14ac:dyDescent="0.25">
      <c r="A8" s="15" t="s">
        <v>74</v>
      </c>
      <c r="B8" s="1" t="s">
        <v>75</v>
      </c>
      <c r="C8">
        <v>56</v>
      </c>
      <c r="D8" s="1" t="s">
        <v>59</v>
      </c>
      <c r="E8" s="1" t="s">
        <v>23</v>
      </c>
      <c r="F8" s="1" t="s">
        <v>76</v>
      </c>
      <c r="G8" s="1" t="s">
        <v>77</v>
      </c>
      <c r="H8" s="1" t="s">
        <v>78</v>
      </c>
      <c r="I8" s="6">
        <v>44176</v>
      </c>
      <c r="J8" s="7">
        <v>44154</v>
      </c>
      <c r="K8" s="1">
        <v>7</v>
      </c>
      <c r="L8" s="1" t="s">
        <v>27</v>
      </c>
      <c r="M8" s="1" t="s">
        <v>28</v>
      </c>
      <c r="N8" s="1" t="s">
        <v>79</v>
      </c>
      <c r="O8" s="1" t="s">
        <v>55</v>
      </c>
      <c r="P8" s="29">
        <v>30876.2</v>
      </c>
      <c r="Q8" s="1" t="s">
        <v>80</v>
      </c>
      <c r="R8" s="1">
        <v>7</v>
      </c>
      <c r="S8" s="1">
        <v>129</v>
      </c>
      <c r="T8" s="1">
        <v>29.5</v>
      </c>
      <c r="U8" s="1" t="s">
        <v>44</v>
      </c>
      <c r="V8" s="17" t="s">
        <v>33</v>
      </c>
    </row>
    <row r="9" spans="1:22" ht="15" customHeight="1" x14ac:dyDescent="0.25">
      <c r="A9" s="16" t="s">
        <v>81</v>
      </c>
      <c r="B9" s="2" t="s">
        <v>3568</v>
      </c>
      <c r="C9">
        <v>73</v>
      </c>
      <c r="D9" s="3" t="s">
        <v>82</v>
      </c>
      <c r="E9" s="3" t="s">
        <v>48</v>
      </c>
      <c r="F9" s="3" t="s">
        <v>83</v>
      </c>
      <c r="G9" s="3" t="s">
        <v>77</v>
      </c>
      <c r="H9" s="3" t="s">
        <v>51</v>
      </c>
      <c r="I9" s="8">
        <v>44429</v>
      </c>
      <c r="J9" s="8">
        <v>44432</v>
      </c>
      <c r="K9" s="3">
        <v>3</v>
      </c>
      <c r="L9" s="3" t="s">
        <v>27</v>
      </c>
      <c r="M9" s="3" t="s">
        <v>28</v>
      </c>
      <c r="N9" s="3" t="s">
        <v>84</v>
      </c>
      <c r="O9" s="3" t="s">
        <v>30</v>
      </c>
      <c r="P9" s="30">
        <v>45772</v>
      </c>
      <c r="Q9" s="3" t="s">
        <v>85</v>
      </c>
      <c r="R9" s="3">
        <v>9</v>
      </c>
      <c r="S9" s="3">
        <v>138</v>
      </c>
      <c r="T9" s="3">
        <v>23.2</v>
      </c>
      <c r="U9" s="3" t="s">
        <v>86</v>
      </c>
      <c r="V9" s="18" t="s">
        <v>45</v>
      </c>
    </row>
    <row r="10" spans="1:22" ht="15" customHeight="1" x14ac:dyDescent="0.25">
      <c r="A10" s="15" t="s">
        <v>87</v>
      </c>
      <c r="B10" s="1" t="s">
        <v>88</v>
      </c>
      <c r="C10">
        <v>74</v>
      </c>
      <c r="D10" s="1" t="s">
        <v>82</v>
      </c>
      <c r="E10" s="1" t="s">
        <v>48</v>
      </c>
      <c r="F10" s="1" t="s">
        <v>83</v>
      </c>
      <c r="G10" s="1" t="s">
        <v>77</v>
      </c>
      <c r="H10" s="1" t="s">
        <v>26</v>
      </c>
      <c r="I10" s="7">
        <v>44150</v>
      </c>
      <c r="J10" s="7">
        <v>44178</v>
      </c>
      <c r="K10" s="1">
        <v>28</v>
      </c>
      <c r="L10" s="1" t="s">
        <v>89</v>
      </c>
      <c r="M10" s="1" t="s">
        <v>90</v>
      </c>
      <c r="N10" s="1" t="s">
        <v>84</v>
      </c>
      <c r="O10" s="1" t="s">
        <v>30</v>
      </c>
      <c r="P10" s="29">
        <v>52613.43</v>
      </c>
      <c r="Q10" s="1" t="s">
        <v>91</v>
      </c>
      <c r="R10" s="1">
        <v>7</v>
      </c>
      <c r="S10" s="1">
        <v>333</v>
      </c>
      <c r="T10" s="1">
        <v>29.7</v>
      </c>
      <c r="U10" s="1" t="s">
        <v>44</v>
      </c>
      <c r="V10" s="17" t="s">
        <v>33</v>
      </c>
    </row>
    <row r="11" spans="1:22" ht="15" customHeight="1" x14ac:dyDescent="0.25">
      <c r="A11" s="16" t="s">
        <v>92</v>
      </c>
      <c r="B11" s="3" t="s">
        <v>93</v>
      </c>
      <c r="C11">
        <v>69</v>
      </c>
      <c r="D11" s="3" t="s">
        <v>82</v>
      </c>
      <c r="E11" s="3" t="s">
        <v>23</v>
      </c>
      <c r="F11" s="3" t="s">
        <v>49</v>
      </c>
      <c r="G11" s="3" t="s">
        <v>77</v>
      </c>
      <c r="H11" s="3" t="s">
        <v>51</v>
      </c>
      <c r="I11" s="8">
        <v>43894</v>
      </c>
      <c r="J11" s="8">
        <v>43939</v>
      </c>
      <c r="K11" s="3">
        <v>15</v>
      </c>
      <c r="L11" s="3" t="s">
        <v>89</v>
      </c>
      <c r="M11" s="3" t="s">
        <v>90</v>
      </c>
      <c r="N11" s="3" t="s">
        <v>94</v>
      </c>
      <c r="O11" s="3" t="s">
        <v>30</v>
      </c>
      <c r="P11" s="30">
        <v>46238</v>
      </c>
      <c r="Q11" s="3" t="s">
        <v>95</v>
      </c>
      <c r="R11" s="3">
        <v>9</v>
      </c>
      <c r="S11" s="3">
        <v>152</v>
      </c>
      <c r="T11" s="3">
        <v>42.3</v>
      </c>
      <c r="U11" s="3" t="s">
        <v>86</v>
      </c>
      <c r="V11" s="18" t="s">
        <v>45</v>
      </c>
    </row>
    <row r="12" spans="1:22" ht="15" customHeight="1" x14ac:dyDescent="0.25">
      <c r="A12" s="15" t="s">
        <v>96</v>
      </c>
      <c r="B12" s="1" t="s">
        <v>97</v>
      </c>
      <c r="C12">
        <v>40</v>
      </c>
      <c r="D12" s="1" t="s">
        <v>98</v>
      </c>
      <c r="E12" s="1" t="s">
        <v>48</v>
      </c>
      <c r="F12" s="1" t="s">
        <v>99</v>
      </c>
      <c r="G12" s="1" t="s">
        <v>77</v>
      </c>
      <c r="H12" s="1" t="s">
        <v>51</v>
      </c>
      <c r="I12" s="7">
        <v>44482</v>
      </c>
      <c r="J12" s="7">
        <v>44486</v>
      </c>
      <c r="K12" s="1">
        <v>4</v>
      </c>
      <c r="L12" s="1" t="s">
        <v>39</v>
      </c>
      <c r="M12" s="1" t="s">
        <v>40</v>
      </c>
      <c r="N12" s="1" t="s">
        <v>79</v>
      </c>
      <c r="O12" s="1" t="s">
        <v>55</v>
      </c>
      <c r="P12" s="29">
        <v>13900.87</v>
      </c>
      <c r="Q12" s="1" t="s">
        <v>100</v>
      </c>
      <c r="R12" s="1">
        <v>10</v>
      </c>
      <c r="S12" s="1">
        <v>165</v>
      </c>
      <c r="T12" s="1">
        <v>32.299999999999997</v>
      </c>
      <c r="U12" s="1" t="s">
        <v>86</v>
      </c>
      <c r="V12" s="17" t="s">
        <v>33</v>
      </c>
    </row>
    <row r="13" spans="1:22" ht="15" customHeight="1" x14ac:dyDescent="0.25">
      <c r="A13" s="16" t="s">
        <v>101</v>
      </c>
      <c r="B13" s="2" t="s">
        <v>3569</v>
      </c>
      <c r="C13">
        <v>43</v>
      </c>
      <c r="D13" s="3" t="s">
        <v>98</v>
      </c>
      <c r="E13" s="3" t="s">
        <v>23</v>
      </c>
      <c r="F13" s="3" t="s">
        <v>99</v>
      </c>
      <c r="G13" s="3" t="s">
        <v>60</v>
      </c>
      <c r="H13" s="3" t="s">
        <v>51</v>
      </c>
      <c r="I13" s="8">
        <v>45560</v>
      </c>
      <c r="J13" s="8">
        <v>45565</v>
      </c>
      <c r="K13" s="3">
        <v>5</v>
      </c>
      <c r="L13" s="3" t="s">
        <v>102</v>
      </c>
      <c r="M13" s="3" t="s">
        <v>28</v>
      </c>
      <c r="N13" s="3" t="s">
        <v>103</v>
      </c>
      <c r="O13" s="3" t="s">
        <v>104</v>
      </c>
      <c r="P13" s="30">
        <v>21668.93</v>
      </c>
      <c r="Q13" s="3" t="s">
        <v>105</v>
      </c>
      <c r="R13" s="3">
        <v>6</v>
      </c>
      <c r="S13" s="3">
        <v>152</v>
      </c>
      <c r="T13" s="3">
        <v>22.9</v>
      </c>
      <c r="U13" s="3" t="s">
        <v>44</v>
      </c>
      <c r="V13" s="18" t="s">
        <v>33</v>
      </c>
    </row>
    <row r="14" spans="1:22" ht="15" customHeight="1" x14ac:dyDescent="0.25">
      <c r="A14" s="15" t="s">
        <v>106</v>
      </c>
      <c r="B14" s="1" t="s">
        <v>107</v>
      </c>
      <c r="C14">
        <v>71</v>
      </c>
      <c r="D14" s="1" t="s">
        <v>82</v>
      </c>
      <c r="E14" s="1" t="s">
        <v>48</v>
      </c>
      <c r="F14" s="1" t="s">
        <v>99</v>
      </c>
      <c r="G14" s="1" t="s">
        <v>77</v>
      </c>
      <c r="H14" s="1" t="s">
        <v>26</v>
      </c>
      <c r="I14" s="7">
        <v>44785</v>
      </c>
      <c r="J14" s="7">
        <v>44794</v>
      </c>
      <c r="K14" s="1">
        <v>9</v>
      </c>
      <c r="L14" s="1" t="s">
        <v>102</v>
      </c>
      <c r="M14" s="1" t="s">
        <v>28</v>
      </c>
      <c r="N14" s="1" t="s">
        <v>84</v>
      </c>
      <c r="O14" s="1" t="s">
        <v>42</v>
      </c>
      <c r="P14" s="29">
        <v>133760</v>
      </c>
      <c r="Q14" s="1" t="s">
        <v>109</v>
      </c>
      <c r="R14" s="1">
        <v>10</v>
      </c>
      <c r="S14" s="1">
        <v>305</v>
      </c>
      <c r="T14" s="1">
        <v>42.6</v>
      </c>
      <c r="U14" s="1" t="s">
        <v>44</v>
      </c>
      <c r="V14" s="17" t="s">
        <v>33</v>
      </c>
    </row>
    <row r="15" spans="1:22" ht="15" customHeight="1" x14ac:dyDescent="0.25">
      <c r="A15" s="16" t="s">
        <v>110</v>
      </c>
      <c r="B15" s="3" t="s">
        <v>111</v>
      </c>
      <c r="C15">
        <v>64</v>
      </c>
      <c r="D15" s="3" t="s">
        <v>59</v>
      </c>
      <c r="E15" s="3" t="s">
        <v>23</v>
      </c>
      <c r="F15" s="3" t="s">
        <v>76</v>
      </c>
      <c r="G15" s="3" t="s">
        <v>77</v>
      </c>
      <c r="H15" s="3" t="s">
        <v>51</v>
      </c>
      <c r="I15" s="8">
        <v>45275</v>
      </c>
      <c r="J15" s="8">
        <v>45280</v>
      </c>
      <c r="K15" s="3">
        <v>5</v>
      </c>
      <c r="L15" s="3" t="s">
        <v>112</v>
      </c>
      <c r="M15" s="3" t="s">
        <v>40</v>
      </c>
      <c r="N15" s="3" t="s">
        <v>94</v>
      </c>
      <c r="O15" s="3" t="s">
        <v>42</v>
      </c>
      <c r="P15" s="30">
        <v>41808.79</v>
      </c>
      <c r="Q15" s="3" t="s">
        <v>80</v>
      </c>
      <c r="R15" s="3">
        <v>10</v>
      </c>
      <c r="S15" s="3">
        <v>157</v>
      </c>
      <c r="T15" s="3">
        <v>30.2</v>
      </c>
      <c r="U15" s="3" t="s">
        <v>44</v>
      </c>
      <c r="V15" s="18" t="s">
        <v>33</v>
      </c>
    </row>
    <row r="16" spans="1:22" ht="15" customHeight="1" x14ac:dyDescent="0.25">
      <c r="A16" s="15" t="s">
        <v>114</v>
      </c>
      <c r="B16" s="1" t="s">
        <v>115</v>
      </c>
      <c r="C16">
        <v>58</v>
      </c>
      <c r="D16" s="1" t="s">
        <v>59</v>
      </c>
      <c r="E16" s="1" t="s">
        <v>23</v>
      </c>
      <c r="F16" s="1" t="s">
        <v>70</v>
      </c>
      <c r="G16" s="1" t="s">
        <v>50</v>
      </c>
      <c r="H16" s="1" t="s">
        <v>26</v>
      </c>
      <c r="I16" s="6">
        <v>44083</v>
      </c>
      <c r="J16" s="7">
        <v>44090</v>
      </c>
      <c r="K16" s="1">
        <v>7</v>
      </c>
      <c r="L16" s="1" t="s">
        <v>89</v>
      </c>
      <c r="M16" s="1" t="s">
        <v>90</v>
      </c>
      <c r="N16" s="1" t="s">
        <v>116</v>
      </c>
      <c r="O16" s="1" t="s">
        <v>30</v>
      </c>
      <c r="P16" s="29">
        <v>56048.93</v>
      </c>
      <c r="Q16" s="1" t="s">
        <v>56</v>
      </c>
      <c r="R16" s="1">
        <v>8</v>
      </c>
      <c r="S16" s="1">
        <v>338</v>
      </c>
      <c r="T16" s="1">
        <v>27.4</v>
      </c>
      <c r="U16" s="1" t="s">
        <v>44</v>
      </c>
      <c r="V16" s="17" t="s">
        <v>33</v>
      </c>
    </row>
    <row r="17" spans="1:22" ht="15" customHeight="1" x14ac:dyDescent="0.25">
      <c r="A17" s="16" t="s">
        <v>117</v>
      </c>
      <c r="B17" s="3" t="s">
        <v>118</v>
      </c>
      <c r="C17">
        <v>73</v>
      </c>
      <c r="D17" s="3" t="s">
        <v>82</v>
      </c>
      <c r="E17" s="3" t="s">
        <v>48</v>
      </c>
      <c r="F17" s="3" t="s">
        <v>76</v>
      </c>
      <c r="G17" s="3" t="s">
        <v>38</v>
      </c>
      <c r="H17" s="3" t="s">
        <v>51</v>
      </c>
      <c r="I17" s="6">
        <v>45122</v>
      </c>
      <c r="J17" s="8">
        <v>45130</v>
      </c>
      <c r="K17" s="3">
        <v>8</v>
      </c>
      <c r="L17" s="3" t="s">
        <v>102</v>
      </c>
      <c r="M17" s="3" t="s">
        <v>28</v>
      </c>
      <c r="N17" s="3" t="s">
        <v>41</v>
      </c>
      <c r="O17" s="3" t="s">
        <v>104</v>
      </c>
      <c r="P17" s="30">
        <v>23843.47</v>
      </c>
      <c r="Q17" s="3" t="s">
        <v>119</v>
      </c>
      <c r="R17" s="3">
        <v>8</v>
      </c>
      <c r="S17" s="3">
        <v>135</v>
      </c>
      <c r="T17" s="3">
        <v>34.1</v>
      </c>
      <c r="U17" s="3" t="s">
        <v>44</v>
      </c>
      <c r="V17" s="18" t="s">
        <v>45</v>
      </c>
    </row>
    <row r="18" spans="1:22" ht="15" customHeight="1" x14ac:dyDescent="0.25">
      <c r="A18" s="15" t="s">
        <v>120</v>
      </c>
      <c r="B18" s="1" t="s">
        <v>121</v>
      </c>
      <c r="C18">
        <v>3</v>
      </c>
      <c r="D18" s="1" t="s">
        <v>22</v>
      </c>
      <c r="E18" s="1" t="s">
        <v>48</v>
      </c>
      <c r="F18" s="1" t="s">
        <v>70</v>
      </c>
      <c r="G18" s="1" t="s">
        <v>77</v>
      </c>
      <c r="H18" s="1" t="s">
        <v>26</v>
      </c>
      <c r="I18" s="6">
        <v>43961</v>
      </c>
      <c r="J18" s="7">
        <v>44119</v>
      </c>
      <c r="K18" s="1">
        <v>10</v>
      </c>
      <c r="L18" s="1" t="s">
        <v>122</v>
      </c>
      <c r="M18" s="1" t="s">
        <v>40</v>
      </c>
      <c r="N18" s="1" t="s">
        <v>94</v>
      </c>
      <c r="O18" s="1" t="s">
        <v>42</v>
      </c>
      <c r="P18" s="29">
        <v>43332.84</v>
      </c>
      <c r="Q18" s="1" t="s">
        <v>123</v>
      </c>
      <c r="R18" s="1">
        <v>9</v>
      </c>
      <c r="S18" s="1">
        <v>375</v>
      </c>
      <c r="T18" s="1">
        <v>27.7</v>
      </c>
      <c r="U18" s="1" t="s">
        <v>32</v>
      </c>
      <c r="V18" s="17" t="s">
        <v>33</v>
      </c>
    </row>
    <row r="19" spans="1:22" ht="15" customHeight="1" x14ac:dyDescent="0.25">
      <c r="A19" s="16" t="s">
        <v>124</v>
      </c>
      <c r="B19" s="3" t="s">
        <v>125</v>
      </c>
      <c r="C19">
        <v>78</v>
      </c>
      <c r="D19" s="3" t="s">
        <v>36</v>
      </c>
      <c r="E19" s="3" t="s">
        <v>48</v>
      </c>
      <c r="F19" s="3" t="s">
        <v>76</v>
      </c>
      <c r="G19" s="3" t="s">
        <v>50</v>
      </c>
      <c r="H19" s="3" t="s">
        <v>26</v>
      </c>
      <c r="I19" s="8">
        <v>45186</v>
      </c>
      <c r="J19" s="8">
        <v>45202</v>
      </c>
      <c r="K19" s="3">
        <v>16</v>
      </c>
      <c r="L19" s="3" t="s">
        <v>39</v>
      </c>
      <c r="M19" s="3" t="s">
        <v>40</v>
      </c>
      <c r="N19" s="3" t="s">
        <v>126</v>
      </c>
      <c r="O19" s="3" t="s">
        <v>30</v>
      </c>
      <c r="P19" s="30">
        <v>121271.59</v>
      </c>
      <c r="Q19" s="3" t="s">
        <v>127</v>
      </c>
      <c r="R19" s="3">
        <v>6</v>
      </c>
      <c r="S19" s="3">
        <v>375</v>
      </c>
      <c r="T19" s="3">
        <v>29.1</v>
      </c>
      <c r="U19" s="3" t="s">
        <v>32</v>
      </c>
      <c r="V19" s="18" t="s">
        <v>33</v>
      </c>
    </row>
    <row r="20" spans="1:22" ht="15" customHeight="1" x14ac:dyDescent="0.25">
      <c r="A20" s="15" t="s">
        <v>128</v>
      </c>
      <c r="B20" s="2" t="s">
        <v>265</v>
      </c>
      <c r="C20">
        <v>82</v>
      </c>
      <c r="D20" s="1" t="s">
        <v>36</v>
      </c>
      <c r="E20" s="1" t="s">
        <v>48</v>
      </c>
      <c r="F20" s="1" t="s">
        <v>24</v>
      </c>
      <c r="G20" s="1" t="s">
        <v>77</v>
      </c>
      <c r="H20" s="1" t="s">
        <v>51</v>
      </c>
      <c r="I20" s="6">
        <v>44683</v>
      </c>
      <c r="J20" s="7">
        <v>44607</v>
      </c>
      <c r="K20" s="1">
        <v>10</v>
      </c>
      <c r="L20" s="1" t="s">
        <v>39</v>
      </c>
      <c r="M20" s="1" t="s">
        <v>40</v>
      </c>
      <c r="N20" s="1" t="s">
        <v>94</v>
      </c>
      <c r="O20" s="1" t="s">
        <v>30</v>
      </c>
      <c r="P20" s="29">
        <v>50083.26</v>
      </c>
      <c r="Q20" s="1" t="s">
        <v>80</v>
      </c>
      <c r="R20" s="1">
        <v>10</v>
      </c>
      <c r="S20" s="1">
        <v>195</v>
      </c>
      <c r="T20" s="1">
        <v>28.1</v>
      </c>
      <c r="U20" s="1" t="s">
        <v>44</v>
      </c>
      <c r="V20" s="17" t="s">
        <v>45</v>
      </c>
    </row>
    <row r="21" spans="1:22" ht="15" customHeight="1" x14ac:dyDescent="0.25">
      <c r="A21" s="16" t="s">
        <v>129</v>
      </c>
      <c r="B21" s="3" t="s">
        <v>130</v>
      </c>
      <c r="C21">
        <v>41</v>
      </c>
      <c r="D21" s="3" t="s">
        <v>98</v>
      </c>
      <c r="E21" s="3" t="s">
        <v>23</v>
      </c>
      <c r="F21" s="3" t="s">
        <v>76</v>
      </c>
      <c r="G21" s="3" t="s">
        <v>131</v>
      </c>
      <c r="H21" s="3" t="s">
        <v>51</v>
      </c>
      <c r="I21" s="8">
        <v>43877</v>
      </c>
      <c r="J21" s="8">
        <v>43885</v>
      </c>
      <c r="K21" s="3">
        <v>8</v>
      </c>
      <c r="L21" s="3" t="s">
        <v>132</v>
      </c>
      <c r="M21" s="3" t="s">
        <v>53</v>
      </c>
      <c r="N21" s="3" t="s">
        <v>133</v>
      </c>
      <c r="O21" s="3" t="s">
        <v>30</v>
      </c>
      <c r="P21" s="30">
        <v>8374</v>
      </c>
      <c r="Q21" s="3" t="s">
        <v>134</v>
      </c>
      <c r="R21" s="3">
        <v>7</v>
      </c>
      <c r="S21" s="3">
        <v>173</v>
      </c>
      <c r="T21" s="3">
        <v>28.7</v>
      </c>
      <c r="U21" s="3" t="s">
        <v>32</v>
      </c>
      <c r="V21" s="18" t="s">
        <v>33</v>
      </c>
    </row>
    <row r="22" spans="1:22" ht="15" customHeight="1" x14ac:dyDescent="0.25">
      <c r="A22" s="15" t="s">
        <v>135</v>
      </c>
      <c r="B22" s="1" t="s">
        <v>136</v>
      </c>
      <c r="C22">
        <v>50</v>
      </c>
      <c r="D22" s="1" t="s">
        <v>98</v>
      </c>
      <c r="E22" s="1" t="s">
        <v>23</v>
      </c>
      <c r="F22" s="1" t="s">
        <v>49</v>
      </c>
      <c r="G22" s="1" t="s">
        <v>60</v>
      </c>
      <c r="H22" s="1" t="s">
        <v>78</v>
      </c>
      <c r="I22" s="7">
        <v>44710</v>
      </c>
      <c r="J22" s="7">
        <v>44567</v>
      </c>
      <c r="K22" s="1">
        <v>3</v>
      </c>
      <c r="L22" s="1" t="s">
        <v>52</v>
      </c>
      <c r="M22" s="1" t="s">
        <v>53</v>
      </c>
      <c r="N22" s="1" t="s">
        <v>61</v>
      </c>
      <c r="O22" s="1" t="s">
        <v>42</v>
      </c>
      <c r="P22" s="29">
        <v>42595.11</v>
      </c>
      <c r="Q22" s="1" t="s">
        <v>137</v>
      </c>
      <c r="R22" s="1">
        <v>5</v>
      </c>
      <c r="S22" s="1">
        <v>420</v>
      </c>
      <c r="T22" s="4"/>
      <c r="U22" s="1" t="s">
        <v>44</v>
      </c>
      <c r="V22" s="17" t="s">
        <v>33</v>
      </c>
    </row>
    <row r="23" spans="1:22" ht="15" customHeight="1" x14ac:dyDescent="0.25">
      <c r="A23" s="16" t="s">
        <v>138</v>
      </c>
      <c r="B23" s="2" t="s">
        <v>3570</v>
      </c>
      <c r="C23">
        <v>18</v>
      </c>
      <c r="D23" s="3" t="s">
        <v>47</v>
      </c>
      <c r="E23" s="3" t="s">
        <v>23</v>
      </c>
      <c r="F23" s="3" t="s">
        <v>99</v>
      </c>
      <c r="G23" s="3" t="s">
        <v>77</v>
      </c>
      <c r="H23" s="3" t="s">
        <v>26</v>
      </c>
      <c r="I23" s="8">
        <v>44549</v>
      </c>
      <c r="J23" s="8">
        <v>44565</v>
      </c>
      <c r="K23" s="3">
        <v>16</v>
      </c>
      <c r="L23" s="3" t="s">
        <v>89</v>
      </c>
      <c r="M23" s="3" t="s">
        <v>90</v>
      </c>
      <c r="N23" s="3" t="s">
        <v>79</v>
      </c>
      <c r="O23" s="3" t="s">
        <v>42</v>
      </c>
      <c r="P23" s="30">
        <v>91887.72</v>
      </c>
      <c r="Q23" s="3" t="s">
        <v>91</v>
      </c>
      <c r="R23" s="3">
        <v>8</v>
      </c>
      <c r="S23" s="3">
        <v>389</v>
      </c>
      <c r="T23" s="3">
        <v>20</v>
      </c>
      <c r="U23" s="3" t="s">
        <v>44</v>
      </c>
      <c r="V23" s="18" t="s">
        <v>33</v>
      </c>
    </row>
    <row r="24" spans="1:22" ht="15" customHeight="1" x14ac:dyDescent="0.25">
      <c r="A24" s="15" t="s">
        <v>139</v>
      </c>
      <c r="B24" s="2" t="s">
        <v>2014</v>
      </c>
      <c r="C24">
        <v>71</v>
      </c>
      <c r="D24" s="1" t="s">
        <v>82</v>
      </c>
      <c r="E24" s="1" t="s">
        <v>48</v>
      </c>
      <c r="F24" s="1" t="s">
        <v>70</v>
      </c>
      <c r="G24" s="1" t="s">
        <v>38</v>
      </c>
      <c r="H24" s="1" t="s">
        <v>78</v>
      </c>
      <c r="I24" s="7">
        <v>43630</v>
      </c>
      <c r="J24" s="7">
        <v>43634</v>
      </c>
      <c r="K24" s="1">
        <v>4</v>
      </c>
      <c r="L24" s="1" t="s">
        <v>52</v>
      </c>
      <c r="M24" s="1" t="s">
        <v>53</v>
      </c>
      <c r="N24" s="1" t="s">
        <v>41</v>
      </c>
      <c r="O24" s="1" t="s">
        <v>42</v>
      </c>
      <c r="P24" s="29">
        <v>38101</v>
      </c>
      <c r="Q24" s="1" t="s">
        <v>43</v>
      </c>
      <c r="R24" s="1">
        <v>8</v>
      </c>
      <c r="S24" s="1">
        <v>439</v>
      </c>
      <c r="T24" s="1">
        <v>29.1</v>
      </c>
      <c r="U24" s="1" t="s">
        <v>44</v>
      </c>
      <c r="V24" s="17" t="s">
        <v>33</v>
      </c>
    </row>
    <row r="25" spans="1:22" ht="15" customHeight="1" x14ac:dyDescent="0.25">
      <c r="A25" s="16" t="s">
        <v>140</v>
      </c>
      <c r="B25" s="3" t="s">
        <v>141</v>
      </c>
      <c r="C25">
        <v>60</v>
      </c>
      <c r="D25" s="3" t="s">
        <v>59</v>
      </c>
      <c r="E25" s="3" t="s">
        <v>23</v>
      </c>
      <c r="F25" s="3" t="s">
        <v>83</v>
      </c>
      <c r="G25" s="3" t="s">
        <v>38</v>
      </c>
      <c r="H25" s="3" t="s">
        <v>51</v>
      </c>
      <c r="I25" s="8">
        <v>44234</v>
      </c>
      <c r="J25" s="8">
        <v>44238</v>
      </c>
      <c r="K25" s="3">
        <v>4</v>
      </c>
      <c r="L25" s="3" t="s">
        <v>122</v>
      </c>
      <c r="M25" s="3" t="s">
        <v>40</v>
      </c>
      <c r="N25" s="3" t="s">
        <v>41</v>
      </c>
      <c r="O25" s="3" t="s">
        <v>42</v>
      </c>
      <c r="P25" s="30">
        <v>16175.11</v>
      </c>
      <c r="Q25" s="3" t="s">
        <v>119</v>
      </c>
      <c r="R25" s="3">
        <v>8</v>
      </c>
      <c r="S25" s="3">
        <v>170</v>
      </c>
      <c r="T25" s="3">
        <v>35.5</v>
      </c>
      <c r="U25" s="3" t="s">
        <v>44</v>
      </c>
      <c r="V25" s="18" t="s">
        <v>33</v>
      </c>
    </row>
    <row r="26" spans="1:22" ht="15" customHeight="1" x14ac:dyDescent="0.25">
      <c r="A26" s="15" t="s">
        <v>142</v>
      </c>
      <c r="B26" s="1" t="s">
        <v>143</v>
      </c>
      <c r="C26">
        <v>38</v>
      </c>
      <c r="D26" s="1" t="s">
        <v>98</v>
      </c>
      <c r="E26" s="1" t="s">
        <v>48</v>
      </c>
      <c r="F26" s="1" t="s">
        <v>76</v>
      </c>
      <c r="G26" s="1" t="s">
        <v>50</v>
      </c>
      <c r="H26" s="1" t="s">
        <v>78</v>
      </c>
      <c r="I26" s="7">
        <v>45400</v>
      </c>
      <c r="J26" s="7">
        <v>45404</v>
      </c>
      <c r="K26" s="1">
        <v>4</v>
      </c>
      <c r="L26" s="1" t="s">
        <v>89</v>
      </c>
      <c r="M26" s="1" t="s">
        <v>90</v>
      </c>
      <c r="N26" s="1" t="s">
        <v>116</v>
      </c>
      <c r="O26" s="1" t="s">
        <v>104</v>
      </c>
      <c r="P26" s="29">
        <v>11827.7</v>
      </c>
      <c r="Q26" s="1" t="s">
        <v>144</v>
      </c>
      <c r="R26" s="1">
        <v>9</v>
      </c>
      <c r="S26" s="1">
        <v>375</v>
      </c>
      <c r="T26" s="1">
        <v>24.9</v>
      </c>
      <c r="U26" s="1" t="s">
        <v>44</v>
      </c>
      <c r="V26" s="17" t="s">
        <v>45</v>
      </c>
    </row>
    <row r="27" spans="1:22" ht="15" customHeight="1" x14ac:dyDescent="0.25">
      <c r="A27" s="16" t="s">
        <v>145</v>
      </c>
      <c r="B27" s="3" t="s">
        <v>146</v>
      </c>
      <c r="C27">
        <v>81</v>
      </c>
      <c r="D27" s="3" t="s">
        <v>36</v>
      </c>
      <c r="E27" s="3" t="s">
        <v>48</v>
      </c>
      <c r="F27" s="3" t="s">
        <v>37</v>
      </c>
      <c r="G27" s="3" t="s">
        <v>131</v>
      </c>
      <c r="H27" s="3" t="s">
        <v>51</v>
      </c>
      <c r="I27" s="6">
        <v>44931</v>
      </c>
      <c r="J27" s="8">
        <v>45052</v>
      </c>
      <c r="K27" s="3">
        <v>5</v>
      </c>
      <c r="L27" s="3" t="s">
        <v>102</v>
      </c>
      <c r="M27" s="3" t="s">
        <v>28</v>
      </c>
      <c r="N27" s="3" t="s">
        <v>147</v>
      </c>
      <c r="O27" s="3" t="s">
        <v>30</v>
      </c>
      <c r="P27" s="30">
        <v>17337.52</v>
      </c>
      <c r="Q27" s="3" t="s">
        <v>148</v>
      </c>
      <c r="R27" s="3">
        <v>7</v>
      </c>
      <c r="S27" s="3">
        <v>143</v>
      </c>
      <c r="T27" s="3">
        <v>34.799999999999997</v>
      </c>
      <c r="U27" s="3" t="s">
        <v>32</v>
      </c>
      <c r="V27" s="18" t="s">
        <v>33</v>
      </c>
    </row>
    <row r="28" spans="1:22" ht="15" customHeight="1" x14ac:dyDescent="0.25">
      <c r="A28" s="15" t="s">
        <v>149</v>
      </c>
      <c r="B28" s="1" t="s">
        <v>150</v>
      </c>
      <c r="C28">
        <v>73</v>
      </c>
      <c r="D28" s="1" t="s">
        <v>82</v>
      </c>
      <c r="E28" s="1" t="s">
        <v>23</v>
      </c>
      <c r="F28" s="1" t="s">
        <v>70</v>
      </c>
      <c r="G28" s="1" t="s">
        <v>131</v>
      </c>
      <c r="H28" s="1" t="s">
        <v>26</v>
      </c>
      <c r="I28" s="7">
        <v>44643</v>
      </c>
      <c r="J28" s="7">
        <v>44648</v>
      </c>
      <c r="K28" s="1">
        <v>5</v>
      </c>
      <c r="L28" s="1" t="s">
        <v>132</v>
      </c>
      <c r="M28" s="1" t="s">
        <v>53</v>
      </c>
      <c r="N28" s="1" t="s">
        <v>133</v>
      </c>
      <c r="O28" s="1" t="s">
        <v>55</v>
      </c>
      <c r="P28" s="29">
        <v>33365.449999999997</v>
      </c>
      <c r="Q28" s="1" t="s">
        <v>152</v>
      </c>
      <c r="R28" s="1">
        <v>4</v>
      </c>
      <c r="S28" s="1">
        <v>363</v>
      </c>
      <c r="T28" s="1">
        <v>28.9</v>
      </c>
      <c r="U28" s="1" t="s">
        <v>44</v>
      </c>
      <c r="V28" s="17" t="s">
        <v>33</v>
      </c>
    </row>
    <row r="29" spans="1:22" ht="15" customHeight="1" x14ac:dyDescent="0.25">
      <c r="A29" s="16" t="s">
        <v>153</v>
      </c>
      <c r="B29" s="3" t="s">
        <v>154</v>
      </c>
      <c r="C29">
        <v>35</v>
      </c>
      <c r="D29" s="3" t="s">
        <v>98</v>
      </c>
      <c r="E29" s="3" t="s">
        <v>48</v>
      </c>
      <c r="F29" s="3" t="s">
        <v>155</v>
      </c>
      <c r="G29" s="3" t="s">
        <v>131</v>
      </c>
      <c r="H29" s="3" t="s">
        <v>156</v>
      </c>
      <c r="I29" s="6">
        <v>45605</v>
      </c>
      <c r="J29" s="8">
        <v>45612</v>
      </c>
      <c r="K29" s="3">
        <v>7</v>
      </c>
      <c r="L29" s="3" t="s">
        <v>112</v>
      </c>
      <c r="M29" s="3" t="s">
        <v>40</v>
      </c>
      <c r="N29" s="3" t="s">
        <v>157</v>
      </c>
      <c r="O29" s="3" t="s">
        <v>30</v>
      </c>
      <c r="P29" s="30">
        <v>13277.15</v>
      </c>
      <c r="Q29" s="3" t="s">
        <v>158</v>
      </c>
      <c r="R29" s="3">
        <v>7</v>
      </c>
      <c r="S29" s="3">
        <v>354</v>
      </c>
      <c r="T29" s="3">
        <v>27</v>
      </c>
      <c r="U29" s="3" t="s">
        <v>32</v>
      </c>
      <c r="V29" s="18" t="s">
        <v>33</v>
      </c>
    </row>
    <row r="30" spans="1:22" ht="15" customHeight="1" x14ac:dyDescent="0.25">
      <c r="A30" s="15" t="s">
        <v>159</v>
      </c>
      <c r="B30" s="1" t="s">
        <v>160</v>
      </c>
      <c r="C30">
        <v>68</v>
      </c>
      <c r="D30" s="1" t="s">
        <v>82</v>
      </c>
      <c r="E30" s="1" t="s">
        <v>48</v>
      </c>
      <c r="F30" s="1" t="s">
        <v>76</v>
      </c>
      <c r="G30" s="1" t="s">
        <v>77</v>
      </c>
      <c r="H30" s="1" t="s">
        <v>51</v>
      </c>
      <c r="I30" s="6">
        <v>45242</v>
      </c>
      <c r="J30" s="7">
        <v>45276</v>
      </c>
      <c r="K30" s="1">
        <v>5</v>
      </c>
      <c r="L30" s="1" t="s">
        <v>112</v>
      </c>
      <c r="M30" s="1" t="s">
        <v>40</v>
      </c>
      <c r="N30" s="1" t="s">
        <v>79</v>
      </c>
      <c r="O30" s="1" t="s">
        <v>42</v>
      </c>
      <c r="P30" s="29">
        <v>52887.61</v>
      </c>
      <c r="Q30" s="1" t="s">
        <v>85</v>
      </c>
      <c r="R30" s="1">
        <v>10</v>
      </c>
      <c r="S30" s="1">
        <v>143</v>
      </c>
      <c r="T30" s="1">
        <v>32.200000000000003</v>
      </c>
      <c r="U30" s="1" t="s">
        <v>44</v>
      </c>
      <c r="V30" s="17" t="s">
        <v>33</v>
      </c>
    </row>
    <row r="31" spans="1:22" ht="15" customHeight="1" x14ac:dyDescent="0.25">
      <c r="A31" s="16" t="s">
        <v>161</v>
      </c>
      <c r="B31" s="3" t="s">
        <v>162</v>
      </c>
      <c r="C31">
        <v>47</v>
      </c>
      <c r="D31" s="3" t="s">
        <v>98</v>
      </c>
      <c r="E31" s="3" t="s">
        <v>48</v>
      </c>
      <c r="F31" s="3" t="s">
        <v>99</v>
      </c>
      <c r="G31" s="3" t="s">
        <v>163</v>
      </c>
      <c r="H31" s="3" t="s">
        <v>51</v>
      </c>
      <c r="I31" s="8">
        <v>44539</v>
      </c>
      <c r="J31" s="8">
        <v>44544</v>
      </c>
      <c r="K31" s="3">
        <v>5</v>
      </c>
      <c r="L31" s="3" t="s">
        <v>122</v>
      </c>
      <c r="M31" s="3" t="s">
        <v>40</v>
      </c>
      <c r="N31" s="3" t="s">
        <v>164</v>
      </c>
      <c r="O31" s="3" t="s">
        <v>30</v>
      </c>
      <c r="P31" s="30">
        <v>14034</v>
      </c>
      <c r="Q31" s="3" t="s">
        <v>165</v>
      </c>
      <c r="R31" s="3">
        <v>6</v>
      </c>
      <c r="S31" s="3">
        <v>117</v>
      </c>
      <c r="T31" s="3">
        <v>22.9</v>
      </c>
      <c r="U31" s="3" t="s">
        <v>44</v>
      </c>
      <c r="V31" s="18" t="s">
        <v>45</v>
      </c>
    </row>
    <row r="32" spans="1:22" ht="15" customHeight="1" x14ac:dyDescent="0.25">
      <c r="A32" s="15" t="s">
        <v>166</v>
      </c>
      <c r="B32" s="1" t="s">
        <v>167</v>
      </c>
      <c r="C32">
        <v>52</v>
      </c>
      <c r="D32" s="1" t="s">
        <v>98</v>
      </c>
      <c r="E32" s="1" t="s">
        <v>23</v>
      </c>
      <c r="F32" s="1" t="s">
        <v>70</v>
      </c>
      <c r="G32" s="1" t="s">
        <v>77</v>
      </c>
      <c r="H32" s="1" t="s">
        <v>26</v>
      </c>
      <c r="I32" s="7">
        <v>43871</v>
      </c>
      <c r="J32" s="7">
        <v>43891</v>
      </c>
      <c r="K32" s="1">
        <v>20</v>
      </c>
      <c r="L32" s="1" t="s">
        <v>27</v>
      </c>
      <c r="M32" s="1" t="s">
        <v>28</v>
      </c>
      <c r="N32" s="1" t="s">
        <v>84</v>
      </c>
      <c r="O32" s="1" t="s">
        <v>104</v>
      </c>
      <c r="P32" s="29">
        <v>36223.980000000003</v>
      </c>
      <c r="Q32" s="1" t="s">
        <v>85</v>
      </c>
      <c r="R32" s="1">
        <v>9</v>
      </c>
      <c r="S32" s="1">
        <v>358</v>
      </c>
      <c r="T32" s="1">
        <v>14.3</v>
      </c>
      <c r="U32" s="1" t="s">
        <v>44</v>
      </c>
      <c r="V32" s="17" t="s">
        <v>33</v>
      </c>
    </row>
    <row r="33" spans="1:22" ht="15" customHeight="1" x14ac:dyDescent="0.25">
      <c r="A33" s="16" t="s">
        <v>168</v>
      </c>
      <c r="B33" s="3" t="s">
        <v>169</v>
      </c>
      <c r="C33">
        <v>28</v>
      </c>
      <c r="D33" s="3" t="s">
        <v>47</v>
      </c>
      <c r="E33" s="3" t="s">
        <v>23</v>
      </c>
      <c r="F33" s="3" t="s">
        <v>37</v>
      </c>
      <c r="G33" s="3" t="s">
        <v>60</v>
      </c>
      <c r="H33" s="3" t="s">
        <v>78</v>
      </c>
      <c r="I33" s="6">
        <v>44751</v>
      </c>
      <c r="J33" s="8">
        <v>44825</v>
      </c>
      <c r="K33" s="3">
        <v>14</v>
      </c>
      <c r="L33" s="3" t="s">
        <v>27</v>
      </c>
      <c r="M33" s="3" t="s">
        <v>28</v>
      </c>
      <c r="N33" s="3" t="s">
        <v>103</v>
      </c>
      <c r="O33" s="3" t="s">
        <v>30</v>
      </c>
      <c r="P33" s="30">
        <v>20769.5</v>
      </c>
      <c r="Q33" s="3" t="s">
        <v>170</v>
      </c>
      <c r="R33" s="3">
        <v>6</v>
      </c>
      <c r="S33" s="3">
        <v>158</v>
      </c>
      <c r="T33" s="3">
        <v>30.8</v>
      </c>
      <c r="U33" s="3" t="s">
        <v>32</v>
      </c>
      <c r="V33" s="18" t="s">
        <v>45</v>
      </c>
    </row>
    <row r="34" spans="1:22" ht="15" customHeight="1" x14ac:dyDescent="0.25">
      <c r="A34" s="15" t="s">
        <v>171</v>
      </c>
      <c r="B34" s="1" t="s">
        <v>172</v>
      </c>
      <c r="C34">
        <v>51</v>
      </c>
      <c r="D34" s="1" t="s">
        <v>98</v>
      </c>
      <c r="E34" s="1" t="s">
        <v>23</v>
      </c>
      <c r="F34" s="1" t="s">
        <v>49</v>
      </c>
      <c r="G34" s="1" t="s">
        <v>38</v>
      </c>
      <c r="H34" s="1" t="s">
        <v>78</v>
      </c>
      <c r="I34" s="6">
        <v>45212</v>
      </c>
      <c r="J34" s="7">
        <v>45217</v>
      </c>
      <c r="K34" s="1">
        <v>5</v>
      </c>
      <c r="L34" s="1" t="s">
        <v>132</v>
      </c>
      <c r="M34" s="1" t="s">
        <v>53</v>
      </c>
      <c r="N34" s="1" t="s">
        <v>173</v>
      </c>
      <c r="O34" s="1" t="s">
        <v>42</v>
      </c>
      <c r="P34" s="29">
        <v>17672.64</v>
      </c>
      <c r="Q34" s="1" t="s">
        <v>174</v>
      </c>
      <c r="R34" s="1">
        <v>8</v>
      </c>
      <c r="S34" s="1">
        <v>493</v>
      </c>
      <c r="T34" s="1">
        <v>29.2</v>
      </c>
      <c r="U34" s="1" t="s">
        <v>44</v>
      </c>
      <c r="V34" s="17" t="s">
        <v>33</v>
      </c>
    </row>
    <row r="35" spans="1:22" ht="15" customHeight="1" x14ac:dyDescent="0.25">
      <c r="A35" s="16" t="s">
        <v>175</v>
      </c>
      <c r="B35" s="3" t="s">
        <v>176</v>
      </c>
      <c r="C35">
        <v>62</v>
      </c>
      <c r="D35" s="3" t="s">
        <v>59</v>
      </c>
      <c r="E35" s="3" t="s">
        <v>23</v>
      </c>
      <c r="F35" s="3" t="s">
        <v>99</v>
      </c>
      <c r="G35" s="3" t="s">
        <v>71</v>
      </c>
      <c r="H35" s="3" t="s">
        <v>78</v>
      </c>
      <c r="I35" s="8">
        <v>43740</v>
      </c>
      <c r="J35" s="8">
        <v>43626</v>
      </c>
      <c r="K35" s="3">
        <v>4</v>
      </c>
      <c r="L35" s="3" t="s">
        <v>89</v>
      </c>
      <c r="M35" s="3" t="s">
        <v>90</v>
      </c>
      <c r="N35" s="3" t="s">
        <v>177</v>
      </c>
      <c r="O35" s="3" t="s">
        <v>104</v>
      </c>
      <c r="P35" s="30">
        <v>19627.14</v>
      </c>
      <c r="Q35" s="3" t="s">
        <v>178</v>
      </c>
      <c r="R35" s="3">
        <v>2</v>
      </c>
      <c r="S35" s="3">
        <v>359</v>
      </c>
      <c r="T35" s="3">
        <v>31.3</v>
      </c>
      <c r="U35" s="3" t="s">
        <v>86</v>
      </c>
      <c r="V35" s="18" t="s">
        <v>33</v>
      </c>
    </row>
    <row r="36" spans="1:22" ht="15" customHeight="1" x14ac:dyDescent="0.25">
      <c r="A36" s="15" t="s">
        <v>179</v>
      </c>
      <c r="B36" s="1" t="s">
        <v>180</v>
      </c>
      <c r="C36">
        <v>86</v>
      </c>
      <c r="D36" s="1" t="s">
        <v>36</v>
      </c>
      <c r="E36" s="1" t="s">
        <v>23</v>
      </c>
      <c r="F36" s="1" t="s">
        <v>70</v>
      </c>
      <c r="G36" s="1" t="s">
        <v>77</v>
      </c>
      <c r="H36" s="1" t="s">
        <v>51</v>
      </c>
      <c r="I36" s="6">
        <v>43573</v>
      </c>
      <c r="J36" s="7">
        <v>43580</v>
      </c>
      <c r="K36" s="1">
        <v>7</v>
      </c>
      <c r="L36" s="1" t="s">
        <v>102</v>
      </c>
      <c r="M36" s="1" t="s">
        <v>28</v>
      </c>
      <c r="N36" s="1" t="s">
        <v>79</v>
      </c>
      <c r="O36" s="1" t="s">
        <v>55</v>
      </c>
      <c r="P36" s="29">
        <v>53050.26</v>
      </c>
      <c r="Q36" s="1" t="s">
        <v>181</v>
      </c>
      <c r="R36" s="1">
        <v>10</v>
      </c>
      <c r="S36" s="1">
        <v>139</v>
      </c>
      <c r="T36" s="1">
        <v>32.6</v>
      </c>
      <c r="U36" s="1" t="s">
        <v>44</v>
      </c>
      <c r="V36" s="17" t="s">
        <v>33</v>
      </c>
    </row>
    <row r="37" spans="1:22" ht="15" customHeight="1" x14ac:dyDescent="0.25">
      <c r="A37" s="16" t="s">
        <v>182</v>
      </c>
      <c r="B37" s="2" t="s">
        <v>2945</v>
      </c>
      <c r="C37">
        <v>23</v>
      </c>
      <c r="D37" s="3" t="s">
        <v>47</v>
      </c>
      <c r="E37" s="3" t="s">
        <v>48</v>
      </c>
      <c r="F37" s="3" t="s">
        <v>99</v>
      </c>
      <c r="G37" s="3" t="s">
        <v>77</v>
      </c>
      <c r="H37" s="3" t="s">
        <v>26</v>
      </c>
      <c r="I37" s="8">
        <v>43811</v>
      </c>
      <c r="J37" s="8">
        <v>43819</v>
      </c>
      <c r="K37" s="3">
        <v>8</v>
      </c>
      <c r="L37" s="3" t="s">
        <v>132</v>
      </c>
      <c r="M37" s="3" t="s">
        <v>53</v>
      </c>
      <c r="N37" s="3" t="s">
        <v>183</v>
      </c>
      <c r="O37" s="3" t="s">
        <v>42</v>
      </c>
      <c r="P37" s="30">
        <v>53046</v>
      </c>
      <c r="Q37" s="3" t="s">
        <v>95</v>
      </c>
      <c r="R37" s="3">
        <v>8</v>
      </c>
      <c r="S37" s="3">
        <v>395</v>
      </c>
      <c r="T37" s="3">
        <v>35.9</v>
      </c>
      <c r="U37" s="3" t="s">
        <v>44</v>
      </c>
      <c r="V37" s="18" t="s">
        <v>33</v>
      </c>
    </row>
    <row r="38" spans="1:22" ht="15" customHeight="1" x14ac:dyDescent="0.25">
      <c r="A38" s="15" t="s">
        <v>184</v>
      </c>
      <c r="B38" s="2" t="s">
        <v>519</v>
      </c>
      <c r="C38">
        <v>70</v>
      </c>
      <c r="D38" s="1" t="s">
        <v>82</v>
      </c>
      <c r="E38" s="1" t="s">
        <v>23</v>
      </c>
      <c r="F38" s="1" t="s">
        <v>99</v>
      </c>
      <c r="G38" s="1" t="s">
        <v>77</v>
      </c>
      <c r="H38" s="1" t="s">
        <v>26</v>
      </c>
      <c r="I38" s="7">
        <v>45176</v>
      </c>
      <c r="J38" s="7">
        <v>45184</v>
      </c>
      <c r="K38" s="1">
        <v>8</v>
      </c>
      <c r="L38" s="1" t="s">
        <v>185</v>
      </c>
      <c r="M38" s="1" t="s">
        <v>186</v>
      </c>
      <c r="N38" s="1" t="s">
        <v>84</v>
      </c>
      <c r="O38" s="1" t="s">
        <v>55</v>
      </c>
      <c r="P38" s="29">
        <v>91817.91</v>
      </c>
      <c r="Q38" s="1" t="s">
        <v>181</v>
      </c>
      <c r="R38" s="1">
        <v>10</v>
      </c>
      <c r="S38" s="1">
        <v>321</v>
      </c>
      <c r="T38" s="1">
        <v>23.5</v>
      </c>
      <c r="U38" s="1" t="s">
        <v>86</v>
      </c>
      <c r="V38" s="17" t="s">
        <v>45</v>
      </c>
    </row>
    <row r="39" spans="1:22" ht="15" customHeight="1" x14ac:dyDescent="0.25">
      <c r="A39" s="16" t="s">
        <v>187</v>
      </c>
      <c r="B39" s="2" t="s">
        <v>1524</v>
      </c>
      <c r="C39">
        <v>70</v>
      </c>
      <c r="D39" s="3" t="s">
        <v>82</v>
      </c>
      <c r="E39" s="3" t="s">
        <v>48</v>
      </c>
      <c r="F39" s="3" t="s">
        <v>99</v>
      </c>
      <c r="G39" s="3" t="s">
        <v>188</v>
      </c>
      <c r="H39" s="3" t="s">
        <v>51</v>
      </c>
      <c r="I39" s="8">
        <v>44191</v>
      </c>
      <c r="J39" s="8">
        <v>44199</v>
      </c>
      <c r="K39" s="3">
        <v>8</v>
      </c>
      <c r="L39" s="3" t="s">
        <v>89</v>
      </c>
      <c r="M39" s="3" t="s">
        <v>90</v>
      </c>
      <c r="N39" s="3" t="s">
        <v>189</v>
      </c>
      <c r="O39" s="3" t="s">
        <v>30</v>
      </c>
      <c r="P39" s="30">
        <v>125046.91</v>
      </c>
      <c r="Q39" s="3" t="s">
        <v>85</v>
      </c>
      <c r="R39" s="3">
        <v>10</v>
      </c>
      <c r="S39" s="3">
        <v>164</v>
      </c>
      <c r="T39" s="3">
        <v>29.4</v>
      </c>
      <c r="U39" s="3" t="s">
        <v>44</v>
      </c>
      <c r="V39" s="18" t="s">
        <v>45</v>
      </c>
    </row>
    <row r="40" spans="1:22" ht="15" customHeight="1" x14ac:dyDescent="0.25">
      <c r="A40" s="15" t="s">
        <v>190</v>
      </c>
      <c r="B40" s="1" t="s">
        <v>191</v>
      </c>
      <c r="C40">
        <v>56</v>
      </c>
      <c r="D40" s="1" t="s">
        <v>59</v>
      </c>
      <c r="E40" s="1" t="s">
        <v>48</v>
      </c>
      <c r="F40" s="1" t="s">
        <v>37</v>
      </c>
      <c r="G40" s="1" t="s">
        <v>131</v>
      </c>
      <c r="H40" s="1" t="s">
        <v>26</v>
      </c>
      <c r="I40" s="7">
        <v>44237</v>
      </c>
      <c r="J40" s="7">
        <v>44241</v>
      </c>
      <c r="K40" s="1">
        <v>4</v>
      </c>
      <c r="L40" s="1" t="s">
        <v>27</v>
      </c>
      <c r="M40" s="1" t="s">
        <v>28</v>
      </c>
      <c r="N40" s="1" t="s">
        <v>147</v>
      </c>
      <c r="O40" s="1" t="s">
        <v>66</v>
      </c>
      <c r="P40" s="29">
        <v>67099.23</v>
      </c>
      <c r="Q40" s="1" t="s">
        <v>152</v>
      </c>
      <c r="R40" s="1">
        <v>7</v>
      </c>
      <c r="S40" s="1">
        <v>349</v>
      </c>
      <c r="T40" s="1">
        <v>23.5</v>
      </c>
      <c r="U40" s="1" t="s">
        <v>32</v>
      </c>
      <c r="V40" s="17" t="s">
        <v>45</v>
      </c>
    </row>
    <row r="41" spans="1:22" ht="15" customHeight="1" x14ac:dyDescent="0.25">
      <c r="A41" s="16" t="s">
        <v>192</v>
      </c>
      <c r="B41" s="3" t="s">
        <v>193</v>
      </c>
      <c r="C41">
        <v>66</v>
      </c>
      <c r="D41" s="3" t="s">
        <v>82</v>
      </c>
      <c r="E41" s="3" t="s">
        <v>23</v>
      </c>
      <c r="F41" s="3" t="s">
        <v>49</v>
      </c>
      <c r="G41" s="3" t="s">
        <v>50</v>
      </c>
      <c r="H41" s="3" t="s">
        <v>51</v>
      </c>
      <c r="I41" s="8">
        <v>44045</v>
      </c>
      <c r="J41" s="8">
        <v>44052</v>
      </c>
      <c r="K41" s="3">
        <v>7</v>
      </c>
      <c r="L41" s="3" t="s">
        <v>52</v>
      </c>
      <c r="M41" s="3" t="s">
        <v>53</v>
      </c>
      <c r="N41" s="3" t="s">
        <v>116</v>
      </c>
      <c r="O41" s="3" t="s">
        <v>55</v>
      </c>
      <c r="P41" s="30">
        <v>48903.95</v>
      </c>
      <c r="Q41" s="3" t="s">
        <v>194</v>
      </c>
      <c r="R41" s="3">
        <v>9</v>
      </c>
      <c r="S41" s="3">
        <v>165</v>
      </c>
      <c r="T41" s="3">
        <v>29.1</v>
      </c>
      <c r="U41" s="3" t="s">
        <v>32</v>
      </c>
      <c r="V41" s="18" t="s">
        <v>33</v>
      </c>
    </row>
    <row r="42" spans="1:22" ht="15" customHeight="1" x14ac:dyDescent="0.25">
      <c r="A42" s="15" t="s">
        <v>195</v>
      </c>
      <c r="B42" s="2" t="s">
        <v>3571</v>
      </c>
      <c r="C42">
        <v>90</v>
      </c>
      <c r="D42" s="1" t="s">
        <v>36</v>
      </c>
      <c r="E42" s="1" t="s">
        <v>23</v>
      </c>
      <c r="F42" s="1" t="s">
        <v>76</v>
      </c>
      <c r="G42" s="1" t="s">
        <v>77</v>
      </c>
      <c r="H42" s="1" t="s">
        <v>51</v>
      </c>
      <c r="I42" s="6">
        <v>44845</v>
      </c>
      <c r="J42" s="7">
        <v>44858</v>
      </c>
      <c r="K42" s="1">
        <v>13</v>
      </c>
      <c r="L42" s="1" t="s">
        <v>185</v>
      </c>
      <c r="M42" s="1" t="s">
        <v>186</v>
      </c>
      <c r="N42" s="1" t="s">
        <v>84</v>
      </c>
      <c r="O42" s="1" t="s">
        <v>104</v>
      </c>
      <c r="P42" s="29">
        <v>60799.53</v>
      </c>
      <c r="Q42" s="1" t="s">
        <v>80</v>
      </c>
      <c r="R42" s="1">
        <v>9</v>
      </c>
      <c r="S42" s="1">
        <v>160</v>
      </c>
      <c r="T42" s="1">
        <v>26.8</v>
      </c>
      <c r="U42" s="1" t="s">
        <v>44</v>
      </c>
      <c r="V42" s="17" t="s">
        <v>45</v>
      </c>
    </row>
    <row r="43" spans="1:22" ht="15" customHeight="1" x14ac:dyDescent="0.25">
      <c r="A43" s="16" t="s">
        <v>196</v>
      </c>
      <c r="B43" s="3" t="s">
        <v>197</v>
      </c>
      <c r="C43">
        <v>59</v>
      </c>
      <c r="D43" s="3" t="s">
        <v>59</v>
      </c>
      <c r="E43" s="3" t="s">
        <v>48</v>
      </c>
      <c r="F43" s="3" t="s">
        <v>83</v>
      </c>
      <c r="G43" s="3" t="s">
        <v>25</v>
      </c>
      <c r="H43" s="3" t="s">
        <v>26</v>
      </c>
      <c r="I43" s="8">
        <v>44490</v>
      </c>
      <c r="J43" s="8">
        <v>44497</v>
      </c>
      <c r="K43" s="3">
        <v>7</v>
      </c>
      <c r="L43" s="3" t="s">
        <v>112</v>
      </c>
      <c r="M43" s="3" t="s">
        <v>40</v>
      </c>
      <c r="N43" s="3" t="s">
        <v>29</v>
      </c>
      <c r="O43" s="3" t="s">
        <v>55</v>
      </c>
      <c r="P43" s="30">
        <v>110474</v>
      </c>
      <c r="Q43" s="3" t="s">
        <v>198</v>
      </c>
      <c r="R43" s="3">
        <v>12</v>
      </c>
      <c r="S43" s="3">
        <v>312</v>
      </c>
      <c r="T43" s="3">
        <v>27.6</v>
      </c>
      <c r="U43" s="3" t="s">
        <v>44</v>
      </c>
      <c r="V43" s="18" t="s">
        <v>33</v>
      </c>
    </row>
    <row r="44" spans="1:22" ht="15" customHeight="1" x14ac:dyDescent="0.25">
      <c r="A44" s="15" t="s">
        <v>199</v>
      </c>
      <c r="B44" s="1" t="s">
        <v>200</v>
      </c>
      <c r="C44">
        <v>55</v>
      </c>
      <c r="D44" s="1" t="s">
        <v>59</v>
      </c>
      <c r="E44" s="1" t="s">
        <v>23</v>
      </c>
      <c r="F44" s="1" t="s">
        <v>70</v>
      </c>
      <c r="G44" s="1" t="s">
        <v>60</v>
      </c>
      <c r="H44" s="1" t="s">
        <v>78</v>
      </c>
      <c r="I44" s="7">
        <v>44034</v>
      </c>
      <c r="J44" s="10"/>
      <c r="K44" s="1"/>
      <c r="L44" s="1" t="s">
        <v>112</v>
      </c>
      <c r="M44" s="1" t="s">
        <v>40</v>
      </c>
      <c r="N44" s="1" t="s">
        <v>103</v>
      </c>
      <c r="O44" s="1" t="s">
        <v>30</v>
      </c>
      <c r="P44" s="29">
        <v>22792.45</v>
      </c>
      <c r="Q44" s="1" t="s">
        <v>105</v>
      </c>
      <c r="R44" s="1">
        <v>3</v>
      </c>
      <c r="S44" s="1">
        <v>334</v>
      </c>
      <c r="T44" s="4"/>
      <c r="U44" s="1" t="s">
        <v>32</v>
      </c>
      <c r="V44" s="17" t="s">
        <v>33</v>
      </c>
    </row>
    <row r="45" spans="1:22" ht="15" customHeight="1" x14ac:dyDescent="0.25">
      <c r="A45" s="16" t="s">
        <v>201</v>
      </c>
      <c r="B45" s="3" t="s">
        <v>202</v>
      </c>
      <c r="C45">
        <v>63</v>
      </c>
      <c r="D45" s="3" t="s">
        <v>59</v>
      </c>
      <c r="E45" s="3" t="s">
        <v>48</v>
      </c>
      <c r="F45" s="3" t="s">
        <v>155</v>
      </c>
      <c r="G45" s="3" t="s">
        <v>38</v>
      </c>
      <c r="H45" s="3" t="s">
        <v>26</v>
      </c>
      <c r="I45" s="8">
        <v>43816</v>
      </c>
      <c r="J45" s="8">
        <v>43822</v>
      </c>
      <c r="K45" s="3">
        <v>6</v>
      </c>
      <c r="L45" s="3" t="s">
        <v>52</v>
      </c>
      <c r="M45" s="3" t="s">
        <v>53</v>
      </c>
      <c r="N45" s="3" t="s">
        <v>203</v>
      </c>
      <c r="O45" s="3" t="s">
        <v>104</v>
      </c>
      <c r="P45" s="30">
        <v>23619.17</v>
      </c>
      <c r="Q45" s="3" t="s">
        <v>204</v>
      </c>
      <c r="R45" s="3">
        <v>8</v>
      </c>
      <c r="S45" s="3">
        <v>276</v>
      </c>
      <c r="T45" s="3">
        <v>33.200000000000003</v>
      </c>
      <c r="U45" s="3" t="s">
        <v>32</v>
      </c>
      <c r="V45" s="18" t="s">
        <v>33</v>
      </c>
    </row>
    <row r="46" spans="1:22" ht="15" customHeight="1" x14ac:dyDescent="0.25">
      <c r="A46" s="15" t="s">
        <v>205</v>
      </c>
      <c r="B46" s="1" t="s">
        <v>206</v>
      </c>
      <c r="C46">
        <v>67</v>
      </c>
      <c r="D46" s="1" t="s">
        <v>82</v>
      </c>
      <c r="E46" s="1" t="s">
        <v>23</v>
      </c>
      <c r="F46" s="1" t="s">
        <v>155</v>
      </c>
      <c r="G46" s="1" t="s">
        <v>25</v>
      </c>
      <c r="H46" s="1" t="s">
        <v>26</v>
      </c>
      <c r="I46" s="7">
        <v>44018</v>
      </c>
      <c r="J46" s="7">
        <v>44027</v>
      </c>
      <c r="K46" s="1">
        <v>9</v>
      </c>
      <c r="L46" s="1" t="s">
        <v>132</v>
      </c>
      <c r="M46" s="1" t="s">
        <v>53</v>
      </c>
      <c r="N46" s="1" t="s">
        <v>29</v>
      </c>
      <c r="O46" s="1" t="s">
        <v>66</v>
      </c>
      <c r="P46" s="29">
        <v>280000</v>
      </c>
      <c r="Q46" s="1" t="s">
        <v>198</v>
      </c>
      <c r="R46" s="1">
        <v>12</v>
      </c>
      <c r="S46" s="1">
        <v>288</v>
      </c>
      <c r="T46" s="1">
        <v>20</v>
      </c>
      <c r="U46" s="1" t="s">
        <v>44</v>
      </c>
      <c r="V46" s="17" t="s">
        <v>45</v>
      </c>
    </row>
    <row r="47" spans="1:22" ht="15" customHeight="1" x14ac:dyDescent="0.25">
      <c r="A47" s="16" t="s">
        <v>207</v>
      </c>
      <c r="B47" s="3" t="s">
        <v>208</v>
      </c>
      <c r="C47">
        <v>57</v>
      </c>
      <c r="D47" s="3" t="s">
        <v>59</v>
      </c>
      <c r="E47" s="3" t="s">
        <v>23</v>
      </c>
      <c r="F47" s="3" t="s">
        <v>24</v>
      </c>
      <c r="G47" s="3" t="s">
        <v>209</v>
      </c>
      <c r="H47" s="3" t="s">
        <v>51</v>
      </c>
      <c r="I47" s="6">
        <v>45229</v>
      </c>
      <c r="J47" s="8">
        <v>45118</v>
      </c>
      <c r="K47" s="3">
        <v>8</v>
      </c>
      <c r="L47" s="3" t="s">
        <v>27</v>
      </c>
      <c r="M47" s="3" t="s">
        <v>28</v>
      </c>
      <c r="N47" s="3" t="s">
        <v>210</v>
      </c>
      <c r="O47" s="3" t="s">
        <v>30</v>
      </c>
      <c r="P47" s="30">
        <v>21315.61</v>
      </c>
      <c r="Q47" s="3" t="s">
        <v>137</v>
      </c>
      <c r="R47" s="3">
        <v>5</v>
      </c>
      <c r="S47" s="3">
        <v>135</v>
      </c>
      <c r="T47" s="3">
        <v>34</v>
      </c>
      <c r="U47" s="3" t="s">
        <v>44</v>
      </c>
      <c r="V47" s="18" t="s">
        <v>33</v>
      </c>
    </row>
    <row r="48" spans="1:22" ht="15" customHeight="1" x14ac:dyDescent="0.25">
      <c r="A48" s="15" t="s">
        <v>211</v>
      </c>
      <c r="B48" s="1" t="s">
        <v>212</v>
      </c>
      <c r="C48">
        <v>63</v>
      </c>
      <c r="D48" s="1" t="s">
        <v>59</v>
      </c>
      <c r="E48" s="1" t="s">
        <v>48</v>
      </c>
      <c r="F48" s="1" t="s">
        <v>37</v>
      </c>
      <c r="G48" s="1" t="s">
        <v>163</v>
      </c>
      <c r="H48" s="1" t="s">
        <v>26</v>
      </c>
      <c r="I48" s="7">
        <v>44432</v>
      </c>
      <c r="J48" s="7">
        <v>44437</v>
      </c>
      <c r="K48" s="1">
        <v>5</v>
      </c>
      <c r="L48" s="1" t="s">
        <v>52</v>
      </c>
      <c r="M48" s="1" t="s">
        <v>53</v>
      </c>
      <c r="N48" s="1" t="s">
        <v>213</v>
      </c>
      <c r="O48" s="1" t="s">
        <v>42</v>
      </c>
      <c r="P48" s="29">
        <v>39452.019999999997</v>
      </c>
      <c r="Q48" s="1" t="s">
        <v>165</v>
      </c>
      <c r="R48" s="1">
        <v>6</v>
      </c>
      <c r="S48" s="1">
        <v>387</v>
      </c>
      <c r="T48" s="4"/>
      <c r="U48" s="1" t="s">
        <v>32</v>
      </c>
      <c r="V48" s="17" t="s">
        <v>33</v>
      </c>
    </row>
    <row r="49" spans="1:22" ht="15" customHeight="1" x14ac:dyDescent="0.25">
      <c r="A49" s="16" t="s">
        <v>214</v>
      </c>
      <c r="B49" s="3" t="s">
        <v>215</v>
      </c>
      <c r="C49">
        <v>72</v>
      </c>
      <c r="D49" s="3" t="s">
        <v>82</v>
      </c>
      <c r="E49" s="3" t="s">
        <v>23</v>
      </c>
      <c r="F49" s="3" t="s">
        <v>37</v>
      </c>
      <c r="G49" s="3" t="s">
        <v>77</v>
      </c>
      <c r="H49" s="3" t="s">
        <v>78</v>
      </c>
      <c r="I49" s="6">
        <v>44889</v>
      </c>
      <c r="J49" s="8">
        <v>44898</v>
      </c>
      <c r="K49" s="3">
        <v>9</v>
      </c>
      <c r="L49" s="3" t="s">
        <v>132</v>
      </c>
      <c r="M49" s="3" t="s">
        <v>53</v>
      </c>
      <c r="N49" s="3" t="s">
        <v>216</v>
      </c>
      <c r="O49" s="3" t="s">
        <v>66</v>
      </c>
      <c r="P49" s="30">
        <v>70179.69</v>
      </c>
      <c r="Q49" s="3" t="s">
        <v>85</v>
      </c>
      <c r="R49" s="3">
        <v>10</v>
      </c>
      <c r="S49" s="3">
        <v>383</v>
      </c>
      <c r="T49" s="3">
        <v>26.2</v>
      </c>
      <c r="U49" s="3" t="s">
        <v>44</v>
      </c>
      <c r="V49" s="18" t="s">
        <v>45</v>
      </c>
    </row>
    <row r="50" spans="1:22" ht="15" customHeight="1" x14ac:dyDescent="0.25">
      <c r="A50" s="15" t="s">
        <v>217</v>
      </c>
      <c r="B50" s="1" t="s">
        <v>218</v>
      </c>
      <c r="C50">
        <v>77</v>
      </c>
      <c r="D50" s="1" t="s">
        <v>36</v>
      </c>
      <c r="E50" s="1" t="s">
        <v>23</v>
      </c>
      <c r="F50" s="1" t="s">
        <v>83</v>
      </c>
      <c r="G50" s="1" t="s">
        <v>77</v>
      </c>
      <c r="H50" s="1" t="s">
        <v>51</v>
      </c>
      <c r="I50" s="7">
        <v>45585</v>
      </c>
      <c r="J50" s="7">
        <v>45589</v>
      </c>
      <c r="K50" s="1">
        <v>4</v>
      </c>
      <c r="L50" s="1" t="s">
        <v>102</v>
      </c>
      <c r="M50" s="1" t="s">
        <v>28</v>
      </c>
      <c r="N50" s="1" t="s">
        <v>94</v>
      </c>
      <c r="O50" s="1" t="s">
        <v>55</v>
      </c>
      <c r="P50" s="29">
        <v>106198.82</v>
      </c>
      <c r="Q50" s="1" t="s">
        <v>95</v>
      </c>
      <c r="R50" s="1">
        <v>7</v>
      </c>
      <c r="S50" s="1">
        <v>110</v>
      </c>
      <c r="T50" s="1">
        <v>28.6</v>
      </c>
      <c r="U50" s="1" t="s">
        <v>86</v>
      </c>
      <c r="V50" s="17" t="s">
        <v>33</v>
      </c>
    </row>
    <row r="51" spans="1:22" ht="15" customHeight="1" x14ac:dyDescent="0.25">
      <c r="A51" s="16" t="s">
        <v>219</v>
      </c>
      <c r="B51" s="3" t="s">
        <v>220</v>
      </c>
      <c r="C51">
        <v>63</v>
      </c>
      <c r="D51" s="3" t="s">
        <v>59</v>
      </c>
      <c r="E51" s="3" t="s">
        <v>23</v>
      </c>
      <c r="F51" s="3" t="s">
        <v>99</v>
      </c>
      <c r="G51" s="3" t="s">
        <v>77</v>
      </c>
      <c r="H51" s="3" t="s">
        <v>78</v>
      </c>
      <c r="I51" s="8">
        <v>43634</v>
      </c>
      <c r="J51" s="8">
        <v>43646</v>
      </c>
      <c r="K51" s="3">
        <v>12</v>
      </c>
      <c r="L51" s="3" t="s">
        <v>112</v>
      </c>
      <c r="M51" s="3" t="s">
        <v>40</v>
      </c>
      <c r="N51" s="3" t="s">
        <v>189</v>
      </c>
      <c r="O51" s="3" t="s">
        <v>30</v>
      </c>
      <c r="P51" s="30">
        <v>36646.76</v>
      </c>
      <c r="Q51" s="3" t="s">
        <v>100</v>
      </c>
      <c r="R51" s="3">
        <v>9</v>
      </c>
      <c r="S51" s="3">
        <v>325</v>
      </c>
      <c r="T51" s="3">
        <v>27.1</v>
      </c>
      <c r="U51" s="3" t="s">
        <v>44</v>
      </c>
      <c r="V51" s="18" t="s">
        <v>33</v>
      </c>
    </row>
    <row r="52" spans="1:22" ht="15" customHeight="1" x14ac:dyDescent="0.25">
      <c r="A52" s="15" t="s">
        <v>221</v>
      </c>
      <c r="B52" s="1" t="s">
        <v>222</v>
      </c>
      <c r="C52">
        <v>85</v>
      </c>
      <c r="D52" s="1" t="s">
        <v>36</v>
      </c>
      <c r="E52" s="1" t="s">
        <v>48</v>
      </c>
      <c r="F52" s="1" t="s">
        <v>99</v>
      </c>
      <c r="G52" s="1" t="s">
        <v>77</v>
      </c>
      <c r="H52" s="1" t="s">
        <v>26</v>
      </c>
      <c r="I52" s="7">
        <v>44140</v>
      </c>
      <c r="J52" s="7">
        <v>44146</v>
      </c>
      <c r="K52" s="1">
        <v>6</v>
      </c>
      <c r="L52" s="1" t="s">
        <v>39</v>
      </c>
      <c r="M52" s="1" t="s">
        <v>40</v>
      </c>
      <c r="N52" s="1" t="s">
        <v>84</v>
      </c>
      <c r="O52" s="1" t="s">
        <v>42</v>
      </c>
      <c r="P52" s="29">
        <v>155516.62</v>
      </c>
      <c r="Q52" s="1" t="s">
        <v>223</v>
      </c>
      <c r="R52" s="1">
        <v>10</v>
      </c>
      <c r="S52" s="1">
        <v>364</v>
      </c>
      <c r="T52" s="1">
        <v>41</v>
      </c>
      <c r="U52" s="1" t="s">
        <v>44</v>
      </c>
      <c r="V52" s="17" t="s">
        <v>45</v>
      </c>
    </row>
    <row r="53" spans="1:22" ht="15" customHeight="1" x14ac:dyDescent="0.25">
      <c r="A53" s="16" t="s">
        <v>224</v>
      </c>
      <c r="B53" s="3" t="s">
        <v>225</v>
      </c>
      <c r="C53">
        <v>64</v>
      </c>
      <c r="D53" s="3" t="s">
        <v>59</v>
      </c>
      <c r="E53" s="3" t="s">
        <v>48</v>
      </c>
      <c r="F53" s="3" t="s">
        <v>24</v>
      </c>
      <c r="G53" s="3" t="s">
        <v>226</v>
      </c>
      <c r="H53" s="3" t="s">
        <v>51</v>
      </c>
      <c r="I53" s="6">
        <v>45109</v>
      </c>
      <c r="J53" s="8">
        <v>44973</v>
      </c>
      <c r="K53" s="3">
        <v>9</v>
      </c>
      <c r="L53" s="3" t="s">
        <v>185</v>
      </c>
      <c r="M53" s="3" t="s">
        <v>186</v>
      </c>
      <c r="N53" s="3" t="s">
        <v>79</v>
      </c>
      <c r="O53" s="3" t="s">
        <v>104</v>
      </c>
      <c r="P53" s="30">
        <v>28676.22</v>
      </c>
      <c r="Q53" s="3" t="s">
        <v>223</v>
      </c>
      <c r="R53" s="3">
        <v>10</v>
      </c>
      <c r="S53" s="3">
        <v>125</v>
      </c>
      <c r="T53" s="3">
        <v>23.1</v>
      </c>
      <c r="U53" s="3" t="s">
        <v>44</v>
      </c>
      <c r="V53" s="18" t="s">
        <v>33</v>
      </c>
    </row>
    <row r="54" spans="1:22" ht="15" customHeight="1" x14ac:dyDescent="0.25">
      <c r="A54" s="15" t="s">
        <v>227</v>
      </c>
      <c r="B54" s="1" t="s">
        <v>228</v>
      </c>
      <c r="C54">
        <v>72</v>
      </c>
      <c r="D54" s="1" t="s">
        <v>82</v>
      </c>
      <c r="E54" s="1" t="s">
        <v>23</v>
      </c>
      <c r="F54" s="1" t="s">
        <v>155</v>
      </c>
      <c r="G54" s="1" t="s">
        <v>226</v>
      </c>
      <c r="H54" s="1" t="s">
        <v>26</v>
      </c>
      <c r="I54" s="6">
        <v>44839</v>
      </c>
      <c r="J54" s="7">
        <v>44706</v>
      </c>
      <c r="K54" s="1">
        <v>15</v>
      </c>
      <c r="L54" s="1" t="s">
        <v>112</v>
      </c>
      <c r="M54" s="1" t="s">
        <v>40</v>
      </c>
      <c r="N54" s="1" t="s">
        <v>79</v>
      </c>
      <c r="O54" s="1" t="s">
        <v>30</v>
      </c>
      <c r="P54" s="29">
        <v>78056.36</v>
      </c>
      <c r="Q54" s="1" t="s">
        <v>123</v>
      </c>
      <c r="R54" s="1">
        <v>10</v>
      </c>
      <c r="S54" s="1">
        <v>399</v>
      </c>
      <c r="T54" s="1">
        <v>32.799999999999997</v>
      </c>
      <c r="U54" s="1" t="s">
        <v>86</v>
      </c>
      <c r="V54" s="17" t="s">
        <v>33</v>
      </c>
    </row>
    <row r="55" spans="1:22" ht="15" customHeight="1" x14ac:dyDescent="0.25">
      <c r="A55" s="16" t="s">
        <v>229</v>
      </c>
      <c r="B55" s="3" t="s">
        <v>230</v>
      </c>
      <c r="C55">
        <v>64</v>
      </c>
      <c r="D55" s="3" t="s">
        <v>59</v>
      </c>
      <c r="E55" s="3" t="s">
        <v>48</v>
      </c>
      <c r="F55" s="3" t="s">
        <v>76</v>
      </c>
      <c r="G55" s="3" t="s">
        <v>38</v>
      </c>
      <c r="H55" s="3" t="s">
        <v>26</v>
      </c>
      <c r="I55" s="8">
        <v>43543</v>
      </c>
      <c r="J55" s="8">
        <v>43549</v>
      </c>
      <c r="K55" s="3">
        <v>6</v>
      </c>
      <c r="L55" s="3" t="s">
        <v>231</v>
      </c>
      <c r="M55" s="3" t="s">
        <v>53</v>
      </c>
      <c r="N55" s="3" t="s">
        <v>41</v>
      </c>
      <c r="O55" s="3" t="s">
        <v>30</v>
      </c>
      <c r="P55" s="30">
        <v>16548.53</v>
      </c>
      <c r="Q55" s="3" t="s">
        <v>204</v>
      </c>
      <c r="R55" s="3">
        <v>5</v>
      </c>
      <c r="S55" s="3">
        <v>188</v>
      </c>
      <c r="T55" s="3">
        <v>33.700000000000003</v>
      </c>
      <c r="U55" s="3" t="s">
        <v>32</v>
      </c>
      <c r="V55" s="18" t="s">
        <v>33</v>
      </c>
    </row>
    <row r="56" spans="1:22" ht="15" customHeight="1" x14ac:dyDescent="0.25">
      <c r="A56" s="15" t="s">
        <v>232</v>
      </c>
      <c r="B56" s="1" t="s">
        <v>233</v>
      </c>
      <c r="C56">
        <v>83</v>
      </c>
      <c r="D56" s="1" t="s">
        <v>36</v>
      </c>
      <c r="E56" s="1" t="s">
        <v>48</v>
      </c>
      <c r="F56" s="1" t="s">
        <v>49</v>
      </c>
      <c r="G56" s="1" t="s">
        <v>163</v>
      </c>
      <c r="H56" s="1" t="s">
        <v>51</v>
      </c>
      <c r="I56" s="7">
        <v>44649</v>
      </c>
      <c r="J56" s="7">
        <v>44654</v>
      </c>
      <c r="K56" s="1">
        <v>5</v>
      </c>
      <c r="L56" s="1" t="s">
        <v>89</v>
      </c>
      <c r="M56" s="1" t="s">
        <v>90</v>
      </c>
      <c r="N56" s="1" t="s">
        <v>213</v>
      </c>
      <c r="O56" s="1" t="s">
        <v>30</v>
      </c>
      <c r="P56" s="29">
        <v>21479.37</v>
      </c>
      <c r="Q56" s="1" t="s">
        <v>234</v>
      </c>
      <c r="R56" s="1">
        <v>5</v>
      </c>
      <c r="S56" s="1">
        <v>183</v>
      </c>
      <c r="T56" s="1">
        <v>28.3</v>
      </c>
      <c r="U56" s="1" t="s">
        <v>32</v>
      </c>
      <c r="V56" s="17" t="s">
        <v>33</v>
      </c>
    </row>
    <row r="57" spans="1:22" ht="15" customHeight="1" x14ac:dyDescent="0.25">
      <c r="A57" s="16" t="s">
        <v>235</v>
      </c>
      <c r="B57" s="2" t="s">
        <v>3572</v>
      </c>
      <c r="C57">
        <v>83</v>
      </c>
      <c r="D57" s="3" t="s">
        <v>36</v>
      </c>
      <c r="E57" s="3" t="s">
        <v>23</v>
      </c>
      <c r="F57" s="3" t="s">
        <v>155</v>
      </c>
      <c r="G57" s="3" t="s">
        <v>38</v>
      </c>
      <c r="H57" s="3" t="s">
        <v>26</v>
      </c>
      <c r="I57" s="6">
        <v>44818</v>
      </c>
      <c r="J57" s="8">
        <v>44826</v>
      </c>
      <c r="K57" s="3">
        <v>8</v>
      </c>
      <c r="L57" s="3" t="s">
        <v>27</v>
      </c>
      <c r="M57" s="3" t="s">
        <v>28</v>
      </c>
      <c r="N57" s="3" t="s">
        <v>203</v>
      </c>
      <c r="O57" s="3" t="s">
        <v>30</v>
      </c>
      <c r="P57" s="30">
        <v>45972.53</v>
      </c>
      <c r="Q57" s="3" t="s">
        <v>236</v>
      </c>
      <c r="R57" s="3">
        <v>8</v>
      </c>
      <c r="S57" s="3">
        <v>433</v>
      </c>
      <c r="T57" s="3">
        <v>25.1</v>
      </c>
      <c r="U57" s="3" t="s">
        <v>32</v>
      </c>
      <c r="V57" s="18" t="s">
        <v>45</v>
      </c>
    </row>
    <row r="58" spans="1:22" ht="15" customHeight="1" x14ac:dyDescent="0.25">
      <c r="A58" s="15" t="s">
        <v>237</v>
      </c>
      <c r="B58" s="1" t="s">
        <v>238</v>
      </c>
      <c r="C58">
        <v>80</v>
      </c>
      <c r="D58" s="1" t="s">
        <v>36</v>
      </c>
      <c r="E58" s="1" t="s">
        <v>23</v>
      </c>
      <c r="F58" s="1" t="s">
        <v>99</v>
      </c>
      <c r="G58" s="1" t="s">
        <v>60</v>
      </c>
      <c r="H58" s="1" t="s">
        <v>78</v>
      </c>
      <c r="I58" s="7">
        <v>44651</v>
      </c>
      <c r="J58" s="7">
        <v>44657</v>
      </c>
      <c r="K58" s="1">
        <v>6</v>
      </c>
      <c r="L58" s="1" t="s">
        <v>102</v>
      </c>
      <c r="M58" s="1" t="s">
        <v>28</v>
      </c>
      <c r="N58" s="1" t="s">
        <v>61</v>
      </c>
      <c r="O58" s="1" t="s">
        <v>55</v>
      </c>
      <c r="P58" s="29">
        <v>47689.120000000003</v>
      </c>
      <c r="Q58" s="1" t="s">
        <v>105</v>
      </c>
      <c r="R58" s="1">
        <v>6</v>
      </c>
      <c r="S58" s="1">
        <v>477</v>
      </c>
      <c r="T58" s="1">
        <v>28.6</v>
      </c>
      <c r="U58" s="1" t="s">
        <v>32</v>
      </c>
      <c r="V58" s="17" t="s">
        <v>33</v>
      </c>
    </row>
    <row r="59" spans="1:22" ht="15" customHeight="1" x14ac:dyDescent="0.25">
      <c r="A59" s="16" t="s">
        <v>239</v>
      </c>
      <c r="B59" s="2" t="s">
        <v>3573</v>
      </c>
      <c r="C59">
        <v>71</v>
      </c>
      <c r="D59" s="3" t="s">
        <v>82</v>
      </c>
      <c r="E59" s="3" t="s">
        <v>48</v>
      </c>
      <c r="F59" s="3" t="s">
        <v>99</v>
      </c>
      <c r="G59" s="3" t="s">
        <v>77</v>
      </c>
      <c r="H59" s="3" t="s">
        <v>26</v>
      </c>
      <c r="I59" s="8">
        <v>44873</v>
      </c>
      <c r="J59" s="8">
        <v>44886</v>
      </c>
      <c r="K59" s="3">
        <v>13</v>
      </c>
      <c r="L59" s="3" t="s">
        <v>185</v>
      </c>
      <c r="M59" s="3" t="s">
        <v>186</v>
      </c>
      <c r="N59" s="3" t="s">
        <v>94</v>
      </c>
      <c r="O59" s="3" t="s">
        <v>30</v>
      </c>
      <c r="P59" s="30">
        <v>90792.85</v>
      </c>
      <c r="Q59" s="3" t="s">
        <v>123</v>
      </c>
      <c r="R59" s="3">
        <v>9</v>
      </c>
      <c r="S59" s="3">
        <v>337</v>
      </c>
      <c r="T59" s="3">
        <v>33.4</v>
      </c>
      <c r="U59" s="3" t="s">
        <v>44</v>
      </c>
      <c r="V59" s="18" t="s">
        <v>45</v>
      </c>
    </row>
    <row r="60" spans="1:22" ht="15" customHeight="1" x14ac:dyDescent="0.25">
      <c r="A60" s="15" t="s">
        <v>240</v>
      </c>
      <c r="B60" s="1" t="s">
        <v>241</v>
      </c>
      <c r="C60">
        <v>64</v>
      </c>
      <c r="D60" s="1" t="s">
        <v>59</v>
      </c>
      <c r="E60" s="1" t="s">
        <v>23</v>
      </c>
      <c r="F60" s="1" t="s">
        <v>155</v>
      </c>
      <c r="G60" s="1" t="s">
        <v>38</v>
      </c>
      <c r="H60" s="1" t="s">
        <v>51</v>
      </c>
      <c r="I60" s="7">
        <v>43801</v>
      </c>
      <c r="J60" s="7">
        <v>43804</v>
      </c>
      <c r="K60" s="1">
        <v>3</v>
      </c>
      <c r="L60" s="1" t="s">
        <v>231</v>
      </c>
      <c r="M60" s="1" t="s">
        <v>53</v>
      </c>
      <c r="N60" s="1" t="s">
        <v>173</v>
      </c>
      <c r="O60" s="1" t="s">
        <v>42</v>
      </c>
      <c r="P60" s="29">
        <v>11521.77</v>
      </c>
      <c r="Q60" s="1" t="s">
        <v>119</v>
      </c>
      <c r="R60" s="1">
        <v>8</v>
      </c>
      <c r="S60" s="1">
        <v>153</v>
      </c>
      <c r="T60" s="1">
        <v>28.8</v>
      </c>
      <c r="U60" s="1" t="s">
        <v>44</v>
      </c>
      <c r="V60" s="17" t="s">
        <v>33</v>
      </c>
    </row>
    <row r="61" spans="1:22" ht="15" customHeight="1" x14ac:dyDescent="0.25">
      <c r="A61" s="16" t="s">
        <v>242</v>
      </c>
      <c r="B61" s="3" t="s">
        <v>243</v>
      </c>
      <c r="C61">
        <v>71</v>
      </c>
      <c r="D61" s="3" t="s">
        <v>82</v>
      </c>
      <c r="E61" s="3" t="s">
        <v>23</v>
      </c>
      <c r="F61" s="3" t="s">
        <v>70</v>
      </c>
      <c r="G61" s="3" t="s">
        <v>50</v>
      </c>
      <c r="H61" s="3" t="s">
        <v>51</v>
      </c>
      <c r="I61" s="6">
        <v>43712</v>
      </c>
      <c r="J61" s="8">
        <v>43717</v>
      </c>
      <c r="K61" s="3">
        <v>5</v>
      </c>
      <c r="L61" s="3" t="s">
        <v>122</v>
      </c>
      <c r="M61" s="3" t="s">
        <v>40</v>
      </c>
      <c r="N61" s="3" t="s">
        <v>126</v>
      </c>
      <c r="O61" s="3" t="s">
        <v>104</v>
      </c>
      <c r="P61" s="30">
        <v>15802.54</v>
      </c>
      <c r="Q61" s="3" t="s">
        <v>144</v>
      </c>
      <c r="R61" s="3">
        <v>7</v>
      </c>
      <c r="S61" s="3">
        <v>128</v>
      </c>
      <c r="T61" s="3">
        <v>31.4</v>
      </c>
      <c r="U61" s="3" t="s">
        <v>44</v>
      </c>
      <c r="V61" s="18" t="s">
        <v>33</v>
      </c>
    </row>
    <row r="62" spans="1:22" ht="15" customHeight="1" x14ac:dyDescent="0.25">
      <c r="A62" s="15" t="s">
        <v>244</v>
      </c>
      <c r="B62" s="1" t="s">
        <v>245</v>
      </c>
      <c r="C62">
        <v>71</v>
      </c>
      <c r="D62" s="1" t="s">
        <v>82</v>
      </c>
      <c r="E62" s="1" t="s">
        <v>23</v>
      </c>
      <c r="F62" s="1" t="s">
        <v>155</v>
      </c>
      <c r="G62" s="1" t="s">
        <v>38</v>
      </c>
      <c r="H62" s="1" t="s">
        <v>78</v>
      </c>
      <c r="I62" s="6">
        <v>44016</v>
      </c>
      <c r="J62" s="7">
        <v>43943</v>
      </c>
      <c r="K62" s="1">
        <v>15</v>
      </c>
      <c r="L62" s="1" t="s">
        <v>112</v>
      </c>
      <c r="M62" s="1" t="s">
        <v>40</v>
      </c>
      <c r="N62" s="1" t="s">
        <v>41</v>
      </c>
      <c r="O62" s="1" t="s">
        <v>30</v>
      </c>
      <c r="P62" s="29">
        <v>19125.810000000001</v>
      </c>
      <c r="Q62" s="1" t="s">
        <v>204</v>
      </c>
      <c r="R62" s="1">
        <v>7</v>
      </c>
      <c r="S62" s="1">
        <v>219</v>
      </c>
      <c r="T62" s="1">
        <v>22.6</v>
      </c>
      <c r="U62" s="1" t="s">
        <v>44</v>
      </c>
      <c r="V62" s="17" t="s">
        <v>45</v>
      </c>
    </row>
    <row r="63" spans="1:22" ht="15" customHeight="1" x14ac:dyDescent="0.25">
      <c r="A63" s="16" t="s">
        <v>246</v>
      </c>
      <c r="B63" s="3" t="s">
        <v>247</v>
      </c>
      <c r="C63">
        <v>70</v>
      </c>
      <c r="D63" s="3" t="s">
        <v>82</v>
      </c>
      <c r="E63" s="3" t="s">
        <v>23</v>
      </c>
      <c r="F63" s="3" t="s">
        <v>83</v>
      </c>
      <c r="G63" s="3" t="s">
        <v>25</v>
      </c>
      <c r="H63" s="3" t="s">
        <v>51</v>
      </c>
      <c r="I63" s="6">
        <v>45215</v>
      </c>
      <c r="J63" s="8">
        <v>45227</v>
      </c>
      <c r="K63" s="3">
        <v>12</v>
      </c>
      <c r="L63" s="3" t="s">
        <v>102</v>
      </c>
      <c r="M63" s="3" t="s">
        <v>28</v>
      </c>
      <c r="N63" s="3" t="s">
        <v>248</v>
      </c>
      <c r="O63" s="3" t="s">
        <v>30</v>
      </c>
      <c r="P63" s="30">
        <v>66183.62</v>
      </c>
      <c r="Q63" s="3" t="s">
        <v>249</v>
      </c>
      <c r="R63" s="3">
        <v>11</v>
      </c>
      <c r="S63" s="3">
        <v>118</v>
      </c>
      <c r="T63" s="3">
        <v>17.7</v>
      </c>
      <c r="U63" s="3" t="s">
        <v>44</v>
      </c>
      <c r="V63" s="18" t="s">
        <v>33</v>
      </c>
    </row>
    <row r="64" spans="1:22" ht="15" customHeight="1" x14ac:dyDescent="0.25">
      <c r="A64" s="15" t="s">
        <v>250</v>
      </c>
      <c r="B64" s="1" t="s">
        <v>251</v>
      </c>
      <c r="C64">
        <v>67</v>
      </c>
      <c r="D64" s="1" t="s">
        <v>82</v>
      </c>
      <c r="E64" s="1" t="s">
        <v>23</v>
      </c>
      <c r="F64" s="1" t="s">
        <v>83</v>
      </c>
      <c r="G64" s="1" t="s">
        <v>60</v>
      </c>
      <c r="H64" s="1" t="s">
        <v>26</v>
      </c>
      <c r="I64" s="7">
        <v>44246</v>
      </c>
      <c r="J64" s="7">
        <v>44249</v>
      </c>
      <c r="K64" s="1">
        <v>3</v>
      </c>
      <c r="L64" s="1" t="s">
        <v>185</v>
      </c>
      <c r="M64" s="1" t="s">
        <v>186</v>
      </c>
      <c r="N64" s="1" t="s">
        <v>61</v>
      </c>
      <c r="O64" s="1" t="s">
        <v>66</v>
      </c>
      <c r="P64" s="29">
        <v>131711.41</v>
      </c>
      <c r="Q64" s="1" t="s">
        <v>170</v>
      </c>
      <c r="R64" s="1">
        <v>6</v>
      </c>
      <c r="S64" s="1">
        <v>482</v>
      </c>
      <c r="T64" s="4"/>
      <c r="U64" s="1" t="s">
        <v>32</v>
      </c>
      <c r="V64" s="17" t="s">
        <v>33</v>
      </c>
    </row>
    <row r="65" spans="1:22" ht="15" customHeight="1" x14ac:dyDescent="0.25">
      <c r="A65" s="16" t="s">
        <v>252</v>
      </c>
      <c r="B65" s="3" t="s">
        <v>253</v>
      </c>
      <c r="C65">
        <v>42</v>
      </c>
      <c r="D65" s="3" t="s">
        <v>98</v>
      </c>
      <c r="E65" s="3" t="s">
        <v>48</v>
      </c>
      <c r="F65" s="3" t="s">
        <v>99</v>
      </c>
      <c r="G65" s="3" t="s">
        <v>25</v>
      </c>
      <c r="H65" s="3" t="s">
        <v>78</v>
      </c>
      <c r="I65" s="6">
        <v>45374</v>
      </c>
      <c r="J65" s="8">
        <v>45387</v>
      </c>
      <c r="K65" s="3">
        <v>13</v>
      </c>
      <c r="L65" s="3" t="s">
        <v>39</v>
      </c>
      <c r="M65" s="3" t="s">
        <v>40</v>
      </c>
      <c r="N65" s="3" t="s">
        <v>29</v>
      </c>
      <c r="O65" s="3" t="s">
        <v>30</v>
      </c>
      <c r="P65" s="30">
        <v>38656.6</v>
      </c>
      <c r="Q65" s="3" t="s">
        <v>249</v>
      </c>
      <c r="R65" s="3">
        <v>12</v>
      </c>
      <c r="S65" s="3">
        <v>391</v>
      </c>
      <c r="T65" s="3">
        <v>25.8</v>
      </c>
      <c r="U65" s="3" t="s">
        <v>44</v>
      </c>
      <c r="V65" s="18" t="s">
        <v>33</v>
      </c>
    </row>
    <row r="66" spans="1:22" ht="15" customHeight="1" x14ac:dyDescent="0.25">
      <c r="A66" s="15" t="s">
        <v>254</v>
      </c>
      <c r="B66" s="1" t="s">
        <v>255</v>
      </c>
      <c r="C66">
        <v>50</v>
      </c>
      <c r="D66" s="1" t="s">
        <v>98</v>
      </c>
      <c r="E66" s="1" t="s">
        <v>48</v>
      </c>
      <c r="F66" s="1" t="s">
        <v>76</v>
      </c>
      <c r="G66" s="1" t="s">
        <v>256</v>
      </c>
      <c r="H66" s="1" t="s">
        <v>51</v>
      </c>
      <c r="I66" s="6">
        <v>43706</v>
      </c>
      <c r="J66" s="7">
        <v>43711</v>
      </c>
      <c r="K66" s="1">
        <v>5</v>
      </c>
      <c r="L66" s="1" t="s">
        <v>39</v>
      </c>
      <c r="M66" s="1" t="s">
        <v>40</v>
      </c>
      <c r="N66" s="1" t="s">
        <v>164</v>
      </c>
      <c r="O66" s="1" t="s">
        <v>30</v>
      </c>
      <c r="P66" s="29">
        <v>19483.54</v>
      </c>
      <c r="Q66" s="1" t="s">
        <v>257</v>
      </c>
      <c r="R66" s="1">
        <v>6</v>
      </c>
      <c r="S66" s="1">
        <v>100</v>
      </c>
      <c r="T66" s="1">
        <v>21.6</v>
      </c>
      <c r="U66" s="1" t="s">
        <v>32</v>
      </c>
      <c r="V66" s="17" t="s">
        <v>33</v>
      </c>
    </row>
    <row r="67" spans="1:22" ht="15" customHeight="1" x14ac:dyDescent="0.25">
      <c r="A67" s="16" t="s">
        <v>258</v>
      </c>
      <c r="B67" s="2" t="s">
        <v>1074</v>
      </c>
      <c r="C67">
        <v>59</v>
      </c>
      <c r="D67" s="3" t="s">
        <v>59</v>
      </c>
      <c r="E67" s="3" t="s">
        <v>23</v>
      </c>
      <c r="F67" s="3" t="s">
        <v>155</v>
      </c>
      <c r="G67" s="3" t="s">
        <v>256</v>
      </c>
      <c r="H67" s="3" t="s">
        <v>51</v>
      </c>
      <c r="I67" s="6">
        <v>44499</v>
      </c>
      <c r="J67" s="8">
        <v>44501</v>
      </c>
      <c r="K67" s="3">
        <v>2</v>
      </c>
      <c r="L67" s="3" t="s">
        <v>185</v>
      </c>
      <c r="M67" s="3" t="s">
        <v>186</v>
      </c>
      <c r="N67" s="3" t="s">
        <v>213</v>
      </c>
      <c r="O67" s="3" t="s">
        <v>42</v>
      </c>
      <c r="P67" s="30">
        <v>25311.599999999999</v>
      </c>
      <c r="Q67" s="3" t="s">
        <v>259</v>
      </c>
      <c r="R67" s="3">
        <v>6</v>
      </c>
      <c r="S67" s="3">
        <v>148</v>
      </c>
      <c r="T67" s="3">
        <v>27.4</v>
      </c>
      <c r="U67" s="3" t="s">
        <v>86</v>
      </c>
      <c r="V67" s="18" t="s">
        <v>33</v>
      </c>
    </row>
    <row r="68" spans="1:22" ht="15" customHeight="1" x14ac:dyDescent="0.25">
      <c r="A68" s="15" t="s">
        <v>260</v>
      </c>
      <c r="B68" s="1" t="s">
        <v>261</v>
      </c>
      <c r="C68">
        <v>61</v>
      </c>
      <c r="D68" s="1" t="s">
        <v>59</v>
      </c>
      <c r="E68" s="1" t="s">
        <v>48</v>
      </c>
      <c r="F68" s="1" t="s">
        <v>24</v>
      </c>
      <c r="G68" s="1" t="s">
        <v>77</v>
      </c>
      <c r="H68" s="1" t="s">
        <v>26</v>
      </c>
      <c r="I68" s="6">
        <v>45296</v>
      </c>
      <c r="J68" s="7">
        <v>45424</v>
      </c>
      <c r="K68" s="1">
        <v>11</v>
      </c>
      <c r="L68" s="1" t="s">
        <v>185</v>
      </c>
      <c r="M68" s="1" t="s">
        <v>186</v>
      </c>
      <c r="N68" s="1" t="s">
        <v>94</v>
      </c>
      <c r="O68" s="1" t="s">
        <v>55</v>
      </c>
      <c r="P68" s="29">
        <v>67729.740000000005</v>
      </c>
      <c r="Q68" s="1" t="s">
        <v>181</v>
      </c>
      <c r="R68" s="1">
        <v>9</v>
      </c>
      <c r="S68" s="1">
        <v>388</v>
      </c>
      <c r="T68" s="1">
        <v>23.4</v>
      </c>
      <c r="U68" s="1" t="s">
        <v>86</v>
      </c>
      <c r="V68" s="17" t="s">
        <v>33</v>
      </c>
    </row>
    <row r="69" spans="1:22" ht="15" customHeight="1" x14ac:dyDescent="0.25">
      <c r="A69" s="16" t="s">
        <v>262</v>
      </c>
      <c r="B69" s="2" t="s">
        <v>3574</v>
      </c>
      <c r="C69">
        <v>56</v>
      </c>
      <c r="D69" s="3" t="s">
        <v>59</v>
      </c>
      <c r="E69" s="3" t="s">
        <v>23</v>
      </c>
      <c r="F69" s="3" t="s">
        <v>70</v>
      </c>
      <c r="G69" s="3" t="s">
        <v>77</v>
      </c>
      <c r="H69" s="3" t="s">
        <v>26</v>
      </c>
      <c r="I69" s="8">
        <v>45003</v>
      </c>
      <c r="J69" s="8">
        <v>45011</v>
      </c>
      <c r="K69" s="3">
        <v>8</v>
      </c>
      <c r="L69" s="3" t="s">
        <v>89</v>
      </c>
      <c r="M69" s="3" t="s">
        <v>90</v>
      </c>
      <c r="N69" s="3" t="s">
        <v>84</v>
      </c>
      <c r="O69" s="3" t="s">
        <v>55</v>
      </c>
      <c r="P69" s="30">
        <v>40486.93</v>
      </c>
      <c r="Q69" s="3" t="s">
        <v>91</v>
      </c>
      <c r="R69" s="3">
        <v>10</v>
      </c>
      <c r="S69" s="3">
        <v>339</v>
      </c>
      <c r="T69" s="3">
        <v>28.3</v>
      </c>
      <c r="U69" s="3" t="s">
        <v>44</v>
      </c>
      <c r="V69" s="18" t="s">
        <v>33</v>
      </c>
    </row>
    <row r="70" spans="1:22" ht="15" customHeight="1" x14ac:dyDescent="0.25">
      <c r="A70" s="15" t="s">
        <v>263</v>
      </c>
      <c r="B70" s="2" t="s">
        <v>2625</v>
      </c>
      <c r="C70">
        <v>63</v>
      </c>
      <c r="D70" s="1" t="s">
        <v>59</v>
      </c>
      <c r="E70" s="1" t="s">
        <v>23</v>
      </c>
      <c r="F70" s="1" t="s">
        <v>49</v>
      </c>
      <c r="G70" s="1" t="s">
        <v>77</v>
      </c>
      <c r="H70" s="1" t="s">
        <v>51</v>
      </c>
      <c r="I70" s="6">
        <v>43516</v>
      </c>
      <c r="J70" s="7">
        <v>43522</v>
      </c>
      <c r="K70" s="1">
        <v>6</v>
      </c>
      <c r="L70" s="1" t="s">
        <v>39</v>
      </c>
      <c r="M70" s="1" t="s">
        <v>40</v>
      </c>
      <c r="N70" s="1" t="s">
        <v>84</v>
      </c>
      <c r="O70" s="1" t="s">
        <v>42</v>
      </c>
      <c r="P70" s="29">
        <v>33642</v>
      </c>
      <c r="Q70" s="1" t="s">
        <v>100</v>
      </c>
      <c r="R70" s="1">
        <v>10</v>
      </c>
      <c r="S70" s="1">
        <v>163</v>
      </c>
      <c r="T70" s="1">
        <v>33.299999999999997</v>
      </c>
      <c r="U70" s="1" t="s">
        <v>44</v>
      </c>
      <c r="V70" s="17" t="s">
        <v>45</v>
      </c>
    </row>
    <row r="71" spans="1:22" ht="15" customHeight="1" x14ac:dyDescent="0.25">
      <c r="A71" s="16" t="s">
        <v>264</v>
      </c>
      <c r="B71" s="3" t="s">
        <v>265</v>
      </c>
      <c r="C71">
        <v>85</v>
      </c>
      <c r="D71" s="3" t="s">
        <v>36</v>
      </c>
      <c r="E71" s="3" t="s">
        <v>48</v>
      </c>
      <c r="F71" s="3" t="s">
        <v>24</v>
      </c>
      <c r="G71" s="3" t="s">
        <v>131</v>
      </c>
      <c r="H71" s="3" t="s">
        <v>156</v>
      </c>
      <c r="I71" s="6">
        <v>45253</v>
      </c>
      <c r="J71" s="8">
        <v>45257</v>
      </c>
      <c r="K71" s="3">
        <v>4</v>
      </c>
      <c r="L71" s="3" t="s">
        <v>102</v>
      </c>
      <c r="M71" s="3" t="s">
        <v>28</v>
      </c>
      <c r="N71" s="3" t="s">
        <v>157</v>
      </c>
      <c r="O71" s="3" t="s">
        <v>55</v>
      </c>
      <c r="P71" s="30">
        <v>43456.58</v>
      </c>
      <c r="Q71" s="3" t="s">
        <v>266</v>
      </c>
      <c r="R71" s="3">
        <v>5</v>
      </c>
      <c r="S71" s="3">
        <v>202</v>
      </c>
      <c r="T71" s="3">
        <v>27.8</v>
      </c>
      <c r="U71" s="3" t="s">
        <v>44</v>
      </c>
      <c r="V71" s="18" t="s">
        <v>45</v>
      </c>
    </row>
    <row r="72" spans="1:22" ht="15" customHeight="1" x14ac:dyDescent="0.25">
      <c r="A72" s="15" t="s">
        <v>267</v>
      </c>
      <c r="B72" s="1" t="s">
        <v>268</v>
      </c>
      <c r="C72">
        <v>89</v>
      </c>
      <c r="D72" s="1" t="s">
        <v>36</v>
      </c>
      <c r="E72" s="1" t="s">
        <v>48</v>
      </c>
      <c r="F72" s="1" t="s">
        <v>24</v>
      </c>
      <c r="G72" s="1" t="s">
        <v>25</v>
      </c>
      <c r="H72" s="1" t="s">
        <v>51</v>
      </c>
      <c r="I72" s="6">
        <v>45481</v>
      </c>
      <c r="J72" s="7">
        <v>45517</v>
      </c>
      <c r="K72" s="1">
        <v>6</v>
      </c>
      <c r="L72" s="1" t="s">
        <v>185</v>
      </c>
      <c r="M72" s="1" t="s">
        <v>186</v>
      </c>
      <c r="N72" s="1" t="s">
        <v>248</v>
      </c>
      <c r="O72" s="1" t="s">
        <v>55</v>
      </c>
      <c r="P72" s="29">
        <v>63692.32</v>
      </c>
      <c r="Q72" s="1" t="s">
        <v>269</v>
      </c>
      <c r="R72" s="1">
        <v>12</v>
      </c>
      <c r="S72" s="1">
        <v>176</v>
      </c>
      <c r="T72" s="1">
        <v>29</v>
      </c>
      <c r="U72" s="1" t="s">
        <v>44</v>
      </c>
      <c r="V72" s="17" t="s">
        <v>33</v>
      </c>
    </row>
    <row r="73" spans="1:22" ht="15" customHeight="1" x14ac:dyDescent="0.25">
      <c r="A73" s="16" t="s">
        <v>270</v>
      </c>
      <c r="B73" s="3" t="s">
        <v>271</v>
      </c>
      <c r="C73">
        <v>64</v>
      </c>
      <c r="D73" s="3" t="s">
        <v>59</v>
      </c>
      <c r="E73" s="3" t="s">
        <v>23</v>
      </c>
      <c r="F73" s="3" t="s">
        <v>49</v>
      </c>
      <c r="G73" s="3" t="s">
        <v>25</v>
      </c>
      <c r="H73" s="3" t="s">
        <v>51</v>
      </c>
      <c r="I73" s="8">
        <v>45590</v>
      </c>
      <c r="J73" s="8">
        <v>45603</v>
      </c>
      <c r="K73" s="3">
        <v>13</v>
      </c>
      <c r="L73" s="3" t="s">
        <v>102</v>
      </c>
      <c r="M73" s="3" t="s">
        <v>28</v>
      </c>
      <c r="N73" s="3" t="s">
        <v>248</v>
      </c>
      <c r="O73" s="3" t="s">
        <v>30</v>
      </c>
      <c r="P73" s="30">
        <v>38791.58</v>
      </c>
      <c r="Q73" s="3" t="s">
        <v>31</v>
      </c>
      <c r="R73" s="3">
        <v>12</v>
      </c>
      <c r="S73" s="3">
        <v>118</v>
      </c>
      <c r="T73" s="3">
        <v>20.5</v>
      </c>
      <c r="U73" s="3" t="s">
        <v>44</v>
      </c>
      <c r="V73" s="18" t="s">
        <v>33</v>
      </c>
    </row>
    <row r="74" spans="1:22" ht="15" customHeight="1" x14ac:dyDescent="0.25">
      <c r="A74" s="15" t="s">
        <v>272</v>
      </c>
      <c r="B74" s="2" t="s">
        <v>3575</v>
      </c>
      <c r="C74">
        <v>56</v>
      </c>
      <c r="D74" s="1" t="s">
        <v>59</v>
      </c>
      <c r="E74" s="1" t="s">
        <v>23</v>
      </c>
      <c r="F74" s="1" t="s">
        <v>83</v>
      </c>
      <c r="G74" s="1" t="s">
        <v>38</v>
      </c>
      <c r="H74" s="1" t="s">
        <v>78</v>
      </c>
      <c r="I74" s="7">
        <v>43913</v>
      </c>
      <c r="J74" s="7">
        <v>43917</v>
      </c>
      <c r="K74" s="1">
        <v>4</v>
      </c>
      <c r="L74" s="1" t="s">
        <v>122</v>
      </c>
      <c r="M74" s="1" t="s">
        <v>40</v>
      </c>
      <c r="N74" s="1" t="s">
        <v>41</v>
      </c>
      <c r="O74" s="1" t="s">
        <v>55</v>
      </c>
      <c r="P74" s="29">
        <v>11927.11</v>
      </c>
      <c r="Q74" s="1" t="s">
        <v>236</v>
      </c>
      <c r="R74" s="1">
        <v>8</v>
      </c>
      <c r="S74" s="1">
        <v>299</v>
      </c>
      <c r="T74" s="1">
        <v>35.299999999999997</v>
      </c>
      <c r="U74" s="1" t="s">
        <v>32</v>
      </c>
      <c r="V74" s="17" t="s">
        <v>33</v>
      </c>
    </row>
    <row r="75" spans="1:22" ht="15" customHeight="1" x14ac:dyDescent="0.25">
      <c r="A75" s="16" t="s">
        <v>273</v>
      </c>
      <c r="B75" s="3" t="s">
        <v>274</v>
      </c>
      <c r="C75">
        <v>74</v>
      </c>
      <c r="D75" s="3" t="s">
        <v>82</v>
      </c>
      <c r="E75" s="3" t="s">
        <v>23</v>
      </c>
      <c r="F75" s="3" t="s">
        <v>24</v>
      </c>
      <c r="G75" s="3" t="s">
        <v>163</v>
      </c>
      <c r="H75" s="3" t="s">
        <v>51</v>
      </c>
      <c r="I75" s="8">
        <v>44749</v>
      </c>
      <c r="J75" s="8">
        <v>44755</v>
      </c>
      <c r="K75" s="3">
        <v>6</v>
      </c>
      <c r="L75" s="3" t="s">
        <v>132</v>
      </c>
      <c r="M75" s="3" t="s">
        <v>53</v>
      </c>
      <c r="N75" s="3" t="s">
        <v>213</v>
      </c>
      <c r="O75" s="3" t="s">
        <v>30</v>
      </c>
      <c r="P75" s="30">
        <v>15260.47</v>
      </c>
      <c r="Q75" s="3" t="s">
        <v>62</v>
      </c>
      <c r="R75" s="3">
        <v>6</v>
      </c>
      <c r="S75" s="3">
        <v>114</v>
      </c>
      <c r="T75" s="3">
        <v>18.8</v>
      </c>
      <c r="U75" s="3" t="s">
        <v>86</v>
      </c>
      <c r="V75" s="18" t="s">
        <v>33</v>
      </c>
    </row>
    <row r="76" spans="1:22" ht="15" customHeight="1" x14ac:dyDescent="0.25">
      <c r="A76" s="15" t="s">
        <v>275</v>
      </c>
      <c r="B76" s="1" t="s">
        <v>276</v>
      </c>
      <c r="C76">
        <v>47</v>
      </c>
      <c r="D76" s="1" t="s">
        <v>98</v>
      </c>
      <c r="E76" s="1" t="s">
        <v>23</v>
      </c>
      <c r="F76" s="1" t="s">
        <v>155</v>
      </c>
      <c r="G76" s="1" t="s">
        <v>38</v>
      </c>
      <c r="H76" s="1" t="s">
        <v>26</v>
      </c>
      <c r="I76" s="7">
        <v>44754</v>
      </c>
      <c r="J76" s="7">
        <v>44763</v>
      </c>
      <c r="K76" s="1">
        <v>9</v>
      </c>
      <c r="L76" s="1" t="s">
        <v>112</v>
      </c>
      <c r="M76" s="1" t="s">
        <v>40</v>
      </c>
      <c r="N76" s="1" t="s">
        <v>203</v>
      </c>
      <c r="O76" s="1" t="s">
        <v>42</v>
      </c>
      <c r="P76" s="29">
        <v>19555.32</v>
      </c>
      <c r="Q76" s="1" t="s">
        <v>119</v>
      </c>
      <c r="R76" s="1">
        <v>5</v>
      </c>
      <c r="S76" s="1">
        <v>249</v>
      </c>
      <c r="T76" s="1">
        <v>29.6</v>
      </c>
      <c r="U76" s="1" t="s">
        <v>44</v>
      </c>
      <c r="V76" s="17" t="s">
        <v>33</v>
      </c>
    </row>
    <row r="77" spans="1:22" ht="15" customHeight="1" x14ac:dyDescent="0.25">
      <c r="A77" s="16" t="s">
        <v>277</v>
      </c>
      <c r="B77" s="3" t="s">
        <v>278</v>
      </c>
      <c r="C77">
        <v>72</v>
      </c>
      <c r="D77" s="3" t="s">
        <v>82</v>
      </c>
      <c r="E77" s="3" t="s">
        <v>48</v>
      </c>
      <c r="F77" s="3" t="s">
        <v>76</v>
      </c>
      <c r="G77" s="3" t="s">
        <v>50</v>
      </c>
      <c r="H77" s="3" t="s">
        <v>78</v>
      </c>
      <c r="I77" s="6">
        <v>43636</v>
      </c>
      <c r="J77" s="8">
        <v>43644</v>
      </c>
      <c r="K77" s="3">
        <v>8</v>
      </c>
      <c r="L77" s="3" t="s">
        <v>27</v>
      </c>
      <c r="M77" s="3" t="s">
        <v>28</v>
      </c>
      <c r="N77" s="3" t="s">
        <v>54</v>
      </c>
      <c r="O77" s="3" t="s">
        <v>55</v>
      </c>
      <c r="P77" s="30">
        <v>40518.22</v>
      </c>
      <c r="Q77" s="3" t="s">
        <v>279</v>
      </c>
      <c r="R77" s="3">
        <v>9</v>
      </c>
      <c r="S77" s="3">
        <v>497</v>
      </c>
      <c r="T77" s="3">
        <v>36.6</v>
      </c>
      <c r="U77" s="3" t="s">
        <v>44</v>
      </c>
      <c r="V77" s="18" t="s">
        <v>33</v>
      </c>
    </row>
    <row r="78" spans="1:22" ht="15" customHeight="1" x14ac:dyDescent="0.25">
      <c r="A78" s="15" t="s">
        <v>280</v>
      </c>
      <c r="B78" s="1" t="s">
        <v>281</v>
      </c>
      <c r="C78">
        <v>88</v>
      </c>
      <c r="D78" s="1" t="s">
        <v>36</v>
      </c>
      <c r="E78" s="1" t="s">
        <v>23</v>
      </c>
      <c r="F78" s="1" t="s">
        <v>49</v>
      </c>
      <c r="G78" s="1" t="s">
        <v>163</v>
      </c>
      <c r="H78" s="1" t="s">
        <v>51</v>
      </c>
      <c r="I78" s="7">
        <v>44155</v>
      </c>
      <c r="J78" s="7">
        <v>44157</v>
      </c>
      <c r="K78" s="1">
        <v>2</v>
      </c>
      <c r="L78" s="1" t="s">
        <v>122</v>
      </c>
      <c r="M78" s="1" t="s">
        <v>40</v>
      </c>
      <c r="N78" s="1" t="s">
        <v>164</v>
      </c>
      <c r="O78" s="1" t="s">
        <v>42</v>
      </c>
      <c r="P78" s="29">
        <v>23459.74</v>
      </c>
      <c r="Q78" s="1" t="s">
        <v>259</v>
      </c>
      <c r="R78" s="1">
        <v>6</v>
      </c>
      <c r="S78" s="1">
        <v>151</v>
      </c>
      <c r="T78" s="1">
        <v>21.6</v>
      </c>
      <c r="U78" s="1" t="s">
        <v>32</v>
      </c>
      <c r="V78" s="17" t="s">
        <v>33</v>
      </c>
    </row>
    <row r="79" spans="1:22" ht="15" customHeight="1" x14ac:dyDescent="0.25">
      <c r="A79" s="16" t="s">
        <v>282</v>
      </c>
      <c r="B79" s="3" t="s">
        <v>283</v>
      </c>
      <c r="C79">
        <v>85</v>
      </c>
      <c r="D79" s="3" t="s">
        <v>36</v>
      </c>
      <c r="E79" s="3" t="s">
        <v>48</v>
      </c>
      <c r="F79" s="2" t="s">
        <v>3714</v>
      </c>
      <c r="G79" s="3" t="s">
        <v>131</v>
      </c>
      <c r="H79" s="3" t="s">
        <v>26</v>
      </c>
      <c r="I79" s="8">
        <v>44333</v>
      </c>
      <c r="J79" s="8">
        <v>44338</v>
      </c>
      <c r="K79" s="3">
        <v>5</v>
      </c>
      <c r="L79" s="3" t="s">
        <v>39</v>
      </c>
      <c r="M79" s="3" t="s">
        <v>40</v>
      </c>
      <c r="N79" s="3" t="s">
        <v>133</v>
      </c>
      <c r="O79" s="3" t="s">
        <v>55</v>
      </c>
      <c r="P79" s="30">
        <v>46837.34</v>
      </c>
      <c r="Q79" s="3" t="s">
        <v>158</v>
      </c>
      <c r="R79" s="3">
        <v>7</v>
      </c>
      <c r="S79" s="3">
        <v>356</v>
      </c>
      <c r="T79" s="3">
        <v>15.4</v>
      </c>
      <c r="U79" s="3" t="s">
        <v>44</v>
      </c>
      <c r="V79" s="18" t="s">
        <v>45</v>
      </c>
    </row>
    <row r="80" spans="1:22" ht="15" customHeight="1" x14ac:dyDescent="0.25">
      <c r="A80" s="15" t="s">
        <v>285</v>
      </c>
      <c r="B80" s="1" t="s">
        <v>286</v>
      </c>
      <c r="C80">
        <v>84</v>
      </c>
      <c r="D80" s="1" t="s">
        <v>36</v>
      </c>
      <c r="E80" s="1" t="s">
        <v>23</v>
      </c>
      <c r="F80" s="1" t="s">
        <v>37</v>
      </c>
      <c r="G80" s="1" t="s">
        <v>60</v>
      </c>
      <c r="H80" s="1" t="s">
        <v>51</v>
      </c>
      <c r="I80" s="7">
        <v>43678</v>
      </c>
      <c r="J80" s="7">
        <v>43624</v>
      </c>
      <c r="K80" s="1">
        <v>5</v>
      </c>
      <c r="L80" s="1" t="s">
        <v>89</v>
      </c>
      <c r="M80" s="1" t="s">
        <v>90</v>
      </c>
      <c r="N80" s="1" t="s">
        <v>61</v>
      </c>
      <c r="O80" s="1" t="s">
        <v>30</v>
      </c>
      <c r="P80" s="29">
        <v>30356.52</v>
      </c>
      <c r="Q80" s="1" t="s">
        <v>62</v>
      </c>
      <c r="R80" s="1">
        <v>5</v>
      </c>
      <c r="S80" s="1">
        <v>149</v>
      </c>
      <c r="T80" s="1">
        <v>24.5</v>
      </c>
      <c r="U80" s="1" t="s">
        <v>32</v>
      </c>
      <c r="V80" s="17" t="s">
        <v>45</v>
      </c>
    </row>
    <row r="81" spans="1:22" ht="15" customHeight="1" x14ac:dyDescent="0.25">
      <c r="A81" s="16" t="s">
        <v>287</v>
      </c>
      <c r="B81" s="3" t="s">
        <v>288</v>
      </c>
      <c r="C81">
        <v>61</v>
      </c>
      <c r="D81" s="3" t="s">
        <v>59</v>
      </c>
      <c r="E81" s="3" t="s">
        <v>48</v>
      </c>
      <c r="F81" s="3" t="s">
        <v>37</v>
      </c>
      <c r="G81" s="3" t="s">
        <v>131</v>
      </c>
      <c r="H81" s="3" t="s">
        <v>51</v>
      </c>
      <c r="I81" s="8">
        <v>45603</v>
      </c>
      <c r="J81" s="8">
        <v>45609</v>
      </c>
      <c r="K81" s="3">
        <v>6</v>
      </c>
      <c r="L81" s="3" t="s">
        <v>112</v>
      </c>
      <c r="M81" s="3" t="s">
        <v>40</v>
      </c>
      <c r="N81" s="3" t="s">
        <v>157</v>
      </c>
      <c r="O81" s="3" t="s">
        <v>30</v>
      </c>
      <c r="P81" s="30">
        <v>35048</v>
      </c>
      <c r="Q81" s="3" t="s">
        <v>152</v>
      </c>
      <c r="R81" s="3">
        <v>7</v>
      </c>
      <c r="S81" s="3">
        <v>110</v>
      </c>
      <c r="T81" s="3">
        <v>33.9</v>
      </c>
      <c r="U81" s="3" t="s">
        <v>32</v>
      </c>
      <c r="V81" s="18" t="s">
        <v>33</v>
      </c>
    </row>
    <row r="82" spans="1:22" ht="15" customHeight="1" x14ac:dyDescent="0.25">
      <c r="A82" s="15" t="s">
        <v>289</v>
      </c>
      <c r="B82" s="1" t="s">
        <v>290</v>
      </c>
      <c r="C82">
        <v>75</v>
      </c>
      <c r="D82" s="1" t="s">
        <v>36</v>
      </c>
      <c r="E82" s="1" t="s">
        <v>48</v>
      </c>
      <c r="F82" s="1" t="s">
        <v>155</v>
      </c>
      <c r="G82" s="1" t="s">
        <v>131</v>
      </c>
      <c r="H82" s="1" t="s">
        <v>51</v>
      </c>
      <c r="I82" s="7">
        <v>44386</v>
      </c>
      <c r="J82" s="7">
        <v>44451</v>
      </c>
      <c r="K82" s="1">
        <v>5</v>
      </c>
      <c r="L82" s="1" t="s">
        <v>27</v>
      </c>
      <c r="M82" s="1" t="s">
        <v>28</v>
      </c>
      <c r="N82" s="1" t="s">
        <v>133</v>
      </c>
      <c r="O82" s="1" t="s">
        <v>30</v>
      </c>
      <c r="P82" s="29">
        <v>33023.589999999997</v>
      </c>
      <c r="Q82" s="1" t="s">
        <v>291</v>
      </c>
      <c r="R82" s="1">
        <v>7</v>
      </c>
      <c r="S82" s="1">
        <v>107</v>
      </c>
      <c r="T82" s="1">
        <v>29.6</v>
      </c>
      <c r="U82" s="1" t="s">
        <v>44</v>
      </c>
      <c r="V82" s="17" t="s">
        <v>33</v>
      </c>
    </row>
    <row r="83" spans="1:22" ht="15" customHeight="1" x14ac:dyDescent="0.25">
      <c r="A83" s="16" t="s">
        <v>292</v>
      </c>
      <c r="B83" s="3" t="s">
        <v>293</v>
      </c>
      <c r="C83">
        <v>71</v>
      </c>
      <c r="D83" s="3" t="s">
        <v>82</v>
      </c>
      <c r="E83" s="3" t="s">
        <v>48</v>
      </c>
      <c r="F83" s="3" t="s">
        <v>76</v>
      </c>
      <c r="G83" s="3" t="s">
        <v>163</v>
      </c>
      <c r="H83" s="3" t="s">
        <v>26</v>
      </c>
      <c r="I83" s="6">
        <v>44534</v>
      </c>
      <c r="J83" s="8">
        <v>44303</v>
      </c>
      <c r="K83" s="3">
        <v>5</v>
      </c>
      <c r="L83" s="3" t="s">
        <v>52</v>
      </c>
      <c r="M83" s="3" t="s">
        <v>53</v>
      </c>
      <c r="N83" s="3" t="s">
        <v>164</v>
      </c>
      <c r="O83" s="3" t="s">
        <v>30</v>
      </c>
      <c r="P83" s="30">
        <v>56868.69</v>
      </c>
      <c r="Q83" s="3" t="s">
        <v>257</v>
      </c>
      <c r="R83" s="3">
        <v>1</v>
      </c>
      <c r="S83" s="3">
        <v>258</v>
      </c>
      <c r="T83" s="3">
        <v>32</v>
      </c>
      <c r="U83" s="3" t="s">
        <v>44</v>
      </c>
      <c r="V83" s="18" t="s">
        <v>45</v>
      </c>
    </row>
    <row r="84" spans="1:22" ht="15" customHeight="1" x14ac:dyDescent="0.25">
      <c r="A84" s="15" t="s">
        <v>294</v>
      </c>
      <c r="B84" s="1" t="s">
        <v>295</v>
      </c>
      <c r="C84">
        <v>35</v>
      </c>
      <c r="D84" s="1" t="s">
        <v>98</v>
      </c>
      <c r="E84" s="1" t="s">
        <v>23</v>
      </c>
      <c r="F84" s="1" t="s">
        <v>49</v>
      </c>
      <c r="G84" s="1" t="s">
        <v>77</v>
      </c>
      <c r="H84" s="1" t="s">
        <v>51</v>
      </c>
      <c r="I84" s="7">
        <v>43749</v>
      </c>
      <c r="J84" s="7">
        <v>43761</v>
      </c>
      <c r="K84" s="1">
        <v>12</v>
      </c>
      <c r="L84" s="1" t="s">
        <v>89</v>
      </c>
      <c r="M84" s="1" t="s">
        <v>90</v>
      </c>
      <c r="N84" s="1" t="s">
        <v>189</v>
      </c>
      <c r="O84" s="1" t="s">
        <v>30</v>
      </c>
      <c r="P84" s="29">
        <v>18319.59</v>
      </c>
      <c r="Q84" s="1" t="s">
        <v>80</v>
      </c>
      <c r="R84" s="1">
        <v>10</v>
      </c>
      <c r="S84" s="1">
        <v>101</v>
      </c>
      <c r="T84" s="1">
        <v>36.700000000000003</v>
      </c>
      <c r="U84" s="1" t="s">
        <v>86</v>
      </c>
      <c r="V84" s="17" t="s">
        <v>33</v>
      </c>
    </row>
    <row r="85" spans="1:22" ht="15" customHeight="1" x14ac:dyDescent="0.25">
      <c r="A85" s="16" t="s">
        <v>296</v>
      </c>
      <c r="B85" s="3" t="s">
        <v>297</v>
      </c>
      <c r="C85">
        <v>76</v>
      </c>
      <c r="D85" s="3" t="s">
        <v>36</v>
      </c>
      <c r="E85" s="3" t="s">
        <v>23</v>
      </c>
      <c r="F85" s="3" t="s">
        <v>83</v>
      </c>
      <c r="G85" s="3" t="s">
        <v>77</v>
      </c>
      <c r="H85" s="3" t="s">
        <v>51</v>
      </c>
      <c r="I85" s="6">
        <v>43926</v>
      </c>
      <c r="J85" s="8">
        <v>44079</v>
      </c>
      <c r="K85" s="3">
        <v>5</v>
      </c>
      <c r="L85" s="3" t="s">
        <v>102</v>
      </c>
      <c r="M85" s="3" t="s">
        <v>28</v>
      </c>
      <c r="N85" s="3" t="s">
        <v>94</v>
      </c>
      <c r="O85" s="3" t="s">
        <v>66</v>
      </c>
      <c r="P85" s="30">
        <v>75748.23</v>
      </c>
      <c r="Q85" s="3" t="s">
        <v>95</v>
      </c>
      <c r="R85" s="3">
        <v>9</v>
      </c>
      <c r="S85" s="3">
        <v>198</v>
      </c>
      <c r="T85" s="3">
        <v>36.799999999999997</v>
      </c>
      <c r="U85" s="3" t="s">
        <v>44</v>
      </c>
      <c r="V85" s="18" t="s">
        <v>45</v>
      </c>
    </row>
    <row r="86" spans="1:22" ht="15" customHeight="1" x14ac:dyDescent="0.25">
      <c r="A86" s="15" t="s">
        <v>298</v>
      </c>
      <c r="B86" s="1" t="s">
        <v>299</v>
      </c>
      <c r="C86">
        <v>48</v>
      </c>
      <c r="D86" s="1" t="s">
        <v>98</v>
      </c>
      <c r="E86" s="1" t="s">
        <v>23</v>
      </c>
      <c r="F86" s="1" t="s">
        <v>70</v>
      </c>
      <c r="G86" s="1" t="s">
        <v>50</v>
      </c>
      <c r="H86" s="1" t="s">
        <v>26</v>
      </c>
      <c r="I86" s="7">
        <v>44725</v>
      </c>
      <c r="J86" s="7">
        <v>44729</v>
      </c>
      <c r="K86" s="1">
        <v>4</v>
      </c>
      <c r="L86" s="1" t="s">
        <v>122</v>
      </c>
      <c r="M86" s="1" t="s">
        <v>40</v>
      </c>
      <c r="N86" s="1" t="s">
        <v>126</v>
      </c>
      <c r="O86" s="1" t="s">
        <v>66</v>
      </c>
      <c r="P86" s="29">
        <v>134651.01999999999</v>
      </c>
      <c r="Q86" s="1" t="s">
        <v>194</v>
      </c>
      <c r="R86" s="1">
        <v>9</v>
      </c>
      <c r="S86" s="1">
        <v>307</v>
      </c>
      <c r="T86" s="1">
        <v>20.8</v>
      </c>
      <c r="U86" s="1" t="s">
        <v>44</v>
      </c>
      <c r="V86" s="17" t="s">
        <v>33</v>
      </c>
    </row>
    <row r="87" spans="1:22" ht="15" customHeight="1" x14ac:dyDescent="0.25">
      <c r="A87" s="16" t="s">
        <v>301</v>
      </c>
      <c r="B87" s="3" t="s">
        <v>302</v>
      </c>
      <c r="C87">
        <v>61</v>
      </c>
      <c r="D87" s="3" t="s">
        <v>59</v>
      </c>
      <c r="E87" s="3" t="s">
        <v>48</v>
      </c>
      <c r="F87" s="3" t="s">
        <v>155</v>
      </c>
      <c r="G87" s="3" t="s">
        <v>131</v>
      </c>
      <c r="H87" s="3" t="s">
        <v>78</v>
      </c>
      <c r="I87" s="8">
        <v>44102</v>
      </c>
      <c r="J87" s="8">
        <v>44106</v>
      </c>
      <c r="K87" s="3">
        <v>4</v>
      </c>
      <c r="L87" s="3" t="s">
        <v>231</v>
      </c>
      <c r="M87" s="3" t="s">
        <v>53</v>
      </c>
      <c r="N87" s="3" t="s">
        <v>147</v>
      </c>
      <c r="O87" s="3" t="s">
        <v>30</v>
      </c>
      <c r="P87" s="30">
        <v>12131.33</v>
      </c>
      <c r="Q87" s="3" t="s">
        <v>158</v>
      </c>
      <c r="R87" s="3">
        <v>5</v>
      </c>
      <c r="S87" s="3">
        <v>175</v>
      </c>
      <c r="T87" s="3">
        <v>30.1</v>
      </c>
      <c r="U87" s="3" t="s">
        <v>44</v>
      </c>
      <c r="V87" s="18" t="s">
        <v>45</v>
      </c>
    </row>
    <row r="88" spans="1:22" ht="15" customHeight="1" x14ac:dyDescent="0.25">
      <c r="A88" s="15" t="s">
        <v>303</v>
      </c>
      <c r="B88" s="1" t="s">
        <v>304</v>
      </c>
      <c r="C88">
        <v>69</v>
      </c>
      <c r="D88" s="1" t="s">
        <v>82</v>
      </c>
      <c r="E88" s="1" t="s">
        <v>48</v>
      </c>
      <c r="F88" s="1" t="s">
        <v>37</v>
      </c>
      <c r="G88" s="1" t="s">
        <v>38</v>
      </c>
      <c r="H88" s="1" t="s">
        <v>26</v>
      </c>
      <c r="I88" s="7">
        <v>43883</v>
      </c>
      <c r="J88" s="7">
        <v>43890</v>
      </c>
      <c r="K88" s="1">
        <v>7</v>
      </c>
      <c r="L88" s="1" t="s">
        <v>132</v>
      </c>
      <c r="M88" s="1" t="s">
        <v>53</v>
      </c>
      <c r="N88" s="1" t="s">
        <v>41</v>
      </c>
      <c r="O88" s="1" t="s">
        <v>42</v>
      </c>
      <c r="P88" s="29">
        <v>29441.32</v>
      </c>
      <c r="Q88" s="1" t="s">
        <v>305</v>
      </c>
      <c r="R88" s="1">
        <v>8</v>
      </c>
      <c r="S88" s="1">
        <v>162</v>
      </c>
      <c r="T88" s="1">
        <v>35</v>
      </c>
      <c r="U88" s="1" t="s">
        <v>86</v>
      </c>
      <c r="V88" s="17" t="s">
        <v>45</v>
      </c>
    </row>
    <row r="89" spans="1:22" ht="15" customHeight="1" x14ac:dyDescent="0.25">
      <c r="A89" s="16" t="s">
        <v>306</v>
      </c>
      <c r="B89" s="3" t="s">
        <v>307</v>
      </c>
      <c r="C89">
        <v>87</v>
      </c>
      <c r="D89" s="3" t="s">
        <v>36</v>
      </c>
      <c r="E89" s="3" t="s">
        <v>48</v>
      </c>
      <c r="F89" s="3" t="s">
        <v>155</v>
      </c>
      <c r="G89" s="3" t="s">
        <v>25</v>
      </c>
      <c r="H89" s="3" t="s">
        <v>51</v>
      </c>
      <c r="I89" s="8">
        <v>44074</v>
      </c>
      <c r="J89" s="8">
        <v>44083</v>
      </c>
      <c r="K89" s="3">
        <v>9</v>
      </c>
      <c r="L89" s="3" t="s">
        <v>39</v>
      </c>
      <c r="M89" s="3" t="s">
        <v>40</v>
      </c>
      <c r="N89" s="3" t="s">
        <v>248</v>
      </c>
      <c r="O89" s="3" t="s">
        <v>30</v>
      </c>
      <c r="P89" s="30">
        <v>63125.91</v>
      </c>
      <c r="Q89" s="3" t="s">
        <v>198</v>
      </c>
      <c r="R89" s="3">
        <v>12</v>
      </c>
      <c r="S89" s="3">
        <v>145</v>
      </c>
      <c r="T89" s="3">
        <v>24.9</v>
      </c>
      <c r="U89" s="3" t="s">
        <v>44</v>
      </c>
      <c r="V89" s="18" t="s">
        <v>33</v>
      </c>
    </row>
    <row r="90" spans="1:22" ht="15" customHeight="1" x14ac:dyDescent="0.25">
      <c r="A90" s="15" t="s">
        <v>308</v>
      </c>
      <c r="B90" s="1" t="s">
        <v>309</v>
      </c>
      <c r="C90">
        <v>59</v>
      </c>
      <c r="D90" s="1" t="s">
        <v>59</v>
      </c>
      <c r="E90" s="1" t="s">
        <v>23</v>
      </c>
      <c r="F90" s="1" t="s">
        <v>24</v>
      </c>
      <c r="G90" s="1" t="s">
        <v>25</v>
      </c>
      <c r="H90" s="1" t="s">
        <v>51</v>
      </c>
      <c r="I90" s="6">
        <v>44508</v>
      </c>
      <c r="J90" s="7">
        <v>44434</v>
      </c>
      <c r="K90" s="1">
        <v>15</v>
      </c>
      <c r="L90" s="1" t="s">
        <v>89</v>
      </c>
      <c r="M90" s="1" t="s">
        <v>90</v>
      </c>
      <c r="N90" s="1" t="s">
        <v>248</v>
      </c>
      <c r="O90" s="1" t="s">
        <v>30</v>
      </c>
      <c r="P90" s="29">
        <v>22563.86</v>
      </c>
      <c r="Q90" s="1" t="s">
        <v>310</v>
      </c>
      <c r="R90" s="1">
        <v>8</v>
      </c>
      <c r="S90" s="1">
        <v>118</v>
      </c>
      <c r="T90" s="1">
        <v>22.8</v>
      </c>
      <c r="U90" s="1" t="s">
        <v>44</v>
      </c>
      <c r="V90" s="17" t="s">
        <v>33</v>
      </c>
    </row>
    <row r="91" spans="1:22" ht="15" customHeight="1" x14ac:dyDescent="0.25">
      <c r="A91" s="16" t="s">
        <v>311</v>
      </c>
      <c r="B91" s="2" t="s">
        <v>3576</v>
      </c>
      <c r="C91">
        <v>59</v>
      </c>
      <c r="D91" s="3" t="s">
        <v>59</v>
      </c>
      <c r="E91" s="3" t="s">
        <v>23</v>
      </c>
      <c r="F91" s="3" t="s">
        <v>49</v>
      </c>
      <c r="G91" s="3" t="s">
        <v>71</v>
      </c>
      <c r="H91" s="3" t="s">
        <v>26</v>
      </c>
      <c r="I91" s="8">
        <v>44320</v>
      </c>
      <c r="J91" s="8">
        <v>44534</v>
      </c>
      <c r="K91" s="3">
        <v>7</v>
      </c>
      <c r="L91" s="3" t="s">
        <v>52</v>
      </c>
      <c r="M91" s="3" t="s">
        <v>53</v>
      </c>
      <c r="N91" s="3" t="s">
        <v>312</v>
      </c>
      <c r="O91" s="3" t="s">
        <v>30</v>
      </c>
      <c r="P91" s="30">
        <v>22254</v>
      </c>
      <c r="Q91" s="3" t="s">
        <v>73</v>
      </c>
      <c r="R91" s="3">
        <v>3</v>
      </c>
      <c r="S91" s="3">
        <v>169</v>
      </c>
      <c r="T91" s="3">
        <v>25</v>
      </c>
      <c r="U91" s="3" t="s">
        <v>32</v>
      </c>
      <c r="V91" s="18" t="s">
        <v>33</v>
      </c>
    </row>
    <row r="92" spans="1:22" ht="15" customHeight="1" x14ac:dyDescent="0.25">
      <c r="A92" s="15" t="s">
        <v>313</v>
      </c>
      <c r="B92" s="1" t="s">
        <v>314</v>
      </c>
      <c r="C92">
        <v>60</v>
      </c>
      <c r="D92" s="1" t="s">
        <v>59</v>
      </c>
      <c r="E92" s="1" t="s">
        <v>23</v>
      </c>
      <c r="F92" s="1" t="s">
        <v>24</v>
      </c>
      <c r="G92" s="1" t="s">
        <v>25</v>
      </c>
      <c r="H92" s="1" t="s">
        <v>51</v>
      </c>
      <c r="I92" s="6">
        <v>44193</v>
      </c>
      <c r="J92" s="7">
        <v>44210</v>
      </c>
      <c r="K92" s="1">
        <v>17</v>
      </c>
      <c r="L92" s="1" t="s">
        <v>112</v>
      </c>
      <c r="M92" s="1" t="s">
        <v>40</v>
      </c>
      <c r="N92" s="1" t="s">
        <v>65</v>
      </c>
      <c r="O92" s="1" t="s">
        <v>104</v>
      </c>
      <c r="P92" s="29">
        <v>120034.19</v>
      </c>
      <c r="Q92" s="1" t="s">
        <v>105</v>
      </c>
      <c r="R92" s="1">
        <v>12</v>
      </c>
      <c r="S92" s="1">
        <v>111</v>
      </c>
      <c r="T92" s="4"/>
      <c r="U92" s="1" t="s">
        <v>32</v>
      </c>
      <c r="V92" s="17" t="s">
        <v>45</v>
      </c>
    </row>
    <row r="93" spans="1:22" ht="15" customHeight="1" x14ac:dyDescent="0.25">
      <c r="A93" s="16" t="s">
        <v>315</v>
      </c>
      <c r="B93" s="3" t="s">
        <v>316</v>
      </c>
      <c r="C93">
        <v>8</v>
      </c>
      <c r="D93" s="3" t="s">
        <v>22</v>
      </c>
      <c r="E93" s="3" t="s">
        <v>23</v>
      </c>
      <c r="F93" s="3" t="s">
        <v>155</v>
      </c>
      <c r="G93" s="3" t="s">
        <v>131</v>
      </c>
      <c r="H93" s="3" t="s">
        <v>51</v>
      </c>
      <c r="I93" s="8">
        <v>45161</v>
      </c>
      <c r="J93" s="8">
        <v>45165</v>
      </c>
      <c r="K93" s="3">
        <v>4</v>
      </c>
      <c r="L93" s="3" t="s">
        <v>185</v>
      </c>
      <c r="M93" s="3" t="s">
        <v>186</v>
      </c>
      <c r="N93" s="3" t="s">
        <v>133</v>
      </c>
      <c r="O93" s="3" t="s">
        <v>42</v>
      </c>
      <c r="P93" s="30">
        <v>7503.05</v>
      </c>
      <c r="Q93" s="3" t="s">
        <v>266</v>
      </c>
      <c r="R93" s="3">
        <v>5</v>
      </c>
      <c r="S93" s="3">
        <v>109</v>
      </c>
      <c r="T93" s="4"/>
      <c r="U93" s="3" t="s">
        <v>44</v>
      </c>
      <c r="V93" s="18" t="s">
        <v>33</v>
      </c>
    </row>
    <row r="94" spans="1:22" ht="15" customHeight="1" x14ac:dyDescent="0.25">
      <c r="A94" s="15" t="s">
        <v>317</v>
      </c>
      <c r="B94" s="2" t="s">
        <v>1660</v>
      </c>
      <c r="C94">
        <v>77</v>
      </c>
      <c r="D94" s="1" t="s">
        <v>36</v>
      </c>
      <c r="E94" s="1" t="s">
        <v>23</v>
      </c>
      <c r="F94" s="1" t="s">
        <v>76</v>
      </c>
      <c r="G94" s="1" t="s">
        <v>77</v>
      </c>
      <c r="H94" s="1" t="s">
        <v>26</v>
      </c>
      <c r="I94" s="7">
        <v>44244</v>
      </c>
      <c r="J94" s="7">
        <v>44253</v>
      </c>
      <c r="K94" s="1">
        <v>9</v>
      </c>
      <c r="L94" s="1" t="s">
        <v>112</v>
      </c>
      <c r="M94" s="1" t="s">
        <v>40</v>
      </c>
      <c r="N94" s="1" t="s">
        <v>84</v>
      </c>
      <c r="O94" s="1" t="s">
        <v>42</v>
      </c>
      <c r="P94" s="29">
        <v>98612.39</v>
      </c>
      <c r="Q94" s="1" t="s">
        <v>109</v>
      </c>
      <c r="R94" s="1">
        <v>9</v>
      </c>
      <c r="S94" s="1">
        <v>381</v>
      </c>
      <c r="T94" s="1">
        <v>25.7</v>
      </c>
      <c r="U94" s="1" t="s">
        <v>86</v>
      </c>
      <c r="V94" s="17" t="s">
        <v>45</v>
      </c>
    </row>
    <row r="95" spans="1:22" ht="15" customHeight="1" x14ac:dyDescent="0.25">
      <c r="A95" s="16" t="s">
        <v>318</v>
      </c>
      <c r="B95" s="3" t="s">
        <v>319</v>
      </c>
      <c r="C95">
        <v>62</v>
      </c>
      <c r="D95" s="3" t="s">
        <v>59</v>
      </c>
      <c r="E95" s="3" t="s">
        <v>48</v>
      </c>
      <c r="F95" s="3" t="s">
        <v>155</v>
      </c>
      <c r="G95" s="3" t="s">
        <v>131</v>
      </c>
      <c r="H95" s="3" t="s">
        <v>26</v>
      </c>
      <c r="I95" s="8">
        <v>44544</v>
      </c>
      <c r="J95" s="8">
        <v>44553</v>
      </c>
      <c r="K95" s="3">
        <v>9</v>
      </c>
      <c r="L95" s="3" t="s">
        <v>102</v>
      </c>
      <c r="M95" s="3" t="s">
        <v>28</v>
      </c>
      <c r="N95" s="3" t="s">
        <v>157</v>
      </c>
      <c r="O95" s="3" t="s">
        <v>30</v>
      </c>
      <c r="P95" s="30">
        <v>29173.759999999998</v>
      </c>
      <c r="Q95" s="3" t="s">
        <v>158</v>
      </c>
      <c r="R95" s="3">
        <v>7</v>
      </c>
      <c r="S95" s="3">
        <v>353</v>
      </c>
      <c r="T95" s="3">
        <v>33.1</v>
      </c>
      <c r="U95" s="3" t="s">
        <v>32</v>
      </c>
      <c r="V95" s="18" t="s">
        <v>33</v>
      </c>
    </row>
    <row r="96" spans="1:22" ht="15" customHeight="1" x14ac:dyDescent="0.25">
      <c r="A96" s="15" t="s">
        <v>320</v>
      </c>
      <c r="B96" s="1" t="s">
        <v>321</v>
      </c>
      <c r="C96">
        <v>44</v>
      </c>
      <c r="D96" s="1" t="s">
        <v>98</v>
      </c>
      <c r="E96" s="1" t="s">
        <v>23</v>
      </c>
      <c r="F96" s="1" t="s">
        <v>99</v>
      </c>
      <c r="G96" s="1" t="s">
        <v>25</v>
      </c>
      <c r="H96" s="1" t="s">
        <v>51</v>
      </c>
      <c r="I96" s="6">
        <v>44017</v>
      </c>
      <c r="J96" s="7">
        <v>43973</v>
      </c>
      <c r="K96" s="1">
        <v>15</v>
      </c>
      <c r="L96" s="1" t="s">
        <v>27</v>
      </c>
      <c r="M96" s="1" t="s">
        <v>28</v>
      </c>
      <c r="N96" s="1" t="s">
        <v>65</v>
      </c>
      <c r="O96" s="1" t="s">
        <v>55</v>
      </c>
      <c r="P96" s="29">
        <v>24819.57</v>
      </c>
      <c r="Q96" s="1" t="s">
        <v>322</v>
      </c>
      <c r="R96" s="1">
        <v>12</v>
      </c>
      <c r="S96" s="1">
        <v>179</v>
      </c>
      <c r="T96" s="1">
        <v>19.3</v>
      </c>
      <c r="U96" s="1" t="s">
        <v>86</v>
      </c>
      <c r="V96" s="17" t="s">
        <v>33</v>
      </c>
    </row>
    <row r="97" spans="1:22" ht="15" customHeight="1" x14ac:dyDescent="0.25">
      <c r="A97" s="16" t="s">
        <v>323</v>
      </c>
      <c r="B97" s="3" t="s">
        <v>324</v>
      </c>
      <c r="C97">
        <v>74</v>
      </c>
      <c r="D97" s="3" t="s">
        <v>82</v>
      </c>
      <c r="E97" s="3" t="s">
        <v>48</v>
      </c>
      <c r="F97" s="3" t="s">
        <v>155</v>
      </c>
      <c r="G97" s="3" t="s">
        <v>77</v>
      </c>
      <c r="H97" s="3" t="s">
        <v>78</v>
      </c>
      <c r="I97" s="8">
        <v>44547</v>
      </c>
      <c r="J97" s="8">
        <v>44554</v>
      </c>
      <c r="K97" s="3">
        <v>7</v>
      </c>
      <c r="L97" s="3" t="s">
        <v>185</v>
      </c>
      <c r="M97" s="3" t="s">
        <v>186</v>
      </c>
      <c r="N97" s="3" t="s">
        <v>79</v>
      </c>
      <c r="O97" s="3" t="s">
        <v>55</v>
      </c>
      <c r="P97" s="30">
        <v>40849.089999999997</v>
      </c>
      <c r="Q97" s="3" t="s">
        <v>95</v>
      </c>
      <c r="R97" s="3">
        <v>8</v>
      </c>
      <c r="S97" s="3">
        <v>110</v>
      </c>
      <c r="T97" s="3">
        <v>23.9</v>
      </c>
      <c r="U97" s="3" t="s">
        <v>44</v>
      </c>
      <c r="V97" s="18" t="s">
        <v>33</v>
      </c>
    </row>
    <row r="98" spans="1:22" ht="15" customHeight="1" x14ac:dyDescent="0.25">
      <c r="A98" s="15" t="s">
        <v>325</v>
      </c>
      <c r="B98" s="1" t="s">
        <v>326</v>
      </c>
      <c r="C98">
        <v>78</v>
      </c>
      <c r="D98" s="1" t="s">
        <v>36</v>
      </c>
      <c r="E98" s="1" t="s">
        <v>48</v>
      </c>
      <c r="F98" s="1" t="s">
        <v>83</v>
      </c>
      <c r="G98" s="1" t="s">
        <v>50</v>
      </c>
      <c r="H98" s="1" t="s">
        <v>51</v>
      </c>
      <c r="I98" s="7">
        <v>43831</v>
      </c>
      <c r="J98" s="7">
        <v>43983</v>
      </c>
      <c r="K98" s="1">
        <v>5</v>
      </c>
      <c r="L98" s="1" t="s">
        <v>132</v>
      </c>
      <c r="M98" s="1" t="s">
        <v>53</v>
      </c>
      <c r="N98" s="1" t="s">
        <v>54</v>
      </c>
      <c r="O98" s="1" t="s">
        <v>42</v>
      </c>
      <c r="P98" s="29">
        <v>49703.51</v>
      </c>
      <c r="Q98" s="1" t="s">
        <v>144</v>
      </c>
      <c r="R98" s="1">
        <v>6</v>
      </c>
      <c r="S98" s="1">
        <v>104</v>
      </c>
      <c r="T98" s="1">
        <v>18.7</v>
      </c>
      <c r="U98" s="1" t="s">
        <v>44</v>
      </c>
      <c r="V98" s="17" t="s">
        <v>33</v>
      </c>
    </row>
    <row r="99" spans="1:22" ht="15" customHeight="1" x14ac:dyDescent="0.25">
      <c r="A99" s="16" t="s">
        <v>327</v>
      </c>
      <c r="B99" s="2" t="s">
        <v>1856</v>
      </c>
      <c r="C99">
        <v>91</v>
      </c>
      <c r="D99" s="3" t="s">
        <v>36</v>
      </c>
      <c r="E99" s="3" t="s">
        <v>23</v>
      </c>
      <c r="F99" s="3" t="s">
        <v>155</v>
      </c>
      <c r="G99" s="3" t="s">
        <v>131</v>
      </c>
      <c r="H99" s="3" t="s">
        <v>78</v>
      </c>
      <c r="I99" s="8">
        <v>44898</v>
      </c>
      <c r="J99" s="8">
        <v>44724</v>
      </c>
      <c r="K99" s="3">
        <v>3</v>
      </c>
      <c r="L99" s="3" t="s">
        <v>39</v>
      </c>
      <c r="M99" s="3" t="s">
        <v>40</v>
      </c>
      <c r="N99" s="3" t="s">
        <v>133</v>
      </c>
      <c r="O99" s="3" t="s">
        <v>104</v>
      </c>
      <c r="P99" s="30">
        <v>16102.43</v>
      </c>
      <c r="Q99" s="3" t="s">
        <v>152</v>
      </c>
      <c r="R99" s="3">
        <v>7</v>
      </c>
      <c r="S99" s="3">
        <v>431</v>
      </c>
      <c r="T99" s="3">
        <v>35.5</v>
      </c>
      <c r="U99" s="3" t="s">
        <v>44</v>
      </c>
      <c r="V99" s="18" t="s">
        <v>33</v>
      </c>
    </row>
    <row r="100" spans="1:22" ht="15" customHeight="1" x14ac:dyDescent="0.25">
      <c r="A100" s="15" t="s">
        <v>328</v>
      </c>
      <c r="B100" s="1" t="s">
        <v>329</v>
      </c>
      <c r="C100">
        <v>83</v>
      </c>
      <c r="D100" s="1" t="s">
        <v>36</v>
      </c>
      <c r="E100" s="1" t="s">
        <v>48</v>
      </c>
      <c r="F100" s="1" t="s">
        <v>99</v>
      </c>
      <c r="G100" s="1" t="s">
        <v>25</v>
      </c>
      <c r="H100" s="1" t="s">
        <v>78</v>
      </c>
      <c r="I100" s="7">
        <v>45092</v>
      </c>
      <c r="J100" s="7">
        <v>45105</v>
      </c>
      <c r="K100" s="1">
        <v>13</v>
      </c>
      <c r="L100" s="1" t="s">
        <v>231</v>
      </c>
      <c r="M100" s="1" t="s">
        <v>53</v>
      </c>
      <c r="N100" s="1" t="s">
        <v>248</v>
      </c>
      <c r="O100" s="1" t="s">
        <v>104</v>
      </c>
      <c r="P100" s="29">
        <v>71064.25</v>
      </c>
      <c r="Q100" s="1" t="s">
        <v>67</v>
      </c>
      <c r="R100" s="1">
        <v>12</v>
      </c>
      <c r="S100" s="1">
        <v>252</v>
      </c>
      <c r="T100" s="1">
        <v>29.4</v>
      </c>
      <c r="U100" s="1" t="s">
        <v>44</v>
      </c>
      <c r="V100" s="17" t="s">
        <v>45</v>
      </c>
    </row>
    <row r="101" spans="1:22" ht="15" customHeight="1" x14ac:dyDescent="0.25">
      <c r="A101" s="16" t="s">
        <v>330</v>
      </c>
      <c r="B101" s="3" t="s">
        <v>331</v>
      </c>
      <c r="C101">
        <v>87</v>
      </c>
      <c r="D101" s="3" t="s">
        <v>36</v>
      </c>
      <c r="E101" s="3" t="s">
        <v>48</v>
      </c>
      <c r="F101" s="3" t="s">
        <v>49</v>
      </c>
      <c r="G101" s="3" t="s">
        <v>77</v>
      </c>
      <c r="H101" s="3" t="s">
        <v>26</v>
      </c>
      <c r="I101" s="6">
        <v>45287</v>
      </c>
      <c r="J101" s="8">
        <v>45293</v>
      </c>
      <c r="K101" s="3">
        <v>6</v>
      </c>
      <c r="L101" s="3" t="s">
        <v>89</v>
      </c>
      <c r="M101" s="3" t="s">
        <v>90</v>
      </c>
      <c r="N101" s="3" t="s">
        <v>94</v>
      </c>
      <c r="O101" s="3" t="s">
        <v>30</v>
      </c>
      <c r="P101" s="30">
        <v>97812.23</v>
      </c>
      <c r="Q101" s="3" t="s">
        <v>91</v>
      </c>
      <c r="R101" s="3">
        <v>9</v>
      </c>
      <c r="S101" s="3">
        <v>371</v>
      </c>
      <c r="T101" s="3">
        <v>23.4</v>
      </c>
      <c r="U101" s="3" t="s">
        <v>86</v>
      </c>
      <c r="V101" s="18" t="s">
        <v>33</v>
      </c>
    </row>
    <row r="102" spans="1:22" ht="15" customHeight="1" x14ac:dyDescent="0.25">
      <c r="A102" s="15" t="s">
        <v>332</v>
      </c>
      <c r="B102" s="1" t="s">
        <v>333</v>
      </c>
      <c r="C102">
        <v>29</v>
      </c>
      <c r="D102" s="1" t="s">
        <v>47</v>
      </c>
      <c r="E102" s="1" t="s">
        <v>23</v>
      </c>
      <c r="F102" s="1" t="s">
        <v>76</v>
      </c>
      <c r="G102" s="1" t="s">
        <v>131</v>
      </c>
      <c r="H102" s="1" t="s">
        <v>51</v>
      </c>
      <c r="I102" s="6">
        <v>45584</v>
      </c>
      <c r="J102" s="7">
        <v>45588</v>
      </c>
      <c r="K102" s="1">
        <v>4</v>
      </c>
      <c r="L102" s="1" t="s">
        <v>39</v>
      </c>
      <c r="M102" s="1" t="s">
        <v>40</v>
      </c>
      <c r="N102" s="1" t="s">
        <v>157</v>
      </c>
      <c r="O102" s="1" t="s">
        <v>104</v>
      </c>
      <c r="P102" s="29">
        <v>10530.11</v>
      </c>
      <c r="Q102" s="1" t="s">
        <v>158</v>
      </c>
      <c r="R102" s="1">
        <v>7</v>
      </c>
      <c r="S102" s="1">
        <v>123</v>
      </c>
      <c r="T102" s="1">
        <v>30</v>
      </c>
      <c r="U102" s="1" t="s">
        <v>86</v>
      </c>
      <c r="V102" s="17" t="s">
        <v>33</v>
      </c>
    </row>
    <row r="103" spans="1:22" ht="15" customHeight="1" x14ac:dyDescent="0.25">
      <c r="A103" s="16" t="s">
        <v>334</v>
      </c>
      <c r="B103" s="3" t="s">
        <v>335</v>
      </c>
      <c r="C103">
        <v>65</v>
      </c>
      <c r="D103" s="3" t="s">
        <v>82</v>
      </c>
      <c r="E103" s="3" t="s">
        <v>23</v>
      </c>
      <c r="F103" s="3" t="s">
        <v>24</v>
      </c>
      <c r="G103" s="3" t="s">
        <v>226</v>
      </c>
      <c r="H103" s="3" t="s">
        <v>26</v>
      </c>
      <c r="I103" s="8">
        <v>45224</v>
      </c>
      <c r="J103" s="8">
        <v>45235</v>
      </c>
      <c r="K103" s="3">
        <v>11</v>
      </c>
      <c r="L103" s="3" t="s">
        <v>112</v>
      </c>
      <c r="M103" s="3" t="s">
        <v>40</v>
      </c>
      <c r="N103" s="3" t="s">
        <v>84</v>
      </c>
      <c r="O103" s="3" t="s">
        <v>104</v>
      </c>
      <c r="P103" s="30">
        <v>65030.83</v>
      </c>
      <c r="Q103" s="3" t="s">
        <v>95</v>
      </c>
      <c r="R103" s="3">
        <v>10</v>
      </c>
      <c r="S103" s="3">
        <v>375</v>
      </c>
      <c r="T103" s="3">
        <v>27.3</v>
      </c>
      <c r="U103" s="3" t="s">
        <v>44</v>
      </c>
      <c r="V103" s="18" t="s">
        <v>45</v>
      </c>
    </row>
    <row r="104" spans="1:22" ht="15" customHeight="1" x14ac:dyDescent="0.25">
      <c r="A104" s="15" t="s">
        <v>336</v>
      </c>
      <c r="B104" s="1" t="s">
        <v>337</v>
      </c>
      <c r="C104">
        <v>63</v>
      </c>
      <c r="D104" s="1" t="s">
        <v>59</v>
      </c>
      <c r="E104" s="1" t="s">
        <v>48</v>
      </c>
      <c r="F104" s="1" t="s">
        <v>70</v>
      </c>
      <c r="G104" s="1" t="s">
        <v>60</v>
      </c>
      <c r="H104" s="1" t="s">
        <v>51</v>
      </c>
      <c r="I104" s="7">
        <v>44237</v>
      </c>
      <c r="J104" s="7">
        <v>44241</v>
      </c>
      <c r="K104" s="1">
        <v>4</v>
      </c>
      <c r="L104" s="1" t="s">
        <v>112</v>
      </c>
      <c r="M104" s="1" t="s">
        <v>40</v>
      </c>
      <c r="N104" s="1" t="s">
        <v>61</v>
      </c>
      <c r="O104" s="1" t="s">
        <v>104</v>
      </c>
      <c r="P104" s="29">
        <v>30937.48</v>
      </c>
      <c r="Q104" s="1" t="s">
        <v>105</v>
      </c>
      <c r="R104" s="1">
        <v>3</v>
      </c>
      <c r="S104" s="1">
        <v>170</v>
      </c>
      <c r="T104" s="1">
        <v>26.3</v>
      </c>
      <c r="U104" s="1" t="s">
        <v>86</v>
      </c>
      <c r="V104" s="17" t="s">
        <v>33</v>
      </c>
    </row>
    <row r="105" spans="1:22" ht="15" customHeight="1" x14ac:dyDescent="0.25">
      <c r="A105" s="16" t="s">
        <v>338</v>
      </c>
      <c r="B105" s="3" t="s">
        <v>339</v>
      </c>
      <c r="C105">
        <v>15</v>
      </c>
      <c r="D105" s="3" t="s">
        <v>22</v>
      </c>
      <c r="E105" s="3" t="s">
        <v>48</v>
      </c>
      <c r="F105" s="3" t="s">
        <v>83</v>
      </c>
      <c r="G105" s="3" t="s">
        <v>163</v>
      </c>
      <c r="H105" s="3" t="s">
        <v>51</v>
      </c>
      <c r="I105" s="8">
        <v>43948</v>
      </c>
      <c r="J105" s="8">
        <v>43950</v>
      </c>
      <c r="K105" s="3">
        <v>2</v>
      </c>
      <c r="L105" s="3" t="s">
        <v>112</v>
      </c>
      <c r="M105" s="3" t="s">
        <v>40</v>
      </c>
      <c r="N105" s="3" t="s">
        <v>213</v>
      </c>
      <c r="O105" s="3" t="s">
        <v>104</v>
      </c>
      <c r="P105" s="30">
        <v>14975.93</v>
      </c>
      <c r="Q105" s="3" t="s">
        <v>234</v>
      </c>
      <c r="R105" s="3">
        <v>6</v>
      </c>
      <c r="S105" s="3">
        <v>142</v>
      </c>
      <c r="T105" s="3">
        <v>26.7</v>
      </c>
      <c r="U105" s="3" t="s">
        <v>32</v>
      </c>
      <c r="V105" s="18" t="s">
        <v>33</v>
      </c>
    </row>
    <row r="106" spans="1:22" ht="15" customHeight="1" x14ac:dyDescent="0.25">
      <c r="A106" s="15" t="s">
        <v>340</v>
      </c>
      <c r="B106" s="2" t="s">
        <v>2207</v>
      </c>
      <c r="C106">
        <v>72</v>
      </c>
      <c r="D106" s="1" t="s">
        <v>82</v>
      </c>
      <c r="E106" s="1" t="s">
        <v>23</v>
      </c>
      <c r="F106" s="1" t="s">
        <v>24</v>
      </c>
      <c r="G106" s="1" t="s">
        <v>77</v>
      </c>
      <c r="H106" s="1" t="s">
        <v>26</v>
      </c>
      <c r="I106" s="6">
        <v>44547</v>
      </c>
      <c r="J106" s="7">
        <v>44557</v>
      </c>
      <c r="K106" s="1">
        <v>10</v>
      </c>
      <c r="L106" s="1" t="s">
        <v>185</v>
      </c>
      <c r="M106" s="1" t="s">
        <v>186</v>
      </c>
      <c r="N106" s="1" t="s">
        <v>79</v>
      </c>
      <c r="O106" s="1" t="s">
        <v>55</v>
      </c>
      <c r="P106" s="29">
        <v>135928.23000000001</v>
      </c>
      <c r="Q106" s="1" t="s">
        <v>123</v>
      </c>
      <c r="R106" s="1">
        <v>10</v>
      </c>
      <c r="S106" s="1">
        <v>334</v>
      </c>
      <c r="T106" s="1">
        <v>33.299999999999997</v>
      </c>
      <c r="U106" s="1" t="s">
        <v>86</v>
      </c>
      <c r="V106" s="17" t="s">
        <v>33</v>
      </c>
    </row>
    <row r="107" spans="1:22" ht="15" customHeight="1" x14ac:dyDescent="0.25">
      <c r="A107" s="16" t="s">
        <v>341</v>
      </c>
      <c r="B107" s="3" t="s">
        <v>342</v>
      </c>
      <c r="C107">
        <v>62</v>
      </c>
      <c r="D107" s="3" t="s">
        <v>59</v>
      </c>
      <c r="E107" s="3" t="s">
        <v>23</v>
      </c>
      <c r="F107" s="2" t="s">
        <v>37</v>
      </c>
      <c r="G107" s="3" t="s">
        <v>77</v>
      </c>
      <c r="H107" s="3" t="s">
        <v>26</v>
      </c>
      <c r="I107" s="6">
        <v>43706</v>
      </c>
      <c r="J107" s="8">
        <v>43686</v>
      </c>
      <c r="K107" s="3">
        <v>10</v>
      </c>
      <c r="L107" s="3" t="s">
        <v>102</v>
      </c>
      <c r="M107" s="3" t="s">
        <v>28</v>
      </c>
      <c r="N107" s="3" t="s">
        <v>94</v>
      </c>
      <c r="O107" s="3" t="s">
        <v>42</v>
      </c>
      <c r="P107" s="30">
        <v>126661.75</v>
      </c>
      <c r="Q107" s="3" t="s">
        <v>91</v>
      </c>
      <c r="R107" s="3">
        <v>10</v>
      </c>
      <c r="S107" s="3">
        <v>390</v>
      </c>
      <c r="T107" s="3">
        <v>21.1</v>
      </c>
      <c r="U107" s="3" t="s">
        <v>44</v>
      </c>
      <c r="V107" s="18" t="s">
        <v>33</v>
      </c>
    </row>
    <row r="108" spans="1:22" ht="15" customHeight="1" x14ac:dyDescent="0.25">
      <c r="A108" s="15" t="s">
        <v>344</v>
      </c>
      <c r="B108" s="1" t="s">
        <v>345</v>
      </c>
      <c r="C108">
        <v>45</v>
      </c>
      <c r="D108" s="1" t="s">
        <v>98</v>
      </c>
      <c r="E108" s="1" t="s">
        <v>23</v>
      </c>
      <c r="F108" s="1" t="s">
        <v>76</v>
      </c>
      <c r="G108" s="1" t="s">
        <v>163</v>
      </c>
      <c r="H108" s="1" t="s">
        <v>51</v>
      </c>
      <c r="I108" s="7">
        <v>44074</v>
      </c>
      <c r="J108" s="7">
        <v>44079</v>
      </c>
      <c r="K108" s="1">
        <v>5</v>
      </c>
      <c r="L108" s="1" t="s">
        <v>231</v>
      </c>
      <c r="M108" s="1" t="s">
        <v>53</v>
      </c>
      <c r="N108" s="1" t="s">
        <v>346</v>
      </c>
      <c r="O108" s="1" t="s">
        <v>104</v>
      </c>
      <c r="P108" s="29">
        <v>10660.57</v>
      </c>
      <c r="Q108" s="1" t="s">
        <v>62</v>
      </c>
      <c r="R108" s="1">
        <v>5</v>
      </c>
      <c r="S108" s="1">
        <v>157</v>
      </c>
      <c r="T108" s="1">
        <v>24.1</v>
      </c>
      <c r="U108" s="1" t="s">
        <v>44</v>
      </c>
      <c r="V108" s="17" t="s">
        <v>33</v>
      </c>
    </row>
    <row r="109" spans="1:22" ht="15" customHeight="1" x14ac:dyDescent="0.25">
      <c r="A109" s="16" t="s">
        <v>347</v>
      </c>
      <c r="B109" s="3" t="s">
        <v>348</v>
      </c>
      <c r="C109">
        <v>65</v>
      </c>
      <c r="D109" s="3" t="s">
        <v>82</v>
      </c>
      <c r="E109" s="3" t="s">
        <v>23</v>
      </c>
      <c r="F109" s="3" t="s">
        <v>24</v>
      </c>
      <c r="G109" s="3" t="s">
        <v>60</v>
      </c>
      <c r="H109" s="3" t="s">
        <v>78</v>
      </c>
      <c r="I109" s="6">
        <v>44567</v>
      </c>
      <c r="J109" s="8">
        <v>44721</v>
      </c>
      <c r="K109" s="3">
        <v>8</v>
      </c>
      <c r="L109" s="3" t="s">
        <v>122</v>
      </c>
      <c r="M109" s="3" t="s">
        <v>40</v>
      </c>
      <c r="N109" s="3" t="s">
        <v>61</v>
      </c>
      <c r="O109" s="3" t="s">
        <v>55</v>
      </c>
      <c r="P109" s="30">
        <v>39529.589999999997</v>
      </c>
      <c r="Q109" s="3" t="s">
        <v>349</v>
      </c>
      <c r="R109" s="3">
        <v>6</v>
      </c>
      <c r="S109" s="3">
        <v>149</v>
      </c>
      <c r="T109" s="3">
        <v>17</v>
      </c>
      <c r="U109" s="3" t="s">
        <v>32</v>
      </c>
      <c r="V109" s="18" t="s">
        <v>33</v>
      </c>
    </row>
    <row r="110" spans="1:22" ht="15" customHeight="1" x14ac:dyDescent="0.25">
      <c r="A110" s="15" t="s">
        <v>350</v>
      </c>
      <c r="B110" s="2" t="s">
        <v>2244</v>
      </c>
      <c r="C110">
        <v>84</v>
      </c>
      <c r="D110" s="1" t="s">
        <v>36</v>
      </c>
      <c r="E110" s="1" t="s">
        <v>48</v>
      </c>
      <c r="F110" s="1" t="s">
        <v>76</v>
      </c>
      <c r="G110" s="1" t="s">
        <v>50</v>
      </c>
      <c r="H110" s="1" t="s">
        <v>51</v>
      </c>
      <c r="I110" s="7">
        <v>45142</v>
      </c>
      <c r="J110" s="7">
        <v>45147</v>
      </c>
      <c r="K110" s="1">
        <v>5</v>
      </c>
      <c r="L110" s="1" t="s">
        <v>112</v>
      </c>
      <c r="M110" s="1" t="s">
        <v>40</v>
      </c>
      <c r="N110" s="1" t="s">
        <v>126</v>
      </c>
      <c r="O110" s="1" t="s">
        <v>104</v>
      </c>
      <c r="P110" s="29">
        <v>28947.599999999999</v>
      </c>
      <c r="Q110" s="1" t="s">
        <v>351</v>
      </c>
      <c r="R110" s="1">
        <v>9</v>
      </c>
      <c r="S110" s="1">
        <v>164</v>
      </c>
      <c r="T110" s="1">
        <v>20.2</v>
      </c>
      <c r="U110" s="1" t="s">
        <v>32</v>
      </c>
      <c r="V110" s="17" t="s">
        <v>45</v>
      </c>
    </row>
    <row r="111" spans="1:22" ht="15" customHeight="1" x14ac:dyDescent="0.25">
      <c r="A111" s="16" t="s">
        <v>352</v>
      </c>
      <c r="B111" s="3" t="s">
        <v>353</v>
      </c>
      <c r="C111">
        <v>90</v>
      </c>
      <c r="D111" s="3" t="s">
        <v>36</v>
      </c>
      <c r="E111" s="3" t="s">
        <v>48</v>
      </c>
      <c r="F111" s="3" t="s">
        <v>99</v>
      </c>
      <c r="G111" s="3" t="s">
        <v>77</v>
      </c>
      <c r="H111" s="3" t="s">
        <v>51</v>
      </c>
      <c r="I111" s="6">
        <v>45041</v>
      </c>
      <c r="J111" s="8">
        <v>44962</v>
      </c>
      <c r="K111" s="3">
        <v>7</v>
      </c>
      <c r="L111" s="3" t="s">
        <v>112</v>
      </c>
      <c r="M111" s="3" t="s">
        <v>40</v>
      </c>
      <c r="N111" s="3" t="s">
        <v>94</v>
      </c>
      <c r="O111" s="3" t="s">
        <v>30</v>
      </c>
      <c r="P111" s="30">
        <v>35671.480000000003</v>
      </c>
      <c r="Q111" s="3" t="s">
        <v>91</v>
      </c>
      <c r="R111" s="3">
        <v>9</v>
      </c>
      <c r="S111" s="3">
        <v>191</v>
      </c>
      <c r="T111" s="3">
        <v>40.700000000000003</v>
      </c>
      <c r="U111" s="3" t="s">
        <v>44</v>
      </c>
      <c r="V111" s="18" t="s">
        <v>33</v>
      </c>
    </row>
    <row r="112" spans="1:22" ht="15" customHeight="1" x14ac:dyDescent="0.25">
      <c r="A112" s="15" t="s">
        <v>354</v>
      </c>
      <c r="B112" s="1" t="s">
        <v>355</v>
      </c>
      <c r="C112">
        <v>70</v>
      </c>
      <c r="D112" s="1" t="s">
        <v>82</v>
      </c>
      <c r="E112" s="1" t="s">
        <v>48</v>
      </c>
      <c r="F112" s="1" t="s">
        <v>37</v>
      </c>
      <c r="G112" s="1" t="s">
        <v>77</v>
      </c>
      <c r="H112" s="1" t="s">
        <v>26</v>
      </c>
      <c r="I112" s="6">
        <v>45246</v>
      </c>
      <c r="J112" s="7">
        <v>45275</v>
      </c>
      <c r="K112" s="1">
        <v>29</v>
      </c>
      <c r="L112" s="1" t="s">
        <v>112</v>
      </c>
      <c r="M112" s="1" t="s">
        <v>40</v>
      </c>
      <c r="N112" s="1" t="s">
        <v>94</v>
      </c>
      <c r="O112" s="1" t="s">
        <v>104</v>
      </c>
      <c r="P112" s="29">
        <v>86072.71</v>
      </c>
      <c r="Q112" s="1" t="s">
        <v>95</v>
      </c>
      <c r="R112" s="1">
        <v>7</v>
      </c>
      <c r="S112" s="1">
        <v>307</v>
      </c>
      <c r="T112" s="1">
        <v>35.5</v>
      </c>
      <c r="U112" s="1" t="s">
        <v>44</v>
      </c>
      <c r="V112" s="17" t="s">
        <v>45</v>
      </c>
    </row>
    <row r="113" spans="1:22" ht="15" customHeight="1" x14ac:dyDescent="0.25">
      <c r="A113" s="16" t="s">
        <v>356</v>
      </c>
      <c r="B113" s="3" t="s">
        <v>357</v>
      </c>
      <c r="C113">
        <v>78</v>
      </c>
      <c r="D113" s="3" t="s">
        <v>36</v>
      </c>
      <c r="E113" s="3" t="s">
        <v>23</v>
      </c>
      <c r="F113" s="3" t="s">
        <v>83</v>
      </c>
      <c r="G113" s="3" t="s">
        <v>77</v>
      </c>
      <c r="H113" s="3" t="s">
        <v>51</v>
      </c>
      <c r="I113" s="6">
        <v>43806</v>
      </c>
      <c r="J113" s="8">
        <v>43668</v>
      </c>
      <c r="K113" s="3">
        <v>10</v>
      </c>
      <c r="L113" s="3" t="s">
        <v>231</v>
      </c>
      <c r="M113" s="3" t="s">
        <v>53</v>
      </c>
      <c r="N113" s="3" t="s">
        <v>94</v>
      </c>
      <c r="O113" s="3" t="s">
        <v>42</v>
      </c>
      <c r="P113" s="30">
        <v>101147.02</v>
      </c>
      <c r="Q113" s="3" t="s">
        <v>223</v>
      </c>
      <c r="R113" s="3">
        <v>10</v>
      </c>
      <c r="S113" s="3">
        <v>147</v>
      </c>
      <c r="T113" s="3">
        <v>30.3</v>
      </c>
      <c r="U113" s="3" t="s">
        <v>86</v>
      </c>
      <c r="V113" s="18" t="s">
        <v>33</v>
      </c>
    </row>
    <row r="114" spans="1:22" ht="15" customHeight="1" x14ac:dyDescent="0.25">
      <c r="A114" s="15" t="s">
        <v>358</v>
      </c>
      <c r="B114" s="1" t="s">
        <v>359</v>
      </c>
      <c r="C114">
        <v>84</v>
      </c>
      <c r="D114" s="1" t="s">
        <v>36</v>
      </c>
      <c r="E114" s="1" t="s">
        <v>23</v>
      </c>
      <c r="F114" s="1" t="s">
        <v>37</v>
      </c>
      <c r="G114" s="1" t="s">
        <v>50</v>
      </c>
      <c r="H114" s="1" t="s">
        <v>51</v>
      </c>
      <c r="I114" s="7">
        <v>43998</v>
      </c>
      <c r="J114" s="7">
        <v>44013</v>
      </c>
      <c r="K114" s="1">
        <v>15</v>
      </c>
      <c r="L114" s="1" t="s">
        <v>27</v>
      </c>
      <c r="M114" s="1" t="s">
        <v>28</v>
      </c>
      <c r="N114" s="1" t="s">
        <v>126</v>
      </c>
      <c r="O114" s="1" t="s">
        <v>30</v>
      </c>
      <c r="P114" s="29">
        <v>18830.47</v>
      </c>
      <c r="Q114" s="1" t="s">
        <v>351</v>
      </c>
      <c r="R114" s="1">
        <v>7</v>
      </c>
      <c r="S114" s="1">
        <v>151</v>
      </c>
      <c r="T114" s="4"/>
      <c r="U114" s="1" t="s">
        <v>32</v>
      </c>
      <c r="V114" s="17" t="s">
        <v>33</v>
      </c>
    </row>
    <row r="115" spans="1:22" ht="15" customHeight="1" x14ac:dyDescent="0.25">
      <c r="A115" s="16" t="s">
        <v>361</v>
      </c>
      <c r="B115" s="3" t="s">
        <v>362</v>
      </c>
      <c r="C115">
        <v>58</v>
      </c>
      <c r="D115" s="3" t="s">
        <v>59</v>
      </c>
      <c r="E115" s="3" t="s">
        <v>48</v>
      </c>
      <c r="F115" s="3" t="s">
        <v>37</v>
      </c>
      <c r="G115" s="3" t="s">
        <v>131</v>
      </c>
      <c r="H115" s="3" t="s">
        <v>26</v>
      </c>
      <c r="I115" s="8">
        <v>44464</v>
      </c>
      <c r="J115" s="8">
        <v>44478</v>
      </c>
      <c r="K115" s="3">
        <v>14</v>
      </c>
      <c r="L115" s="3" t="s">
        <v>122</v>
      </c>
      <c r="M115" s="3" t="s">
        <v>40</v>
      </c>
      <c r="N115" s="3" t="s">
        <v>157</v>
      </c>
      <c r="O115" s="3" t="s">
        <v>30</v>
      </c>
      <c r="P115" s="30">
        <v>38485.15</v>
      </c>
      <c r="Q115" s="3" t="s">
        <v>291</v>
      </c>
      <c r="R115" s="3">
        <v>6</v>
      </c>
      <c r="S115" s="3">
        <v>368</v>
      </c>
      <c r="T115" s="3">
        <v>28.8</v>
      </c>
      <c r="U115" s="3" t="s">
        <v>44</v>
      </c>
      <c r="V115" s="18" t="s">
        <v>33</v>
      </c>
    </row>
    <row r="116" spans="1:22" ht="15" customHeight="1" x14ac:dyDescent="0.25">
      <c r="A116" s="15" t="s">
        <v>363</v>
      </c>
      <c r="B116" s="1" t="s">
        <v>364</v>
      </c>
      <c r="C116">
        <v>88</v>
      </c>
      <c r="D116" s="1" t="s">
        <v>36</v>
      </c>
      <c r="E116" s="1" t="s">
        <v>48</v>
      </c>
      <c r="F116" s="1" t="s">
        <v>155</v>
      </c>
      <c r="G116" s="1" t="s">
        <v>50</v>
      </c>
      <c r="H116" s="1" t="s">
        <v>51</v>
      </c>
      <c r="I116" s="7">
        <v>44095</v>
      </c>
      <c r="J116" s="7">
        <v>44100</v>
      </c>
      <c r="K116" s="1">
        <v>5</v>
      </c>
      <c r="L116" s="1" t="s">
        <v>102</v>
      </c>
      <c r="M116" s="1" t="s">
        <v>28</v>
      </c>
      <c r="N116" s="1" t="s">
        <v>54</v>
      </c>
      <c r="O116" s="1" t="s">
        <v>42</v>
      </c>
      <c r="P116" s="29">
        <v>43446.16</v>
      </c>
      <c r="Q116" s="1" t="s">
        <v>194</v>
      </c>
      <c r="R116" s="1">
        <v>9</v>
      </c>
      <c r="S116" s="1">
        <v>145</v>
      </c>
      <c r="T116" s="1">
        <v>18.100000000000001</v>
      </c>
      <c r="U116" s="1" t="s">
        <v>44</v>
      </c>
      <c r="V116" s="17" t="s">
        <v>33</v>
      </c>
    </row>
    <row r="117" spans="1:22" ht="15" customHeight="1" x14ac:dyDescent="0.25">
      <c r="A117" s="16" t="s">
        <v>365</v>
      </c>
      <c r="B117" s="3" t="s">
        <v>366</v>
      </c>
      <c r="C117">
        <v>32</v>
      </c>
      <c r="D117" s="3" t="s">
        <v>47</v>
      </c>
      <c r="E117" s="3" t="s">
        <v>23</v>
      </c>
      <c r="F117" s="3" t="s">
        <v>99</v>
      </c>
      <c r="G117" s="3" t="s">
        <v>131</v>
      </c>
      <c r="H117" s="3" t="s">
        <v>78</v>
      </c>
      <c r="I117" s="6">
        <v>44056</v>
      </c>
      <c r="J117" s="8">
        <v>44062</v>
      </c>
      <c r="K117" s="3">
        <v>6</v>
      </c>
      <c r="L117" s="3" t="s">
        <v>231</v>
      </c>
      <c r="M117" s="3" t="s">
        <v>53</v>
      </c>
      <c r="N117" s="3" t="s">
        <v>133</v>
      </c>
      <c r="O117" s="3" t="s">
        <v>30</v>
      </c>
      <c r="P117" s="30">
        <v>7715.62</v>
      </c>
      <c r="Q117" s="3" t="s">
        <v>291</v>
      </c>
      <c r="R117" s="3">
        <v>7</v>
      </c>
      <c r="S117" s="3">
        <v>443</v>
      </c>
      <c r="T117" s="3">
        <v>24.2</v>
      </c>
      <c r="U117" s="3" t="s">
        <v>86</v>
      </c>
      <c r="V117" s="18" t="s">
        <v>33</v>
      </c>
    </row>
    <row r="118" spans="1:22" ht="15" customHeight="1" x14ac:dyDescent="0.25">
      <c r="A118" s="15" t="s">
        <v>367</v>
      </c>
      <c r="B118" s="1" t="s">
        <v>368</v>
      </c>
      <c r="C118">
        <v>89</v>
      </c>
      <c r="D118" s="1" t="s">
        <v>36</v>
      </c>
      <c r="E118" s="1" t="s">
        <v>48</v>
      </c>
      <c r="F118" s="1" t="s">
        <v>70</v>
      </c>
      <c r="G118" s="1" t="s">
        <v>60</v>
      </c>
      <c r="H118" s="1" t="s">
        <v>51</v>
      </c>
      <c r="I118" s="6">
        <v>44821</v>
      </c>
      <c r="J118" s="7">
        <v>44825</v>
      </c>
      <c r="K118" s="1">
        <v>4</v>
      </c>
      <c r="L118" s="1" t="s">
        <v>89</v>
      </c>
      <c r="M118" s="1" t="s">
        <v>90</v>
      </c>
      <c r="N118" s="1" t="s">
        <v>210</v>
      </c>
      <c r="O118" s="1" t="s">
        <v>30</v>
      </c>
      <c r="P118" s="29">
        <v>21585.27</v>
      </c>
      <c r="Q118" s="1" t="s">
        <v>62</v>
      </c>
      <c r="R118" s="1">
        <v>6</v>
      </c>
      <c r="S118" s="1">
        <v>131</v>
      </c>
      <c r="T118" s="1">
        <v>21.2</v>
      </c>
      <c r="U118" s="1" t="s">
        <v>44</v>
      </c>
      <c r="V118" s="17" t="s">
        <v>33</v>
      </c>
    </row>
    <row r="119" spans="1:22" ht="15" customHeight="1" x14ac:dyDescent="0.25">
      <c r="A119" s="16" t="s">
        <v>369</v>
      </c>
      <c r="B119" s="3" t="s">
        <v>370</v>
      </c>
      <c r="C119">
        <v>60</v>
      </c>
      <c r="D119" s="3" t="s">
        <v>59</v>
      </c>
      <c r="E119" s="3" t="s">
        <v>48</v>
      </c>
      <c r="F119" s="3" t="s">
        <v>76</v>
      </c>
      <c r="G119" s="3" t="s">
        <v>131</v>
      </c>
      <c r="H119" s="3" t="s">
        <v>51</v>
      </c>
      <c r="I119" s="8">
        <v>44153</v>
      </c>
      <c r="J119" s="8">
        <v>44155</v>
      </c>
      <c r="K119" s="3">
        <v>2</v>
      </c>
      <c r="L119" s="3" t="s">
        <v>89</v>
      </c>
      <c r="M119" s="3" t="s">
        <v>90</v>
      </c>
      <c r="N119" s="3" t="s">
        <v>133</v>
      </c>
      <c r="O119" s="3" t="s">
        <v>104</v>
      </c>
      <c r="P119" s="30">
        <v>24631.51</v>
      </c>
      <c r="Q119" s="3" t="s">
        <v>266</v>
      </c>
      <c r="R119" s="3">
        <v>4</v>
      </c>
      <c r="S119" s="3">
        <v>146</v>
      </c>
      <c r="T119" s="3">
        <v>23.5</v>
      </c>
      <c r="U119" s="3" t="s">
        <v>86</v>
      </c>
      <c r="V119" s="18" t="s">
        <v>33</v>
      </c>
    </row>
    <row r="120" spans="1:22" ht="15" customHeight="1" x14ac:dyDescent="0.25">
      <c r="A120" s="15" t="s">
        <v>371</v>
      </c>
      <c r="B120" s="1" t="s">
        <v>372</v>
      </c>
      <c r="C120">
        <v>51</v>
      </c>
      <c r="D120" s="1" t="s">
        <v>98</v>
      </c>
      <c r="E120" s="1" t="s">
        <v>48</v>
      </c>
      <c r="F120" s="1" t="s">
        <v>83</v>
      </c>
      <c r="G120" s="1" t="s">
        <v>373</v>
      </c>
      <c r="H120" s="1" t="s">
        <v>51</v>
      </c>
      <c r="I120" s="7">
        <v>44145</v>
      </c>
      <c r="J120" s="7">
        <v>44148</v>
      </c>
      <c r="K120" s="1">
        <v>3</v>
      </c>
      <c r="L120" s="1" t="s">
        <v>231</v>
      </c>
      <c r="M120" s="1" t="s">
        <v>53</v>
      </c>
      <c r="N120" s="1" t="s">
        <v>312</v>
      </c>
      <c r="O120" s="1" t="s">
        <v>55</v>
      </c>
      <c r="P120" s="29">
        <v>14458.16</v>
      </c>
      <c r="Q120" s="1" t="s">
        <v>374</v>
      </c>
      <c r="R120" s="1">
        <v>5</v>
      </c>
      <c r="S120" s="1">
        <v>149</v>
      </c>
      <c r="T120" s="1">
        <v>26.3</v>
      </c>
      <c r="U120" s="1" t="s">
        <v>44</v>
      </c>
      <c r="V120" s="17" t="s">
        <v>33</v>
      </c>
    </row>
    <row r="121" spans="1:22" ht="15" customHeight="1" x14ac:dyDescent="0.25">
      <c r="A121" s="16" t="s">
        <v>375</v>
      </c>
      <c r="B121" s="3" t="s">
        <v>376</v>
      </c>
      <c r="C121">
        <v>63</v>
      </c>
      <c r="D121" s="3" t="s">
        <v>59</v>
      </c>
      <c r="E121" s="3" t="s">
        <v>48</v>
      </c>
      <c r="F121" s="3" t="s">
        <v>83</v>
      </c>
      <c r="G121" s="3" t="s">
        <v>60</v>
      </c>
      <c r="H121" s="3" t="s">
        <v>51</v>
      </c>
      <c r="I121" s="8">
        <v>43784</v>
      </c>
      <c r="J121" s="8">
        <v>43790</v>
      </c>
      <c r="K121" s="3">
        <v>6</v>
      </c>
      <c r="L121" s="3" t="s">
        <v>52</v>
      </c>
      <c r="M121" s="3" t="s">
        <v>53</v>
      </c>
      <c r="N121" s="3" t="s">
        <v>103</v>
      </c>
      <c r="O121" s="3" t="s">
        <v>30</v>
      </c>
      <c r="P121" s="30">
        <v>24312.29</v>
      </c>
      <c r="Q121" s="3" t="s">
        <v>105</v>
      </c>
      <c r="R121" s="3">
        <v>4</v>
      </c>
      <c r="S121" s="3">
        <v>135</v>
      </c>
      <c r="T121" s="3">
        <v>27.4</v>
      </c>
      <c r="U121" s="3" t="s">
        <v>44</v>
      </c>
      <c r="V121" s="18" t="s">
        <v>33</v>
      </c>
    </row>
    <row r="122" spans="1:22" ht="15" customHeight="1" x14ac:dyDescent="0.25">
      <c r="A122" s="15" t="s">
        <v>377</v>
      </c>
      <c r="B122" s="1" t="s">
        <v>378</v>
      </c>
      <c r="C122">
        <v>42</v>
      </c>
      <c r="D122" s="1" t="s">
        <v>98</v>
      </c>
      <c r="E122" s="1" t="s">
        <v>23</v>
      </c>
      <c r="F122" s="1" t="s">
        <v>99</v>
      </c>
      <c r="G122" s="1" t="s">
        <v>163</v>
      </c>
      <c r="H122" s="1" t="s">
        <v>51</v>
      </c>
      <c r="I122" s="6">
        <v>45238</v>
      </c>
      <c r="J122" s="7">
        <v>45152</v>
      </c>
      <c r="K122" s="1">
        <v>3</v>
      </c>
      <c r="L122" s="1" t="s">
        <v>132</v>
      </c>
      <c r="M122" s="1" t="s">
        <v>53</v>
      </c>
      <c r="N122" s="1" t="s">
        <v>164</v>
      </c>
      <c r="O122" s="1" t="s">
        <v>104</v>
      </c>
      <c r="P122" s="29">
        <v>12015.58</v>
      </c>
      <c r="Q122" s="1" t="s">
        <v>234</v>
      </c>
      <c r="R122" s="1">
        <v>5</v>
      </c>
      <c r="S122" s="1">
        <v>157</v>
      </c>
      <c r="T122" s="1">
        <v>36.299999999999997</v>
      </c>
      <c r="U122" s="1" t="s">
        <v>32</v>
      </c>
      <c r="V122" s="17" t="s">
        <v>33</v>
      </c>
    </row>
    <row r="123" spans="1:22" ht="15" customHeight="1" x14ac:dyDescent="0.25">
      <c r="A123" s="16" t="s">
        <v>379</v>
      </c>
      <c r="B123" s="3" t="s">
        <v>107</v>
      </c>
      <c r="C123">
        <v>57</v>
      </c>
      <c r="D123" s="3" t="s">
        <v>59</v>
      </c>
      <c r="E123" s="3" t="s">
        <v>48</v>
      </c>
      <c r="F123" s="3" t="s">
        <v>49</v>
      </c>
      <c r="G123" s="3" t="s">
        <v>77</v>
      </c>
      <c r="H123" s="3" t="s">
        <v>78</v>
      </c>
      <c r="I123" s="6">
        <v>43718</v>
      </c>
      <c r="J123" s="8">
        <v>43755</v>
      </c>
      <c r="K123" s="3">
        <v>8</v>
      </c>
      <c r="L123" s="3" t="s">
        <v>89</v>
      </c>
      <c r="M123" s="3" t="s">
        <v>90</v>
      </c>
      <c r="N123" s="3" t="s">
        <v>94</v>
      </c>
      <c r="O123" s="3" t="s">
        <v>30</v>
      </c>
      <c r="P123" s="30">
        <v>43219.31</v>
      </c>
      <c r="Q123" s="3" t="s">
        <v>223</v>
      </c>
      <c r="R123" s="3">
        <v>10</v>
      </c>
      <c r="S123" s="3">
        <v>408</v>
      </c>
      <c r="T123" s="3">
        <v>34.799999999999997</v>
      </c>
      <c r="U123" s="3" t="s">
        <v>44</v>
      </c>
      <c r="V123" s="18" t="s">
        <v>33</v>
      </c>
    </row>
    <row r="124" spans="1:22" ht="15" customHeight="1" x14ac:dyDescent="0.25">
      <c r="A124" s="15" t="s">
        <v>380</v>
      </c>
      <c r="B124" s="1" t="s">
        <v>381</v>
      </c>
      <c r="C124">
        <v>61</v>
      </c>
      <c r="D124" s="1" t="s">
        <v>59</v>
      </c>
      <c r="E124" s="1" t="s">
        <v>23</v>
      </c>
      <c r="F124" s="1" t="s">
        <v>155</v>
      </c>
      <c r="G124" s="1" t="s">
        <v>163</v>
      </c>
      <c r="H124" s="1" t="s">
        <v>78</v>
      </c>
      <c r="I124" s="7">
        <v>44901</v>
      </c>
      <c r="J124" s="7">
        <v>44816</v>
      </c>
      <c r="K124" s="1">
        <v>3</v>
      </c>
      <c r="L124" s="1" t="s">
        <v>231</v>
      </c>
      <c r="M124" s="1" t="s">
        <v>53</v>
      </c>
      <c r="N124" s="1" t="s">
        <v>164</v>
      </c>
      <c r="O124" s="1" t="s">
        <v>66</v>
      </c>
      <c r="P124" s="29">
        <v>28795.69</v>
      </c>
      <c r="Q124" s="1" t="s">
        <v>382</v>
      </c>
      <c r="R124" s="1">
        <v>2</v>
      </c>
      <c r="S124" s="1">
        <v>366</v>
      </c>
      <c r="T124" s="1">
        <v>24.6</v>
      </c>
      <c r="U124" s="1" t="s">
        <v>32</v>
      </c>
      <c r="V124" s="17" t="s">
        <v>33</v>
      </c>
    </row>
    <row r="125" spans="1:22" ht="15" customHeight="1" x14ac:dyDescent="0.25">
      <c r="A125" s="16" t="s">
        <v>383</v>
      </c>
      <c r="B125" s="3" t="s">
        <v>384</v>
      </c>
      <c r="C125">
        <v>57</v>
      </c>
      <c r="D125" s="3" t="s">
        <v>59</v>
      </c>
      <c r="E125" s="3" t="s">
        <v>23</v>
      </c>
      <c r="F125" s="3" t="s">
        <v>49</v>
      </c>
      <c r="G125" s="3" t="s">
        <v>131</v>
      </c>
      <c r="H125" s="3" t="s">
        <v>78</v>
      </c>
      <c r="I125" s="8">
        <v>44300</v>
      </c>
      <c r="J125" s="8">
        <v>44304</v>
      </c>
      <c r="K125" s="3">
        <v>4</v>
      </c>
      <c r="L125" s="3" t="s">
        <v>102</v>
      </c>
      <c r="M125" s="3" t="s">
        <v>28</v>
      </c>
      <c r="N125" s="3" t="s">
        <v>147</v>
      </c>
      <c r="O125" s="3" t="s">
        <v>42</v>
      </c>
      <c r="P125" s="30">
        <v>19276.3</v>
      </c>
      <c r="Q125" s="3" t="s">
        <v>291</v>
      </c>
      <c r="R125" s="3">
        <v>6</v>
      </c>
      <c r="S125" s="3">
        <v>458</v>
      </c>
      <c r="T125" s="3">
        <v>33.200000000000003</v>
      </c>
      <c r="U125" s="3" t="s">
        <v>44</v>
      </c>
      <c r="V125" s="18" t="s">
        <v>45</v>
      </c>
    </row>
    <row r="126" spans="1:22" ht="15" customHeight="1" x14ac:dyDescent="0.25">
      <c r="A126" s="15" t="s">
        <v>385</v>
      </c>
      <c r="B126" s="1" t="s">
        <v>386</v>
      </c>
      <c r="C126">
        <v>74</v>
      </c>
      <c r="D126" s="1" t="s">
        <v>82</v>
      </c>
      <c r="E126" s="1" t="s">
        <v>48</v>
      </c>
      <c r="F126" s="2" t="s">
        <v>3714</v>
      </c>
      <c r="G126" s="1" t="s">
        <v>50</v>
      </c>
      <c r="H126" s="1" t="s">
        <v>26</v>
      </c>
      <c r="I126" s="7">
        <v>45249</v>
      </c>
      <c r="J126" s="7">
        <v>45255</v>
      </c>
      <c r="K126" s="1">
        <v>6</v>
      </c>
      <c r="L126" s="1" t="s">
        <v>122</v>
      </c>
      <c r="M126" s="1" t="s">
        <v>40</v>
      </c>
      <c r="N126" s="1" t="s">
        <v>126</v>
      </c>
      <c r="O126" s="1" t="s">
        <v>55</v>
      </c>
      <c r="P126" s="29">
        <v>131942.47</v>
      </c>
      <c r="Q126" s="1" t="s">
        <v>127</v>
      </c>
      <c r="R126" s="1">
        <v>9</v>
      </c>
      <c r="S126" s="1">
        <v>366</v>
      </c>
      <c r="T126" s="1">
        <v>35</v>
      </c>
      <c r="U126" s="1" t="s">
        <v>32</v>
      </c>
      <c r="V126" s="17" t="s">
        <v>33</v>
      </c>
    </row>
    <row r="127" spans="1:22" ht="15" customHeight="1" x14ac:dyDescent="0.25">
      <c r="A127" s="16" t="s">
        <v>387</v>
      </c>
      <c r="B127" s="3" t="s">
        <v>388</v>
      </c>
      <c r="C127">
        <v>40</v>
      </c>
      <c r="D127" s="3" t="s">
        <v>98</v>
      </c>
      <c r="E127" s="3" t="s">
        <v>48</v>
      </c>
      <c r="F127" s="3" t="s">
        <v>70</v>
      </c>
      <c r="G127" s="3" t="s">
        <v>38</v>
      </c>
      <c r="H127" s="3" t="s">
        <v>51</v>
      </c>
      <c r="I127" s="8">
        <v>45084</v>
      </c>
      <c r="J127" s="10"/>
      <c r="K127" s="3"/>
      <c r="L127" s="3" t="s">
        <v>112</v>
      </c>
      <c r="M127" s="3" t="s">
        <v>40</v>
      </c>
      <c r="N127" s="3" t="s">
        <v>41</v>
      </c>
      <c r="O127" s="3" t="s">
        <v>30</v>
      </c>
      <c r="P127" s="30">
        <v>11998.33</v>
      </c>
      <c r="Q127" s="3" t="s">
        <v>305</v>
      </c>
      <c r="R127" s="3">
        <v>7</v>
      </c>
      <c r="S127" s="3">
        <v>122</v>
      </c>
      <c r="T127" s="3">
        <v>28.3</v>
      </c>
      <c r="U127" s="3" t="s">
        <v>44</v>
      </c>
      <c r="V127" s="18" t="s">
        <v>33</v>
      </c>
    </row>
    <row r="128" spans="1:22" ht="15" customHeight="1" x14ac:dyDescent="0.25">
      <c r="A128" s="15" t="s">
        <v>389</v>
      </c>
      <c r="B128" s="1" t="s">
        <v>390</v>
      </c>
      <c r="C128">
        <v>56</v>
      </c>
      <c r="D128" s="1" t="s">
        <v>59</v>
      </c>
      <c r="E128" s="1" t="s">
        <v>48</v>
      </c>
      <c r="F128" s="1" t="s">
        <v>24</v>
      </c>
      <c r="G128" s="1" t="s">
        <v>77</v>
      </c>
      <c r="H128" s="1" t="s">
        <v>26</v>
      </c>
      <c r="I128" s="7">
        <v>44462</v>
      </c>
      <c r="J128" s="7">
        <v>44326</v>
      </c>
      <c r="K128" s="1">
        <v>12</v>
      </c>
      <c r="L128" s="1" t="s">
        <v>52</v>
      </c>
      <c r="M128" s="1" t="s">
        <v>53</v>
      </c>
      <c r="N128" s="1" t="s">
        <v>84</v>
      </c>
      <c r="O128" s="1" t="s">
        <v>30</v>
      </c>
      <c r="P128" s="29">
        <v>51707.73</v>
      </c>
      <c r="Q128" s="1" t="s">
        <v>109</v>
      </c>
      <c r="R128" s="1">
        <v>10</v>
      </c>
      <c r="S128" s="1">
        <v>345</v>
      </c>
      <c r="T128" s="1">
        <v>30.4</v>
      </c>
      <c r="U128" s="1" t="s">
        <v>44</v>
      </c>
      <c r="V128" s="17" t="s">
        <v>33</v>
      </c>
    </row>
    <row r="129" spans="1:22" ht="15" customHeight="1" x14ac:dyDescent="0.25">
      <c r="A129" s="16" t="s">
        <v>391</v>
      </c>
      <c r="B129" s="3" t="s">
        <v>392</v>
      </c>
      <c r="C129">
        <v>81</v>
      </c>
      <c r="D129" s="3" t="s">
        <v>36</v>
      </c>
      <c r="E129" s="3" t="s">
        <v>23</v>
      </c>
      <c r="F129" s="3" t="s">
        <v>99</v>
      </c>
      <c r="G129" s="3" t="s">
        <v>163</v>
      </c>
      <c r="H129" s="3" t="s">
        <v>26</v>
      </c>
      <c r="I129" s="8">
        <v>44924</v>
      </c>
      <c r="J129" s="8">
        <v>44986</v>
      </c>
      <c r="K129" s="3">
        <v>5</v>
      </c>
      <c r="L129" s="3" t="s">
        <v>89</v>
      </c>
      <c r="M129" s="3" t="s">
        <v>90</v>
      </c>
      <c r="N129" s="3" t="s">
        <v>346</v>
      </c>
      <c r="O129" s="3" t="s">
        <v>30</v>
      </c>
      <c r="P129" s="30">
        <v>65954.759999999995</v>
      </c>
      <c r="Q129" s="3" t="s">
        <v>382</v>
      </c>
      <c r="R129" s="3">
        <v>5</v>
      </c>
      <c r="S129" s="3">
        <v>243</v>
      </c>
      <c r="T129" s="3">
        <v>19.899999999999999</v>
      </c>
      <c r="U129" s="3" t="s">
        <v>86</v>
      </c>
      <c r="V129" s="18" t="s">
        <v>33</v>
      </c>
    </row>
    <row r="130" spans="1:22" ht="15" customHeight="1" x14ac:dyDescent="0.25">
      <c r="A130" s="15" t="s">
        <v>393</v>
      </c>
      <c r="B130" s="1" t="s">
        <v>394</v>
      </c>
      <c r="C130">
        <v>63</v>
      </c>
      <c r="D130" s="1" t="s">
        <v>59</v>
      </c>
      <c r="E130" s="1" t="s">
        <v>23</v>
      </c>
      <c r="F130" s="1" t="s">
        <v>70</v>
      </c>
      <c r="G130" s="1" t="s">
        <v>38</v>
      </c>
      <c r="H130" s="1" t="s">
        <v>51</v>
      </c>
      <c r="I130" s="7">
        <v>44758</v>
      </c>
      <c r="J130" s="7">
        <v>44761</v>
      </c>
      <c r="K130" s="1">
        <v>3</v>
      </c>
      <c r="L130" s="1" t="s">
        <v>112</v>
      </c>
      <c r="M130" s="1" t="s">
        <v>40</v>
      </c>
      <c r="N130" s="1" t="s">
        <v>203</v>
      </c>
      <c r="O130" s="1" t="s">
        <v>104</v>
      </c>
      <c r="P130" s="29">
        <v>11829.25</v>
      </c>
      <c r="Q130" s="1" t="s">
        <v>174</v>
      </c>
      <c r="R130" s="1">
        <v>8</v>
      </c>
      <c r="S130" s="1">
        <v>173</v>
      </c>
      <c r="T130" s="1">
        <v>34</v>
      </c>
      <c r="U130" s="1" t="s">
        <v>44</v>
      </c>
      <c r="V130" s="17" t="s">
        <v>33</v>
      </c>
    </row>
    <row r="131" spans="1:22" ht="15" customHeight="1" x14ac:dyDescent="0.25">
      <c r="A131" s="16" t="s">
        <v>395</v>
      </c>
      <c r="B131" s="3" t="s">
        <v>396</v>
      </c>
      <c r="C131">
        <v>42</v>
      </c>
      <c r="D131" s="3" t="s">
        <v>98</v>
      </c>
      <c r="E131" s="3" t="s">
        <v>23</v>
      </c>
      <c r="F131" s="3" t="s">
        <v>99</v>
      </c>
      <c r="G131" s="3" t="s">
        <v>77</v>
      </c>
      <c r="H131" s="3" t="s">
        <v>26</v>
      </c>
      <c r="I131" s="8">
        <v>45583</v>
      </c>
      <c r="J131" s="8">
        <v>45595</v>
      </c>
      <c r="K131" s="3">
        <v>12</v>
      </c>
      <c r="L131" s="3" t="s">
        <v>112</v>
      </c>
      <c r="M131" s="3" t="s">
        <v>40</v>
      </c>
      <c r="N131" s="3" t="s">
        <v>79</v>
      </c>
      <c r="O131" s="3" t="s">
        <v>104</v>
      </c>
      <c r="P131" s="30">
        <v>38284.92</v>
      </c>
      <c r="Q131" s="3" t="s">
        <v>85</v>
      </c>
      <c r="R131" s="3">
        <v>10</v>
      </c>
      <c r="S131" s="3">
        <v>386</v>
      </c>
      <c r="T131" s="3">
        <v>28.4</v>
      </c>
      <c r="U131" s="3" t="s">
        <v>44</v>
      </c>
      <c r="V131" s="18" t="s">
        <v>33</v>
      </c>
    </row>
    <row r="132" spans="1:22" ht="15" customHeight="1" x14ac:dyDescent="0.25">
      <c r="A132" s="15" t="s">
        <v>398</v>
      </c>
      <c r="B132" s="1" t="s">
        <v>399</v>
      </c>
      <c r="C132">
        <v>44</v>
      </c>
      <c r="D132" s="1" t="s">
        <v>98</v>
      </c>
      <c r="E132" s="1" t="s">
        <v>23</v>
      </c>
      <c r="F132" s="1" t="s">
        <v>99</v>
      </c>
      <c r="G132" s="1" t="s">
        <v>25</v>
      </c>
      <c r="H132" s="1" t="s">
        <v>51</v>
      </c>
      <c r="I132" s="7">
        <v>44059</v>
      </c>
      <c r="J132" s="7">
        <v>44077</v>
      </c>
      <c r="K132" s="1">
        <v>18</v>
      </c>
      <c r="L132" s="1" t="s">
        <v>132</v>
      </c>
      <c r="M132" s="1" t="s">
        <v>53</v>
      </c>
      <c r="N132" s="1" t="s">
        <v>29</v>
      </c>
      <c r="O132" s="1" t="s">
        <v>55</v>
      </c>
      <c r="P132" s="29">
        <v>21886</v>
      </c>
      <c r="Q132" s="1" t="s">
        <v>400</v>
      </c>
      <c r="R132" s="1">
        <v>11</v>
      </c>
      <c r="S132" s="1">
        <v>166</v>
      </c>
      <c r="T132" s="1">
        <v>22.1</v>
      </c>
      <c r="U132" s="1" t="s">
        <v>44</v>
      </c>
      <c r="V132" s="17" t="s">
        <v>33</v>
      </c>
    </row>
    <row r="133" spans="1:22" ht="15" customHeight="1" x14ac:dyDescent="0.25">
      <c r="A133" s="16" t="s">
        <v>401</v>
      </c>
      <c r="B133" s="3" t="s">
        <v>402</v>
      </c>
      <c r="C133">
        <v>69</v>
      </c>
      <c r="D133" s="3" t="s">
        <v>82</v>
      </c>
      <c r="E133" s="3" t="s">
        <v>48</v>
      </c>
      <c r="F133" s="3" t="s">
        <v>24</v>
      </c>
      <c r="G133" s="3" t="s">
        <v>77</v>
      </c>
      <c r="H133" s="3" t="s">
        <v>26</v>
      </c>
      <c r="I133" s="8">
        <v>45255</v>
      </c>
      <c r="J133" s="8">
        <v>45211</v>
      </c>
      <c r="K133" s="3">
        <v>15</v>
      </c>
      <c r="L133" s="3" t="s">
        <v>185</v>
      </c>
      <c r="M133" s="3" t="s">
        <v>186</v>
      </c>
      <c r="N133" s="3" t="s">
        <v>79</v>
      </c>
      <c r="O133" s="3" t="s">
        <v>30</v>
      </c>
      <c r="P133" s="30">
        <v>71970.03</v>
      </c>
      <c r="Q133" s="3" t="s">
        <v>109</v>
      </c>
      <c r="R133" s="3">
        <v>9</v>
      </c>
      <c r="S133" s="3">
        <v>369</v>
      </c>
      <c r="T133" s="3">
        <v>31</v>
      </c>
      <c r="U133" s="3" t="s">
        <v>86</v>
      </c>
      <c r="V133" s="18" t="s">
        <v>45</v>
      </c>
    </row>
    <row r="134" spans="1:22" ht="15" customHeight="1" x14ac:dyDescent="0.25">
      <c r="A134" s="15" t="s">
        <v>403</v>
      </c>
      <c r="B134" s="1" t="s">
        <v>404</v>
      </c>
      <c r="C134">
        <v>64</v>
      </c>
      <c r="D134" s="1" t="s">
        <v>59</v>
      </c>
      <c r="E134" s="1" t="s">
        <v>48</v>
      </c>
      <c r="F134" s="1" t="s">
        <v>83</v>
      </c>
      <c r="G134" s="1" t="s">
        <v>60</v>
      </c>
      <c r="H134" s="1" t="s">
        <v>51</v>
      </c>
      <c r="I134" s="7">
        <v>43832</v>
      </c>
      <c r="J134" s="10"/>
      <c r="K134" s="1"/>
      <c r="L134" s="1" t="s">
        <v>27</v>
      </c>
      <c r="M134" s="1" t="s">
        <v>28</v>
      </c>
      <c r="N134" s="1" t="s">
        <v>103</v>
      </c>
      <c r="O134" s="1" t="s">
        <v>30</v>
      </c>
      <c r="P134" s="29">
        <v>20079</v>
      </c>
      <c r="Q134" s="1" t="s">
        <v>137</v>
      </c>
      <c r="R134" s="1">
        <v>6</v>
      </c>
      <c r="S134" s="1">
        <v>147</v>
      </c>
      <c r="T134" s="1">
        <v>32.799999999999997</v>
      </c>
      <c r="U134" s="1" t="s">
        <v>86</v>
      </c>
      <c r="V134" s="17" t="s">
        <v>33</v>
      </c>
    </row>
    <row r="135" spans="1:22" ht="15" customHeight="1" x14ac:dyDescent="0.25">
      <c r="A135" s="16" t="s">
        <v>405</v>
      </c>
      <c r="B135" s="2" t="s">
        <v>1482</v>
      </c>
      <c r="C135">
        <v>47</v>
      </c>
      <c r="D135" s="3" t="s">
        <v>98</v>
      </c>
      <c r="E135" s="3" t="s">
        <v>48</v>
      </c>
      <c r="F135" s="3" t="s">
        <v>155</v>
      </c>
      <c r="G135" s="3" t="s">
        <v>38</v>
      </c>
      <c r="H135" s="3" t="s">
        <v>51</v>
      </c>
      <c r="I135" s="8">
        <v>44579</v>
      </c>
      <c r="J135" s="8">
        <v>44581</v>
      </c>
      <c r="K135" s="3">
        <v>2</v>
      </c>
      <c r="L135" s="3" t="s">
        <v>231</v>
      </c>
      <c r="M135" s="3" t="s">
        <v>53</v>
      </c>
      <c r="N135" s="3" t="s">
        <v>173</v>
      </c>
      <c r="O135" s="3" t="s">
        <v>42</v>
      </c>
      <c r="P135" s="30">
        <v>10043.61</v>
      </c>
      <c r="Q135" s="3" t="s">
        <v>119</v>
      </c>
      <c r="R135" s="3">
        <v>7</v>
      </c>
      <c r="S135" s="3">
        <v>102</v>
      </c>
      <c r="T135" s="3">
        <v>40.799999999999997</v>
      </c>
      <c r="U135" s="3" t="s">
        <v>44</v>
      </c>
      <c r="V135" s="18" t="s">
        <v>33</v>
      </c>
    </row>
    <row r="136" spans="1:22" ht="15" customHeight="1" x14ac:dyDescent="0.25">
      <c r="A136" s="15" t="s">
        <v>406</v>
      </c>
      <c r="B136" s="1" t="s">
        <v>407</v>
      </c>
      <c r="C136">
        <v>68</v>
      </c>
      <c r="D136" s="1" t="s">
        <v>82</v>
      </c>
      <c r="E136" s="1" t="s">
        <v>23</v>
      </c>
      <c r="F136" s="1" t="s">
        <v>83</v>
      </c>
      <c r="G136" s="1" t="s">
        <v>163</v>
      </c>
      <c r="H136" s="1" t="s">
        <v>78</v>
      </c>
      <c r="I136" s="6">
        <v>45365</v>
      </c>
      <c r="J136" s="7">
        <v>45371</v>
      </c>
      <c r="K136" s="1">
        <v>6</v>
      </c>
      <c r="L136" s="1" t="s">
        <v>102</v>
      </c>
      <c r="M136" s="1" t="s">
        <v>28</v>
      </c>
      <c r="N136" s="1" t="s">
        <v>213</v>
      </c>
      <c r="O136" s="1" t="s">
        <v>30</v>
      </c>
      <c r="P136" s="29">
        <v>24006.21</v>
      </c>
      <c r="Q136" s="1" t="s">
        <v>257</v>
      </c>
      <c r="R136" s="1">
        <v>6</v>
      </c>
      <c r="S136" s="1">
        <v>226</v>
      </c>
      <c r="T136" s="1">
        <v>31</v>
      </c>
      <c r="U136" s="1" t="s">
        <v>44</v>
      </c>
      <c r="V136" s="17" t="s">
        <v>33</v>
      </c>
    </row>
    <row r="137" spans="1:22" ht="15" customHeight="1" x14ac:dyDescent="0.25">
      <c r="A137" s="16" t="s">
        <v>408</v>
      </c>
      <c r="B137" s="3" t="s">
        <v>409</v>
      </c>
      <c r="C137">
        <v>58</v>
      </c>
      <c r="D137" s="3" t="s">
        <v>59</v>
      </c>
      <c r="E137" s="3" t="s">
        <v>48</v>
      </c>
      <c r="F137" s="2" t="s">
        <v>155</v>
      </c>
      <c r="G137" s="3" t="s">
        <v>50</v>
      </c>
      <c r="H137" s="3" t="s">
        <v>26</v>
      </c>
      <c r="I137" s="8">
        <v>45437</v>
      </c>
      <c r="J137" s="8">
        <v>45328</v>
      </c>
      <c r="K137" s="3">
        <v>8</v>
      </c>
      <c r="L137" s="3" t="s">
        <v>122</v>
      </c>
      <c r="M137" s="3" t="s">
        <v>40</v>
      </c>
      <c r="N137" s="3" t="s">
        <v>126</v>
      </c>
      <c r="O137" s="3" t="s">
        <v>42</v>
      </c>
      <c r="P137" s="30">
        <v>97861</v>
      </c>
      <c r="Q137" s="3" t="s">
        <v>85</v>
      </c>
      <c r="R137" s="3">
        <v>8</v>
      </c>
      <c r="S137" s="3">
        <v>388</v>
      </c>
      <c r="T137" s="3">
        <v>22.9</v>
      </c>
      <c r="U137" s="3" t="s">
        <v>32</v>
      </c>
      <c r="V137" s="18" t="s">
        <v>33</v>
      </c>
    </row>
    <row r="138" spans="1:22" ht="15" customHeight="1" x14ac:dyDescent="0.25">
      <c r="A138" s="15" t="s">
        <v>410</v>
      </c>
      <c r="B138" s="2" t="s">
        <v>3034</v>
      </c>
      <c r="C138">
        <v>37</v>
      </c>
      <c r="D138" s="1" t="s">
        <v>98</v>
      </c>
      <c r="E138" s="1" t="s">
        <v>48</v>
      </c>
      <c r="F138" s="1" t="s">
        <v>37</v>
      </c>
      <c r="G138" s="1" t="s">
        <v>77</v>
      </c>
      <c r="H138" s="1" t="s">
        <v>51</v>
      </c>
      <c r="I138" s="6">
        <v>44487</v>
      </c>
      <c r="J138" s="7">
        <v>44500</v>
      </c>
      <c r="K138" s="1">
        <v>13</v>
      </c>
      <c r="L138" s="1" t="s">
        <v>39</v>
      </c>
      <c r="M138" s="1" t="s">
        <v>40</v>
      </c>
      <c r="N138" s="1" t="s">
        <v>79</v>
      </c>
      <c r="O138" s="1" t="s">
        <v>42</v>
      </c>
      <c r="P138" s="29">
        <v>50556</v>
      </c>
      <c r="Q138" s="1" t="s">
        <v>95</v>
      </c>
      <c r="R138" s="1">
        <v>8</v>
      </c>
      <c r="S138" s="1">
        <v>135</v>
      </c>
      <c r="T138" s="1">
        <v>28.1</v>
      </c>
      <c r="U138" s="1" t="s">
        <v>44</v>
      </c>
      <c r="V138" s="17" t="s">
        <v>33</v>
      </c>
    </row>
    <row r="139" spans="1:22" ht="15" customHeight="1" x14ac:dyDescent="0.25">
      <c r="A139" s="16" t="s">
        <v>411</v>
      </c>
      <c r="B139" s="3" t="s">
        <v>412</v>
      </c>
      <c r="C139">
        <v>62</v>
      </c>
      <c r="D139" s="3" t="s">
        <v>59</v>
      </c>
      <c r="E139" s="3" t="s">
        <v>23</v>
      </c>
      <c r="F139" s="3" t="s">
        <v>24</v>
      </c>
      <c r="G139" s="3" t="s">
        <v>77</v>
      </c>
      <c r="H139" s="3" t="s">
        <v>51</v>
      </c>
      <c r="I139" s="6">
        <v>44957</v>
      </c>
      <c r="J139" s="8">
        <v>44965</v>
      </c>
      <c r="K139" s="3">
        <v>8</v>
      </c>
      <c r="L139" s="3" t="s">
        <v>122</v>
      </c>
      <c r="M139" s="3" t="s">
        <v>40</v>
      </c>
      <c r="N139" s="3" t="s">
        <v>94</v>
      </c>
      <c r="O139" s="3" t="s">
        <v>42</v>
      </c>
      <c r="P139" s="30">
        <v>61688.97</v>
      </c>
      <c r="Q139" s="3" t="s">
        <v>109</v>
      </c>
      <c r="R139" s="3">
        <v>8</v>
      </c>
      <c r="S139" s="3">
        <v>105</v>
      </c>
      <c r="T139" s="3">
        <v>29.7</v>
      </c>
      <c r="U139" s="3" t="s">
        <v>44</v>
      </c>
      <c r="V139" s="18" t="s">
        <v>33</v>
      </c>
    </row>
    <row r="140" spans="1:22" ht="15" customHeight="1" x14ac:dyDescent="0.25">
      <c r="A140" s="15" t="s">
        <v>413</v>
      </c>
      <c r="B140" s="1" t="s">
        <v>414</v>
      </c>
      <c r="C140">
        <v>56</v>
      </c>
      <c r="D140" s="1" t="s">
        <v>59</v>
      </c>
      <c r="E140" s="1" t="s">
        <v>23</v>
      </c>
      <c r="F140" s="1" t="s">
        <v>70</v>
      </c>
      <c r="G140" s="1" t="s">
        <v>77</v>
      </c>
      <c r="H140" s="1" t="s">
        <v>26</v>
      </c>
      <c r="I140" s="6">
        <v>43756</v>
      </c>
      <c r="J140" s="7">
        <v>43769</v>
      </c>
      <c r="K140" s="1">
        <v>13</v>
      </c>
      <c r="L140" s="1" t="s">
        <v>52</v>
      </c>
      <c r="M140" s="1" t="s">
        <v>53</v>
      </c>
      <c r="N140" s="1" t="s">
        <v>94</v>
      </c>
      <c r="O140" s="1" t="s">
        <v>42</v>
      </c>
      <c r="P140" s="29">
        <v>106126.12</v>
      </c>
      <c r="Q140" s="1" t="s">
        <v>100</v>
      </c>
      <c r="R140" s="1">
        <v>9</v>
      </c>
      <c r="S140" s="1">
        <v>372</v>
      </c>
      <c r="T140" s="1">
        <v>28</v>
      </c>
      <c r="U140" s="1" t="s">
        <v>44</v>
      </c>
      <c r="V140" s="17" t="s">
        <v>45</v>
      </c>
    </row>
    <row r="141" spans="1:22" ht="15" customHeight="1" x14ac:dyDescent="0.25">
      <c r="A141" s="16" t="s">
        <v>415</v>
      </c>
      <c r="B141" s="3" t="s">
        <v>416</v>
      </c>
      <c r="C141">
        <v>53</v>
      </c>
      <c r="D141" s="3" t="s">
        <v>98</v>
      </c>
      <c r="E141" s="3" t="s">
        <v>23</v>
      </c>
      <c r="F141" s="3" t="s">
        <v>99</v>
      </c>
      <c r="G141" s="3" t="s">
        <v>417</v>
      </c>
      <c r="H141" s="3" t="s">
        <v>51</v>
      </c>
      <c r="I141" s="8">
        <v>44848</v>
      </c>
      <c r="J141" s="8">
        <v>44854</v>
      </c>
      <c r="K141" s="3">
        <v>6</v>
      </c>
      <c r="L141" s="3" t="s">
        <v>185</v>
      </c>
      <c r="M141" s="3" t="s">
        <v>186</v>
      </c>
      <c r="N141" s="3" t="s">
        <v>41</v>
      </c>
      <c r="O141" s="3" t="s">
        <v>30</v>
      </c>
      <c r="P141" s="30">
        <v>15201.37</v>
      </c>
      <c r="Q141" s="3" t="s">
        <v>236</v>
      </c>
      <c r="R141" s="3">
        <v>8</v>
      </c>
      <c r="S141" s="3">
        <v>157</v>
      </c>
      <c r="T141" s="3">
        <v>26.1</v>
      </c>
      <c r="U141" s="3" t="s">
        <v>32</v>
      </c>
      <c r="V141" s="18" t="s">
        <v>33</v>
      </c>
    </row>
    <row r="142" spans="1:22" ht="15" customHeight="1" x14ac:dyDescent="0.25">
      <c r="A142" s="15" t="s">
        <v>418</v>
      </c>
      <c r="B142" s="1" t="s">
        <v>419</v>
      </c>
      <c r="C142">
        <v>6</v>
      </c>
      <c r="D142" s="1" t="s">
        <v>22</v>
      </c>
      <c r="E142" s="1" t="s">
        <v>48</v>
      </c>
      <c r="F142" s="1" t="s">
        <v>83</v>
      </c>
      <c r="G142" s="1" t="s">
        <v>131</v>
      </c>
      <c r="H142" s="1" t="s">
        <v>51</v>
      </c>
      <c r="I142" s="6">
        <v>44653</v>
      </c>
      <c r="J142" s="7">
        <v>44605</v>
      </c>
      <c r="K142" s="1">
        <v>9</v>
      </c>
      <c r="L142" s="1" t="s">
        <v>231</v>
      </c>
      <c r="M142" s="1" t="s">
        <v>53</v>
      </c>
      <c r="N142" s="1" t="s">
        <v>157</v>
      </c>
      <c r="O142" s="1" t="s">
        <v>30</v>
      </c>
      <c r="P142" s="29">
        <v>8968.61</v>
      </c>
      <c r="Q142" s="1" t="s">
        <v>152</v>
      </c>
      <c r="R142" s="1">
        <v>6</v>
      </c>
      <c r="S142" s="1">
        <v>141</v>
      </c>
      <c r="T142" s="1">
        <v>25.9</v>
      </c>
      <c r="U142" s="1" t="s">
        <v>44</v>
      </c>
      <c r="V142" s="17" t="s">
        <v>33</v>
      </c>
    </row>
    <row r="143" spans="1:22" ht="15" customHeight="1" x14ac:dyDescent="0.25">
      <c r="A143" s="16" t="s">
        <v>420</v>
      </c>
      <c r="B143" s="3" t="s">
        <v>421</v>
      </c>
      <c r="C143">
        <v>66</v>
      </c>
      <c r="D143" s="3" t="s">
        <v>82</v>
      </c>
      <c r="E143" s="3" t="s">
        <v>48</v>
      </c>
      <c r="F143" s="3" t="s">
        <v>37</v>
      </c>
      <c r="G143" s="3" t="s">
        <v>163</v>
      </c>
      <c r="H143" s="3" t="s">
        <v>156</v>
      </c>
      <c r="I143" s="8">
        <v>44835</v>
      </c>
      <c r="J143" s="8">
        <v>44661</v>
      </c>
      <c r="K143" s="3">
        <v>3</v>
      </c>
      <c r="L143" s="3" t="s">
        <v>52</v>
      </c>
      <c r="M143" s="3" t="s">
        <v>53</v>
      </c>
      <c r="N143" s="3" t="s">
        <v>346</v>
      </c>
      <c r="O143" s="3" t="s">
        <v>104</v>
      </c>
      <c r="P143" s="30">
        <v>17536.03</v>
      </c>
      <c r="Q143" s="3" t="s">
        <v>234</v>
      </c>
      <c r="R143" s="3">
        <v>6</v>
      </c>
      <c r="S143" s="3">
        <v>213</v>
      </c>
      <c r="T143" s="3">
        <v>27.5</v>
      </c>
      <c r="U143" s="3" t="s">
        <v>44</v>
      </c>
      <c r="V143" s="18" t="s">
        <v>33</v>
      </c>
    </row>
    <row r="144" spans="1:22" ht="15" customHeight="1" x14ac:dyDescent="0.25">
      <c r="A144" s="15" t="s">
        <v>422</v>
      </c>
      <c r="B144" s="1" t="s">
        <v>423</v>
      </c>
      <c r="C144">
        <v>74</v>
      </c>
      <c r="D144" s="1" t="s">
        <v>82</v>
      </c>
      <c r="E144" s="1" t="s">
        <v>23</v>
      </c>
      <c r="F144" s="1" t="s">
        <v>49</v>
      </c>
      <c r="G144" s="1" t="s">
        <v>60</v>
      </c>
      <c r="H144" s="1" t="s">
        <v>51</v>
      </c>
      <c r="I144" s="6">
        <v>43667</v>
      </c>
      <c r="J144" s="7">
        <v>43673</v>
      </c>
      <c r="K144" s="1">
        <v>6</v>
      </c>
      <c r="L144" s="1" t="s">
        <v>102</v>
      </c>
      <c r="M144" s="1" t="s">
        <v>28</v>
      </c>
      <c r="N144" s="1" t="s">
        <v>210</v>
      </c>
      <c r="O144" s="1" t="s">
        <v>30</v>
      </c>
      <c r="P144" s="29">
        <v>37891</v>
      </c>
      <c r="Q144" s="1" t="s">
        <v>137</v>
      </c>
      <c r="R144" s="1">
        <v>6</v>
      </c>
      <c r="S144" s="1">
        <v>141</v>
      </c>
      <c r="T144" s="1">
        <v>19.3</v>
      </c>
      <c r="U144" s="1" t="s">
        <v>32</v>
      </c>
      <c r="V144" s="17" t="s">
        <v>33</v>
      </c>
    </row>
    <row r="145" spans="1:22" ht="15" customHeight="1" x14ac:dyDescent="0.25">
      <c r="A145" s="16" t="s">
        <v>424</v>
      </c>
      <c r="B145" s="3" t="s">
        <v>425</v>
      </c>
      <c r="C145">
        <v>58</v>
      </c>
      <c r="D145" s="3" t="s">
        <v>59</v>
      </c>
      <c r="E145" s="3" t="s">
        <v>23</v>
      </c>
      <c r="F145" s="2" t="s">
        <v>3714</v>
      </c>
      <c r="G145" s="3" t="s">
        <v>38</v>
      </c>
      <c r="H145" s="3" t="s">
        <v>51</v>
      </c>
      <c r="I145" s="8">
        <v>44063</v>
      </c>
      <c r="J145" s="8">
        <v>44064</v>
      </c>
      <c r="K145" s="3">
        <v>1</v>
      </c>
      <c r="L145" s="3" t="s">
        <v>39</v>
      </c>
      <c r="M145" s="3" t="s">
        <v>40</v>
      </c>
      <c r="N145" s="3" t="s">
        <v>203</v>
      </c>
      <c r="O145" s="3" t="s">
        <v>42</v>
      </c>
      <c r="P145" s="30">
        <v>19052.32</v>
      </c>
      <c r="Q145" s="3" t="s">
        <v>236</v>
      </c>
      <c r="R145" s="3">
        <v>8</v>
      </c>
      <c r="S145" s="3">
        <v>139</v>
      </c>
      <c r="T145" s="3">
        <v>37.1</v>
      </c>
      <c r="U145" s="3" t="s">
        <v>86</v>
      </c>
      <c r="V145" s="18" t="s">
        <v>33</v>
      </c>
    </row>
    <row r="146" spans="1:22" ht="15" customHeight="1" x14ac:dyDescent="0.25">
      <c r="A146" s="15" t="s">
        <v>427</v>
      </c>
      <c r="B146" s="1" t="s">
        <v>428</v>
      </c>
      <c r="C146">
        <v>51</v>
      </c>
      <c r="D146" s="1" t="s">
        <v>98</v>
      </c>
      <c r="E146" s="1" t="s">
        <v>48</v>
      </c>
      <c r="F146" s="1" t="s">
        <v>70</v>
      </c>
      <c r="G146" s="1" t="s">
        <v>38</v>
      </c>
      <c r="H146" s="1" t="s">
        <v>51</v>
      </c>
      <c r="I146" s="6">
        <v>45623</v>
      </c>
      <c r="J146" s="7">
        <v>45625</v>
      </c>
      <c r="K146" s="1">
        <v>2</v>
      </c>
      <c r="L146" s="1" t="s">
        <v>112</v>
      </c>
      <c r="M146" s="1" t="s">
        <v>40</v>
      </c>
      <c r="N146" s="1" t="s">
        <v>173</v>
      </c>
      <c r="O146" s="1" t="s">
        <v>42</v>
      </c>
      <c r="P146" s="29">
        <v>8887.06</v>
      </c>
      <c r="Q146" s="1" t="s">
        <v>174</v>
      </c>
      <c r="R146" s="1">
        <v>8</v>
      </c>
      <c r="S146" s="1">
        <v>112</v>
      </c>
      <c r="T146" s="1">
        <v>38</v>
      </c>
      <c r="U146" s="1" t="s">
        <v>86</v>
      </c>
      <c r="V146" s="17" t="s">
        <v>45</v>
      </c>
    </row>
    <row r="147" spans="1:22" ht="15" customHeight="1" x14ac:dyDescent="0.25">
      <c r="A147" s="16" t="s">
        <v>429</v>
      </c>
      <c r="B147" s="3" t="s">
        <v>430</v>
      </c>
      <c r="C147">
        <v>49</v>
      </c>
      <c r="D147" s="3" t="s">
        <v>98</v>
      </c>
      <c r="E147" s="3" t="s">
        <v>23</v>
      </c>
      <c r="F147" s="3" t="s">
        <v>24</v>
      </c>
      <c r="G147" s="3" t="s">
        <v>77</v>
      </c>
      <c r="H147" s="3" t="s">
        <v>51</v>
      </c>
      <c r="I147" s="8">
        <v>44542</v>
      </c>
      <c r="J147" s="8">
        <v>44551</v>
      </c>
      <c r="K147" s="3">
        <v>9</v>
      </c>
      <c r="L147" s="3" t="s">
        <v>27</v>
      </c>
      <c r="M147" s="3" t="s">
        <v>28</v>
      </c>
      <c r="N147" s="3" t="s">
        <v>94</v>
      </c>
      <c r="O147" s="3" t="s">
        <v>30</v>
      </c>
      <c r="P147" s="30">
        <v>31480.07</v>
      </c>
      <c r="Q147" s="3" t="s">
        <v>95</v>
      </c>
      <c r="R147" s="3">
        <v>10</v>
      </c>
      <c r="S147" s="3">
        <v>193</v>
      </c>
      <c r="T147" s="3">
        <v>21.8</v>
      </c>
      <c r="U147" s="3" t="s">
        <v>86</v>
      </c>
      <c r="V147" s="18" t="s">
        <v>33</v>
      </c>
    </row>
    <row r="148" spans="1:22" ht="15" customHeight="1" x14ac:dyDescent="0.25">
      <c r="A148" s="15" t="s">
        <v>431</v>
      </c>
      <c r="B148" s="1" t="s">
        <v>432</v>
      </c>
      <c r="C148">
        <v>42</v>
      </c>
      <c r="D148" s="1" t="s">
        <v>98</v>
      </c>
      <c r="E148" s="1" t="s">
        <v>48</v>
      </c>
      <c r="F148" s="1" t="s">
        <v>70</v>
      </c>
      <c r="G148" s="1" t="s">
        <v>25</v>
      </c>
      <c r="H148" s="1" t="s">
        <v>51</v>
      </c>
      <c r="I148" s="7">
        <v>44412</v>
      </c>
      <c r="J148" s="7">
        <v>44308</v>
      </c>
      <c r="K148" s="1">
        <v>14</v>
      </c>
      <c r="L148" s="1" t="s">
        <v>39</v>
      </c>
      <c r="M148" s="1" t="s">
        <v>40</v>
      </c>
      <c r="N148" s="1" t="s">
        <v>29</v>
      </c>
      <c r="O148" s="1" t="s">
        <v>104</v>
      </c>
      <c r="P148" s="29">
        <v>58364.95</v>
      </c>
      <c r="Q148" s="1" t="s">
        <v>322</v>
      </c>
      <c r="R148" s="1">
        <v>10</v>
      </c>
      <c r="S148" s="1">
        <v>181</v>
      </c>
      <c r="T148" s="1">
        <v>28.8</v>
      </c>
      <c r="U148" s="1" t="s">
        <v>44</v>
      </c>
      <c r="V148" s="17" t="s">
        <v>33</v>
      </c>
    </row>
    <row r="149" spans="1:22" ht="15" customHeight="1" x14ac:dyDescent="0.25">
      <c r="A149" s="16" t="s">
        <v>433</v>
      </c>
      <c r="B149" s="3" t="s">
        <v>434</v>
      </c>
      <c r="C149">
        <v>54</v>
      </c>
      <c r="D149" s="3" t="s">
        <v>98</v>
      </c>
      <c r="E149" s="3" t="s">
        <v>23</v>
      </c>
      <c r="F149" s="3" t="s">
        <v>83</v>
      </c>
      <c r="G149" s="3" t="s">
        <v>77</v>
      </c>
      <c r="H149" s="3" t="s">
        <v>26</v>
      </c>
      <c r="I149" s="6">
        <v>45386</v>
      </c>
      <c r="J149" s="8">
        <v>45400</v>
      </c>
      <c r="K149" s="3">
        <v>14</v>
      </c>
      <c r="L149" s="3" t="s">
        <v>122</v>
      </c>
      <c r="M149" s="3" t="s">
        <v>40</v>
      </c>
      <c r="N149" s="3" t="s">
        <v>84</v>
      </c>
      <c r="O149" s="3" t="s">
        <v>104</v>
      </c>
      <c r="P149" s="30">
        <v>51157.98</v>
      </c>
      <c r="Q149" s="3" t="s">
        <v>95</v>
      </c>
      <c r="R149" s="3">
        <v>10</v>
      </c>
      <c r="S149" s="3">
        <v>356</v>
      </c>
      <c r="T149" s="3">
        <v>32.9</v>
      </c>
      <c r="U149" s="3" t="s">
        <v>86</v>
      </c>
      <c r="V149" s="18" t="s">
        <v>33</v>
      </c>
    </row>
    <row r="150" spans="1:22" ht="15" customHeight="1" x14ac:dyDescent="0.25">
      <c r="A150" s="15" t="s">
        <v>435</v>
      </c>
      <c r="B150" s="1" t="s">
        <v>436</v>
      </c>
      <c r="C150">
        <v>47</v>
      </c>
      <c r="D150" s="1" t="s">
        <v>98</v>
      </c>
      <c r="E150" s="1" t="s">
        <v>48</v>
      </c>
      <c r="F150" s="1" t="s">
        <v>99</v>
      </c>
      <c r="G150" s="1" t="s">
        <v>38</v>
      </c>
      <c r="H150" s="1" t="s">
        <v>78</v>
      </c>
      <c r="I150" s="7">
        <v>43623</v>
      </c>
      <c r="J150" s="7">
        <v>43627</v>
      </c>
      <c r="K150" s="1">
        <v>4</v>
      </c>
      <c r="L150" s="1" t="s">
        <v>52</v>
      </c>
      <c r="M150" s="1" t="s">
        <v>53</v>
      </c>
      <c r="N150" s="1" t="s">
        <v>41</v>
      </c>
      <c r="O150" s="1" t="s">
        <v>42</v>
      </c>
      <c r="P150" s="29">
        <v>16818.310000000001</v>
      </c>
      <c r="Q150" s="1" t="s">
        <v>437</v>
      </c>
      <c r="R150" s="1">
        <v>8</v>
      </c>
      <c r="S150" s="1">
        <v>336</v>
      </c>
      <c r="T150" s="1">
        <v>36.799999999999997</v>
      </c>
      <c r="U150" s="1" t="s">
        <v>44</v>
      </c>
      <c r="V150" s="17" t="s">
        <v>33</v>
      </c>
    </row>
    <row r="151" spans="1:22" ht="15" customHeight="1" x14ac:dyDescent="0.25">
      <c r="A151" s="16" t="s">
        <v>438</v>
      </c>
      <c r="B151" s="3" t="s">
        <v>439</v>
      </c>
      <c r="C151">
        <v>89</v>
      </c>
      <c r="D151" s="3" t="s">
        <v>36</v>
      </c>
      <c r="E151" s="3" t="s">
        <v>48</v>
      </c>
      <c r="F151" s="3" t="s">
        <v>49</v>
      </c>
      <c r="G151" s="3" t="s">
        <v>163</v>
      </c>
      <c r="H151" s="3" t="s">
        <v>78</v>
      </c>
      <c r="I151" s="6">
        <v>44050</v>
      </c>
      <c r="J151" s="10"/>
      <c r="K151" s="3"/>
      <c r="L151" s="3" t="s">
        <v>185</v>
      </c>
      <c r="M151" s="3" t="s">
        <v>186</v>
      </c>
      <c r="N151" s="3" t="s">
        <v>346</v>
      </c>
      <c r="O151" s="3" t="s">
        <v>30</v>
      </c>
      <c r="P151" s="30">
        <v>25606.44</v>
      </c>
      <c r="Q151" s="3" t="s">
        <v>62</v>
      </c>
      <c r="R151" s="3">
        <v>6</v>
      </c>
      <c r="S151" s="3">
        <v>330</v>
      </c>
      <c r="T151" s="3">
        <v>25.2</v>
      </c>
      <c r="U151" s="3" t="s">
        <v>32</v>
      </c>
      <c r="V151" s="18" t="s">
        <v>33</v>
      </c>
    </row>
    <row r="152" spans="1:22" ht="15" customHeight="1" x14ac:dyDescent="0.25">
      <c r="A152" s="15" t="s">
        <v>440</v>
      </c>
      <c r="B152" s="1" t="s">
        <v>441</v>
      </c>
      <c r="C152">
        <v>73</v>
      </c>
      <c r="D152" s="1" t="s">
        <v>82</v>
      </c>
      <c r="E152" s="1" t="s">
        <v>48</v>
      </c>
      <c r="F152" s="1" t="s">
        <v>155</v>
      </c>
      <c r="G152" s="1" t="s">
        <v>163</v>
      </c>
      <c r="H152" s="1" t="s">
        <v>51</v>
      </c>
      <c r="I152" s="7">
        <v>44080</v>
      </c>
      <c r="J152" s="7">
        <v>44052</v>
      </c>
      <c r="K152" s="1">
        <v>2</v>
      </c>
      <c r="L152" s="1" t="s">
        <v>122</v>
      </c>
      <c r="M152" s="1" t="s">
        <v>40</v>
      </c>
      <c r="N152" s="1" t="s">
        <v>213</v>
      </c>
      <c r="O152" s="1" t="s">
        <v>42</v>
      </c>
      <c r="P152" s="29">
        <v>28951.87</v>
      </c>
      <c r="Q152" s="1" t="s">
        <v>257</v>
      </c>
      <c r="R152" s="1">
        <v>4</v>
      </c>
      <c r="S152" s="1">
        <v>130</v>
      </c>
      <c r="T152" s="1">
        <v>33.200000000000003</v>
      </c>
      <c r="U152" s="1" t="s">
        <v>44</v>
      </c>
      <c r="V152" s="17" t="s">
        <v>33</v>
      </c>
    </row>
    <row r="153" spans="1:22" ht="15" customHeight="1" x14ac:dyDescent="0.25">
      <c r="A153" s="16" t="s">
        <v>442</v>
      </c>
      <c r="B153" s="3" t="s">
        <v>443</v>
      </c>
      <c r="C153">
        <v>65</v>
      </c>
      <c r="D153" s="3" t="s">
        <v>82</v>
      </c>
      <c r="E153" s="3" t="s">
        <v>23</v>
      </c>
      <c r="F153" s="3" t="s">
        <v>99</v>
      </c>
      <c r="G153" s="3" t="s">
        <v>444</v>
      </c>
      <c r="H153" s="3" t="s">
        <v>51</v>
      </c>
      <c r="I153" s="6">
        <v>43616</v>
      </c>
      <c r="J153" s="8">
        <v>43621</v>
      </c>
      <c r="K153" s="3">
        <v>5</v>
      </c>
      <c r="L153" s="3" t="s">
        <v>231</v>
      </c>
      <c r="M153" s="3" t="s">
        <v>53</v>
      </c>
      <c r="N153" s="3" t="s">
        <v>41</v>
      </c>
      <c r="O153" s="3" t="s">
        <v>30</v>
      </c>
      <c r="P153" s="30">
        <v>10282.08</v>
      </c>
      <c r="Q153" s="3" t="s">
        <v>119</v>
      </c>
      <c r="R153" s="3">
        <v>6</v>
      </c>
      <c r="S153" s="3">
        <v>108</v>
      </c>
      <c r="T153" s="4"/>
      <c r="U153" s="3" t="s">
        <v>32</v>
      </c>
      <c r="V153" s="18" t="s">
        <v>33</v>
      </c>
    </row>
    <row r="154" spans="1:22" ht="15" customHeight="1" x14ac:dyDescent="0.25">
      <c r="A154" s="15" t="s">
        <v>445</v>
      </c>
      <c r="B154" s="1" t="s">
        <v>446</v>
      </c>
      <c r="C154">
        <v>43</v>
      </c>
      <c r="D154" s="1" t="s">
        <v>98</v>
      </c>
      <c r="E154" s="1" t="s">
        <v>23</v>
      </c>
      <c r="F154" s="1" t="s">
        <v>37</v>
      </c>
      <c r="G154" s="1" t="s">
        <v>38</v>
      </c>
      <c r="H154" s="1" t="s">
        <v>78</v>
      </c>
      <c r="I154" s="7">
        <v>45632</v>
      </c>
      <c r="J154" s="7">
        <v>45637</v>
      </c>
      <c r="K154" s="1">
        <v>5</v>
      </c>
      <c r="L154" s="1" t="s">
        <v>231</v>
      </c>
      <c r="M154" s="1" t="s">
        <v>53</v>
      </c>
      <c r="N154" s="1" t="s">
        <v>203</v>
      </c>
      <c r="O154" s="1" t="s">
        <v>42</v>
      </c>
      <c r="P154" s="29">
        <v>12026.82</v>
      </c>
      <c r="Q154" s="1" t="s">
        <v>174</v>
      </c>
      <c r="R154" s="1">
        <v>4</v>
      </c>
      <c r="S154" s="1">
        <v>462</v>
      </c>
      <c r="T154" s="1">
        <v>20.399999999999999</v>
      </c>
      <c r="U154" s="1" t="s">
        <v>86</v>
      </c>
      <c r="V154" s="17" t="s">
        <v>33</v>
      </c>
    </row>
    <row r="155" spans="1:22" ht="15" customHeight="1" x14ac:dyDescent="0.25">
      <c r="A155" s="16" t="s">
        <v>447</v>
      </c>
      <c r="B155" s="2" t="s">
        <v>3577</v>
      </c>
      <c r="C155">
        <v>68</v>
      </c>
      <c r="D155" s="3" t="s">
        <v>82</v>
      </c>
      <c r="E155" s="3" t="s">
        <v>48</v>
      </c>
      <c r="F155" s="3" t="s">
        <v>37</v>
      </c>
      <c r="G155" s="3" t="s">
        <v>417</v>
      </c>
      <c r="H155" s="3" t="s">
        <v>26</v>
      </c>
      <c r="I155" s="8">
        <v>44290</v>
      </c>
      <c r="J155" s="8">
        <v>44296</v>
      </c>
      <c r="K155" s="3">
        <v>6</v>
      </c>
      <c r="L155" s="3" t="s">
        <v>39</v>
      </c>
      <c r="M155" s="3" t="s">
        <v>40</v>
      </c>
      <c r="N155" s="3" t="s">
        <v>41</v>
      </c>
      <c r="O155" s="3" t="s">
        <v>42</v>
      </c>
      <c r="P155" s="30">
        <v>27802.15</v>
      </c>
      <c r="Q155" s="3" t="s">
        <v>437</v>
      </c>
      <c r="R155" s="3">
        <v>8</v>
      </c>
      <c r="S155" s="3">
        <v>444</v>
      </c>
      <c r="T155" s="4"/>
      <c r="U155" s="3" t="s">
        <v>32</v>
      </c>
      <c r="V155" s="18" t="s">
        <v>33</v>
      </c>
    </row>
    <row r="156" spans="1:22" ht="15" customHeight="1" x14ac:dyDescent="0.25">
      <c r="A156" s="15" t="s">
        <v>448</v>
      </c>
      <c r="B156" s="1" t="s">
        <v>449</v>
      </c>
      <c r="C156">
        <v>49</v>
      </c>
      <c r="D156" s="1" t="s">
        <v>98</v>
      </c>
      <c r="E156" s="1" t="s">
        <v>48</v>
      </c>
      <c r="F156" s="1" t="s">
        <v>24</v>
      </c>
      <c r="G156" s="1" t="s">
        <v>77</v>
      </c>
      <c r="H156" s="1" t="s">
        <v>26</v>
      </c>
      <c r="I156" s="6">
        <v>44758</v>
      </c>
      <c r="J156" s="7">
        <v>44765</v>
      </c>
      <c r="K156" s="1">
        <v>7</v>
      </c>
      <c r="L156" s="1" t="s">
        <v>102</v>
      </c>
      <c r="M156" s="1" t="s">
        <v>28</v>
      </c>
      <c r="N156" s="1" t="s">
        <v>79</v>
      </c>
      <c r="O156" s="1" t="s">
        <v>66</v>
      </c>
      <c r="P156" s="29">
        <v>79246.37</v>
      </c>
      <c r="Q156" s="1" t="s">
        <v>91</v>
      </c>
      <c r="R156" s="1">
        <v>9</v>
      </c>
      <c r="S156" s="1">
        <v>363</v>
      </c>
      <c r="T156" s="1">
        <v>20.6</v>
      </c>
      <c r="U156" s="1" t="s">
        <v>44</v>
      </c>
      <c r="V156" s="17" t="s">
        <v>33</v>
      </c>
    </row>
    <row r="157" spans="1:22" ht="15" customHeight="1" x14ac:dyDescent="0.25">
      <c r="A157" s="16" t="s">
        <v>450</v>
      </c>
      <c r="B157" s="3" t="s">
        <v>451</v>
      </c>
      <c r="C157">
        <v>57</v>
      </c>
      <c r="D157" s="3" t="s">
        <v>59</v>
      </c>
      <c r="E157" s="3" t="s">
        <v>23</v>
      </c>
      <c r="F157" s="2" t="s">
        <v>155</v>
      </c>
      <c r="G157" s="3" t="s">
        <v>131</v>
      </c>
      <c r="H157" s="3" t="s">
        <v>78</v>
      </c>
      <c r="I157" s="6">
        <v>44889</v>
      </c>
      <c r="J157" s="8">
        <v>44896</v>
      </c>
      <c r="K157" s="3">
        <v>7</v>
      </c>
      <c r="L157" s="3" t="s">
        <v>132</v>
      </c>
      <c r="M157" s="3" t="s">
        <v>53</v>
      </c>
      <c r="N157" s="3" t="s">
        <v>157</v>
      </c>
      <c r="O157" s="3" t="s">
        <v>104</v>
      </c>
      <c r="P157" s="30">
        <v>19014.830000000002</v>
      </c>
      <c r="Q157" s="3" t="s">
        <v>266</v>
      </c>
      <c r="R157" s="3">
        <v>1</v>
      </c>
      <c r="S157" s="3">
        <v>404</v>
      </c>
      <c r="T157" s="3">
        <v>26.4</v>
      </c>
      <c r="U157" s="3" t="s">
        <v>32</v>
      </c>
      <c r="V157" s="18" t="s">
        <v>33</v>
      </c>
    </row>
    <row r="158" spans="1:22" ht="15" customHeight="1" x14ac:dyDescent="0.25">
      <c r="A158" s="15" t="s">
        <v>452</v>
      </c>
      <c r="B158" s="1" t="s">
        <v>453</v>
      </c>
      <c r="C158">
        <v>69</v>
      </c>
      <c r="D158" s="1" t="s">
        <v>82</v>
      </c>
      <c r="E158" s="1" t="s">
        <v>23</v>
      </c>
      <c r="F158" s="1" t="s">
        <v>24</v>
      </c>
      <c r="G158" s="1" t="s">
        <v>77</v>
      </c>
      <c r="H158" s="1" t="s">
        <v>26</v>
      </c>
      <c r="I158" s="6">
        <v>43947</v>
      </c>
      <c r="J158" s="7">
        <v>43959</v>
      </c>
      <c r="K158" s="1">
        <v>12</v>
      </c>
      <c r="L158" s="1" t="s">
        <v>39</v>
      </c>
      <c r="M158" s="1" t="s">
        <v>40</v>
      </c>
      <c r="N158" s="1" t="s">
        <v>84</v>
      </c>
      <c r="O158" s="1" t="s">
        <v>30</v>
      </c>
      <c r="P158" s="29">
        <v>43557.39</v>
      </c>
      <c r="Q158" s="1" t="s">
        <v>100</v>
      </c>
      <c r="R158" s="1">
        <v>10</v>
      </c>
      <c r="S158" s="1">
        <v>360</v>
      </c>
      <c r="T158" s="4"/>
      <c r="U158" s="1" t="s">
        <v>44</v>
      </c>
      <c r="V158" s="17" t="s">
        <v>33</v>
      </c>
    </row>
    <row r="159" spans="1:22" ht="15" customHeight="1" x14ac:dyDescent="0.25">
      <c r="A159" s="16" t="s">
        <v>454</v>
      </c>
      <c r="B159" s="3" t="s">
        <v>455</v>
      </c>
      <c r="C159">
        <v>64</v>
      </c>
      <c r="D159" s="3" t="s">
        <v>59</v>
      </c>
      <c r="E159" s="3" t="s">
        <v>48</v>
      </c>
      <c r="F159" s="3" t="s">
        <v>99</v>
      </c>
      <c r="G159" s="3" t="s">
        <v>77</v>
      </c>
      <c r="H159" s="3" t="s">
        <v>51</v>
      </c>
      <c r="I159" s="8">
        <v>45373</v>
      </c>
      <c r="J159" s="8">
        <v>45380</v>
      </c>
      <c r="K159" s="3">
        <v>7</v>
      </c>
      <c r="L159" s="3" t="s">
        <v>39</v>
      </c>
      <c r="M159" s="3" t="s">
        <v>40</v>
      </c>
      <c r="N159" s="3" t="s">
        <v>79</v>
      </c>
      <c r="O159" s="3" t="s">
        <v>55</v>
      </c>
      <c r="P159" s="30">
        <v>54380.4</v>
      </c>
      <c r="Q159" s="3" t="s">
        <v>80</v>
      </c>
      <c r="R159" s="3">
        <v>8</v>
      </c>
      <c r="S159" s="3">
        <v>185</v>
      </c>
      <c r="T159" s="3">
        <v>22.5</v>
      </c>
      <c r="U159" s="3" t="s">
        <v>44</v>
      </c>
      <c r="V159" s="18" t="s">
        <v>33</v>
      </c>
    </row>
    <row r="160" spans="1:22" ht="15" customHeight="1" x14ac:dyDescent="0.25">
      <c r="A160" s="15" t="s">
        <v>456</v>
      </c>
      <c r="B160" s="1" t="s">
        <v>457</v>
      </c>
      <c r="C160">
        <v>21</v>
      </c>
      <c r="D160" s="1" t="s">
        <v>47</v>
      </c>
      <c r="E160" s="1" t="s">
        <v>23</v>
      </c>
      <c r="F160" s="1" t="s">
        <v>70</v>
      </c>
      <c r="G160" s="1" t="s">
        <v>38</v>
      </c>
      <c r="H160" s="1" t="s">
        <v>26</v>
      </c>
      <c r="I160" s="6">
        <v>43904</v>
      </c>
      <c r="J160" s="7">
        <v>43908</v>
      </c>
      <c r="K160" s="1">
        <v>4</v>
      </c>
      <c r="L160" s="1" t="s">
        <v>39</v>
      </c>
      <c r="M160" s="1" t="s">
        <v>40</v>
      </c>
      <c r="N160" s="1" t="s">
        <v>41</v>
      </c>
      <c r="O160" s="1" t="s">
        <v>42</v>
      </c>
      <c r="P160" s="29">
        <v>16447.900000000001</v>
      </c>
      <c r="Q160" s="1" t="s">
        <v>119</v>
      </c>
      <c r="R160" s="1">
        <v>6</v>
      </c>
      <c r="S160" s="1">
        <v>378</v>
      </c>
      <c r="T160" s="1">
        <v>35</v>
      </c>
      <c r="U160" s="1" t="s">
        <v>44</v>
      </c>
      <c r="V160" s="17" t="s">
        <v>33</v>
      </c>
    </row>
    <row r="161" spans="1:22" ht="15" customHeight="1" x14ac:dyDescent="0.25">
      <c r="A161" s="16" t="s">
        <v>458</v>
      </c>
      <c r="B161" s="3" t="s">
        <v>459</v>
      </c>
      <c r="C161">
        <v>72</v>
      </c>
      <c r="D161" s="3" t="s">
        <v>82</v>
      </c>
      <c r="E161" s="3" t="s">
        <v>23</v>
      </c>
      <c r="F161" s="3" t="s">
        <v>37</v>
      </c>
      <c r="G161" s="3" t="s">
        <v>163</v>
      </c>
      <c r="H161" s="3" t="s">
        <v>26</v>
      </c>
      <c r="I161" s="8">
        <v>43911</v>
      </c>
      <c r="J161" s="8">
        <v>43918</v>
      </c>
      <c r="K161" s="3">
        <v>7</v>
      </c>
      <c r="L161" s="3" t="s">
        <v>132</v>
      </c>
      <c r="M161" s="3" t="s">
        <v>53</v>
      </c>
      <c r="N161" s="3" t="s">
        <v>213</v>
      </c>
      <c r="O161" s="3" t="s">
        <v>30</v>
      </c>
      <c r="P161" s="30">
        <v>36033</v>
      </c>
      <c r="Q161" s="3" t="s">
        <v>165</v>
      </c>
      <c r="R161" s="3">
        <v>5</v>
      </c>
      <c r="S161" s="3">
        <v>372</v>
      </c>
      <c r="T161" s="4"/>
      <c r="U161" s="3" t="s">
        <v>86</v>
      </c>
      <c r="V161" s="18" t="s">
        <v>33</v>
      </c>
    </row>
    <row r="162" spans="1:22" ht="15" customHeight="1" x14ac:dyDescent="0.25">
      <c r="A162" s="15" t="s">
        <v>460</v>
      </c>
      <c r="B162" s="1" t="s">
        <v>461</v>
      </c>
      <c r="C162">
        <v>84</v>
      </c>
      <c r="D162" s="1" t="s">
        <v>36</v>
      </c>
      <c r="E162" s="1" t="s">
        <v>23</v>
      </c>
      <c r="F162" s="1" t="s">
        <v>37</v>
      </c>
      <c r="G162" s="1" t="s">
        <v>77</v>
      </c>
      <c r="H162" s="1" t="s">
        <v>51</v>
      </c>
      <c r="I162" s="6">
        <v>43988</v>
      </c>
      <c r="J162" s="7">
        <v>43992</v>
      </c>
      <c r="K162" s="1">
        <v>4</v>
      </c>
      <c r="L162" s="1" t="s">
        <v>39</v>
      </c>
      <c r="M162" s="1" t="s">
        <v>40</v>
      </c>
      <c r="N162" s="1" t="s">
        <v>84</v>
      </c>
      <c r="O162" s="1" t="s">
        <v>66</v>
      </c>
      <c r="P162" s="29">
        <v>74012.320000000007</v>
      </c>
      <c r="Q162" s="1" t="s">
        <v>91</v>
      </c>
      <c r="R162" s="1">
        <v>8</v>
      </c>
      <c r="S162" s="1">
        <v>118</v>
      </c>
      <c r="T162" s="1">
        <v>40.4</v>
      </c>
      <c r="U162" s="1" t="s">
        <v>44</v>
      </c>
      <c r="V162" s="17" t="s">
        <v>45</v>
      </c>
    </row>
    <row r="163" spans="1:22" ht="15" customHeight="1" x14ac:dyDescent="0.25">
      <c r="A163" s="16" t="s">
        <v>462</v>
      </c>
      <c r="B163" s="3" t="s">
        <v>463</v>
      </c>
      <c r="C163">
        <v>31</v>
      </c>
      <c r="D163" s="3" t="s">
        <v>47</v>
      </c>
      <c r="E163" s="3" t="s">
        <v>48</v>
      </c>
      <c r="F163" s="3" t="s">
        <v>24</v>
      </c>
      <c r="G163" s="3" t="s">
        <v>60</v>
      </c>
      <c r="H163" s="3" t="s">
        <v>51</v>
      </c>
      <c r="I163" s="8">
        <v>44390</v>
      </c>
      <c r="J163" s="8">
        <v>44393</v>
      </c>
      <c r="K163" s="3">
        <v>3</v>
      </c>
      <c r="L163" s="3" t="s">
        <v>27</v>
      </c>
      <c r="M163" s="3" t="s">
        <v>28</v>
      </c>
      <c r="N163" s="3" t="s">
        <v>210</v>
      </c>
      <c r="O163" s="3" t="s">
        <v>104</v>
      </c>
      <c r="P163" s="30">
        <v>17162.060000000001</v>
      </c>
      <c r="Q163" s="3" t="s">
        <v>349</v>
      </c>
      <c r="R163" s="3">
        <v>4</v>
      </c>
      <c r="S163" s="3">
        <v>188</v>
      </c>
      <c r="T163" s="3">
        <v>30.6</v>
      </c>
      <c r="U163" s="3" t="s">
        <v>44</v>
      </c>
      <c r="V163" s="18" t="s">
        <v>45</v>
      </c>
    </row>
    <row r="164" spans="1:22" ht="15" customHeight="1" x14ac:dyDescent="0.25">
      <c r="A164" s="15" t="s">
        <v>464</v>
      </c>
      <c r="B164" s="1" t="s">
        <v>465</v>
      </c>
      <c r="C164">
        <v>69</v>
      </c>
      <c r="D164" s="1" t="s">
        <v>82</v>
      </c>
      <c r="E164" s="1" t="s">
        <v>23</v>
      </c>
      <c r="F164" s="2" t="s">
        <v>76</v>
      </c>
      <c r="G164" s="1" t="s">
        <v>373</v>
      </c>
      <c r="H164" s="1" t="s">
        <v>51</v>
      </c>
      <c r="I164" s="6">
        <v>43785</v>
      </c>
      <c r="J164" s="7">
        <v>43788</v>
      </c>
      <c r="K164" s="1">
        <v>3</v>
      </c>
      <c r="L164" s="1" t="s">
        <v>185</v>
      </c>
      <c r="M164" s="1" t="s">
        <v>186</v>
      </c>
      <c r="N164" s="1" t="s">
        <v>177</v>
      </c>
      <c r="O164" s="1" t="s">
        <v>30</v>
      </c>
      <c r="P164" s="29">
        <v>12664.74</v>
      </c>
      <c r="Q164" s="1" t="s">
        <v>178</v>
      </c>
      <c r="R164" s="1">
        <v>4</v>
      </c>
      <c r="S164" s="1">
        <v>138</v>
      </c>
      <c r="T164" s="1">
        <v>16.5</v>
      </c>
      <c r="U164" s="1" t="s">
        <v>32</v>
      </c>
      <c r="V164" s="17" t="s">
        <v>33</v>
      </c>
    </row>
    <row r="165" spans="1:22" ht="15" customHeight="1" x14ac:dyDescent="0.25">
      <c r="A165" s="16" t="s">
        <v>466</v>
      </c>
      <c r="B165" s="2" t="s">
        <v>1716</v>
      </c>
      <c r="C165">
        <v>36</v>
      </c>
      <c r="D165" s="3" t="s">
        <v>98</v>
      </c>
      <c r="E165" s="3" t="s">
        <v>48</v>
      </c>
      <c r="F165" s="3" t="s">
        <v>83</v>
      </c>
      <c r="G165" s="3" t="s">
        <v>38</v>
      </c>
      <c r="H165" s="3" t="s">
        <v>78</v>
      </c>
      <c r="I165" s="8">
        <v>44604</v>
      </c>
      <c r="J165" s="8">
        <v>44609</v>
      </c>
      <c r="K165" s="3">
        <v>5</v>
      </c>
      <c r="L165" s="3" t="s">
        <v>132</v>
      </c>
      <c r="M165" s="3" t="s">
        <v>53</v>
      </c>
      <c r="N165" s="3" t="s">
        <v>173</v>
      </c>
      <c r="O165" s="3" t="s">
        <v>30</v>
      </c>
      <c r="P165" s="30">
        <v>7256</v>
      </c>
      <c r="Q165" s="3" t="s">
        <v>119</v>
      </c>
      <c r="R165" s="3">
        <v>8</v>
      </c>
      <c r="S165" s="3">
        <v>116</v>
      </c>
      <c r="T165" s="3">
        <v>25.4</v>
      </c>
      <c r="U165" s="3" t="s">
        <v>44</v>
      </c>
      <c r="V165" s="18" t="s">
        <v>33</v>
      </c>
    </row>
    <row r="166" spans="1:22" ht="15" customHeight="1" x14ac:dyDescent="0.25">
      <c r="A166" s="15" t="s">
        <v>467</v>
      </c>
      <c r="B166" s="1" t="s">
        <v>468</v>
      </c>
      <c r="C166">
        <v>50</v>
      </c>
      <c r="D166" s="1" t="s">
        <v>98</v>
      </c>
      <c r="E166" s="1" t="s">
        <v>48</v>
      </c>
      <c r="F166" s="2" t="s">
        <v>3714</v>
      </c>
      <c r="G166" s="1" t="s">
        <v>60</v>
      </c>
      <c r="H166" s="1" t="s">
        <v>51</v>
      </c>
      <c r="I166" s="6">
        <v>44879</v>
      </c>
      <c r="J166" s="7">
        <v>44881</v>
      </c>
      <c r="K166" s="1">
        <v>2</v>
      </c>
      <c r="L166" s="1" t="s">
        <v>132</v>
      </c>
      <c r="M166" s="1" t="s">
        <v>53</v>
      </c>
      <c r="N166" s="1" t="s">
        <v>210</v>
      </c>
      <c r="O166" s="1" t="s">
        <v>42</v>
      </c>
      <c r="P166" s="29">
        <v>25986.44</v>
      </c>
      <c r="Q166" s="1" t="s">
        <v>105</v>
      </c>
      <c r="R166" s="1">
        <v>5</v>
      </c>
      <c r="S166" s="1">
        <v>148</v>
      </c>
      <c r="T166" s="1">
        <v>23.5</v>
      </c>
      <c r="U166" s="1" t="s">
        <v>44</v>
      </c>
      <c r="V166" s="17" t="s">
        <v>33</v>
      </c>
    </row>
    <row r="167" spans="1:22" ht="15" customHeight="1" x14ac:dyDescent="0.25">
      <c r="A167" s="16" t="s">
        <v>469</v>
      </c>
      <c r="B167" s="3" t="s">
        <v>463</v>
      </c>
      <c r="C167">
        <v>86</v>
      </c>
      <c r="D167" s="3" t="s">
        <v>36</v>
      </c>
      <c r="E167" s="3" t="s">
        <v>48</v>
      </c>
      <c r="F167" s="3" t="s">
        <v>155</v>
      </c>
      <c r="G167" s="3" t="s">
        <v>77</v>
      </c>
      <c r="H167" s="3" t="s">
        <v>26</v>
      </c>
      <c r="I167" s="8">
        <v>45068</v>
      </c>
      <c r="J167" s="8">
        <v>45022</v>
      </c>
      <c r="K167" s="3">
        <v>13</v>
      </c>
      <c r="L167" s="3" t="s">
        <v>89</v>
      </c>
      <c r="M167" s="3" t="s">
        <v>90</v>
      </c>
      <c r="N167" s="3" t="s">
        <v>94</v>
      </c>
      <c r="O167" s="3" t="s">
        <v>30</v>
      </c>
      <c r="P167" s="30">
        <v>146877.07</v>
      </c>
      <c r="Q167" s="3" t="s">
        <v>85</v>
      </c>
      <c r="R167" s="3">
        <v>8</v>
      </c>
      <c r="S167" s="3">
        <v>357</v>
      </c>
      <c r="T167" s="3">
        <v>14</v>
      </c>
      <c r="U167" s="3" t="s">
        <v>44</v>
      </c>
      <c r="V167" s="18" t="s">
        <v>33</v>
      </c>
    </row>
    <row r="168" spans="1:22" ht="15" customHeight="1" x14ac:dyDescent="0.25">
      <c r="A168" s="15" t="s">
        <v>470</v>
      </c>
      <c r="B168" s="1" t="s">
        <v>471</v>
      </c>
      <c r="C168">
        <v>65</v>
      </c>
      <c r="D168" s="1" t="s">
        <v>82</v>
      </c>
      <c r="E168" s="1" t="s">
        <v>48</v>
      </c>
      <c r="F168" s="1" t="s">
        <v>155</v>
      </c>
      <c r="G168" s="1" t="s">
        <v>77</v>
      </c>
      <c r="H168" s="1" t="s">
        <v>26</v>
      </c>
      <c r="I168" s="7">
        <v>44222</v>
      </c>
      <c r="J168" s="7">
        <v>44349</v>
      </c>
      <c r="K168" s="1">
        <v>11</v>
      </c>
      <c r="L168" s="1" t="s">
        <v>185</v>
      </c>
      <c r="M168" s="1" t="s">
        <v>186</v>
      </c>
      <c r="N168" s="1" t="s">
        <v>79</v>
      </c>
      <c r="O168" s="1" t="s">
        <v>30</v>
      </c>
      <c r="P168" s="29">
        <v>60657.66</v>
      </c>
      <c r="Q168" s="1" t="s">
        <v>85</v>
      </c>
      <c r="R168" s="1">
        <v>9</v>
      </c>
      <c r="S168" s="1">
        <v>308</v>
      </c>
      <c r="T168" s="1">
        <v>30.4</v>
      </c>
      <c r="U168" s="1" t="s">
        <v>44</v>
      </c>
      <c r="V168" s="17" t="s">
        <v>33</v>
      </c>
    </row>
    <row r="169" spans="1:22" ht="15" customHeight="1" x14ac:dyDescent="0.25">
      <c r="A169" s="16" t="s">
        <v>472</v>
      </c>
      <c r="B169" s="3" t="s">
        <v>473</v>
      </c>
      <c r="C169">
        <v>57</v>
      </c>
      <c r="D169" s="3" t="s">
        <v>59</v>
      </c>
      <c r="E169" s="3" t="s">
        <v>23</v>
      </c>
      <c r="F169" s="3" t="s">
        <v>70</v>
      </c>
      <c r="G169" s="3" t="s">
        <v>188</v>
      </c>
      <c r="H169" s="3" t="s">
        <v>26</v>
      </c>
      <c r="I169" s="6">
        <v>45547</v>
      </c>
      <c r="J169" s="10"/>
      <c r="K169" s="3"/>
      <c r="L169" s="3" t="s">
        <v>185</v>
      </c>
      <c r="M169" s="3" t="s">
        <v>186</v>
      </c>
      <c r="N169" s="3" t="s">
        <v>94</v>
      </c>
      <c r="O169" s="3" t="s">
        <v>66</v>
      </c>
      <c r="P169" s="30">
        <v>66141.47</v>
      </c>
      <c r="Q169" s="3" t="s">
        <v>95</v>
      </c>
      <c r="R169" s="3">
        <v>9</v>
      </c>
      <c r="S169" s="3">
        <v>308</v>
      </c>
      <c r="T169" s="3">
        <v>36.200000000000003</v>
      </c>
      <c r="U169" s="3" t="s">
        <v>44</v>
      </c>
      <c r="V169" s="18" t="s">
        <v>33</v>
      </c>
    </row>
    <row r="170" spans="1:22" ht="15" customHeight="1" x14ac:dyDescent="0.25">
      <c r="A170" s="15" t="s">
        <v>474</v>
      </c>
      <c r="B170" s="1" t="s">
        <v>475</v>
      </c>
      <c r="C170">
        <v>90</v>
      </c>
      <c r="D170" s="1" t="s">
        <v>36</v>
      </c>
      <c r="E170" s="1" t="s">
        <v>23</v>
      </c>
      <c r="F170" s="1" t="s">
        <v>76</v>
      </c>
      <c r="G170" s="1" t="s">
        <v>60</v>
      </c>
      <c r="H170" s="1" t="s">
        <v>51</v>
      </c>
      <c r="I170" s="6">
        <v>45048</v>
      </c>
      <c r="J170" s="7">
        <v>44972</v>
      </c>
      <c r="K170" s="1">
        <v>10</v>
      </c>
      <c r="L170" s="1" t="s">
        <v>102</v>
      </c>
      <c r="M170" s="1" t="s">
        <v>28</v>
      </c>
      <c r="N170" s="1" t="s">
        <v>103</v>
      </c>
      <c r="O170" s="1" t="s">
        <v>30</v>
      </c>
      <c r="P170" s="29">
        <v>34347</v>
      </c>
      <c r="Q170" s="1" t="s">
        <v>137</v>
      </c>
      <c r="R170" s="1">
        <v>6</v>
      </c>
      <c r="S170" s="1">
        <v>156</v>
      </c>
      <c r="T170" s="1">
        <v>24</v>
      </c>
      <c r="U170" s="1" t="s">
        <v>32</v>
      </c>
      <c r="V170" s="17" t="s">
        <v>33</v>
      </c>
    </row>
    <row r="171" spans="1:22" ht="15" customHeight="1" x14ac:dyDescent="0.25">
      <c r="A171" s="16" t="s">
        <v>476</v>
      </c>
      <c r="B171" s="3" t="s">
        <v>477</v>
      </c>
      <c r="C171">
        <v>72</v>
      </c>
      <c r="D171" s="3" t="s">
        <v>82</v>
      </c>
      <c r="E171" s="3" t="s">
        <v>23</v>
      </c>
      <c r="F171" s="3" t="s">
        <v>155</v>
      </c>
      <c r="G171" s="3" t="s">
        <v>256</v>
      </c>
      <c r="H171" s="3" t="s">
        <v>26</v>
      </c>
      <c r="I171" s="8">
        <v>43641</v>
      </c>
      <c r="J171" s="8">
        <v>43644</v>
      </c>
      <c r="K171" s="3">
        <v>3</v>
      </c>
      <c r="L171" s="3" t="s">
        <v>132</v>
      </c>
      <c r="M171" s="3" t="s">
        <v>53</v>
      </c>
      <c r="N171" s="3" t="s">
        <v>346</v>
      </c>
      <c r="O171" s="3" t="s">
        <v>66</v>
      </c>
      <c r="P171" s="30">
        <v>91946.31</v>
      </c>
      <c r="Q171" s="3" t="s">
        <v>257</v>
      </c>
      <c r="R171" s="3">
        <v>2</v>
      </c>
      <c r="S171" s="3">
        <v>123</v>
      </c>
      <c r="T171" s="3">
        <v>24.7</v>
      </c>
      <c r="U171" s="3" t="s">
        <v>86</v>
      </c>
      <c r="V171" s="18" t="s">
        <v>45</v>
      </c>
    </row>
    <row r="172" spans="1:22" ht="15" customHeight="1" x14ac:dyDescent="0.25">
      <c r="A172" s="15" t="s">
        <v>478</v>
      </c>
      <c r="B172" s="2" t="s">
        <v>2250</v>
      </c>
      <c r="C172">
        <v>78</v>
      </c>
      <c r="D172" s="1" t="s">
        <v>36</v>
      </c>
      <c r="E172" s="1" t="s">
        <v>48</v>
      </c>
      <c r="F172" s="1" t="s">
        <v>70</v>
      </c>
      <c r="G172" s="1" t="s">
        <v>25</v>
      </c>
      <c r="H172" s="1" t="s">
        <v>51</v>
      </c>
      <c r="I172" s="7">
        <v>43724</v>
      </c>
      <c r="J172" s="7">
        <v>43565</v>
      </c>
      <c r="K172" s="1">
        <v>18</v>
      </c>
      <c r="L172" s="1" t="s">
        <v>185</v>
      </c>
      <c r="M172" s="1" t="s">
        <v>186</v>
      </c>
      <c r="N172" s="1" t="s">
        <v>29</v>
      </c>
      <c r="O172" s="1" t="s">
        <v>30</v>
      </c>
      <c r="P172" s="29">
        <v>64893.599999999999</v>
      </c>
      <c r="Q172" s="1" t="s">
        <v>105</v>
      </c>
      <c r="R172" s="1">
        <v>7</v>
      </c>
      <c r="S172" s="1">
        <v>156</v>
      </c>
      <c r="T172" s="1">
        <v>21.1</v>
      </c>
      <c r="U172" s="1" t="s">
        <v>32</v>
      </c>
      <c r="V172" s="17" t="s">
        <v>33</v>
      </c>
    </row>
    <row r="173" spans="1:22" ht="15" customHeight="1" x14ac:dyDescent="0.25">
      <c r="A173" s="16" t="s">
        <v>479</v>
      </c>
      <c r="B173" s="2" t="s">
        <v>3078</v>
      </c>
      <c r="C173">
        <v>71</v>
      </c>
      <c r="D173" s="3" t="s">
        <v>82</v>
      </c>
      <c r="E173" s="3" t="s">
        <v>48</v>
      </c>
      <c r="F173" s="3" t="s">
        <v>76</v>
      </c>
      <c r="G173" s="3" t="s">
        <v>50</v>
      </c>
      <c r="H173" s="3" t="s">
        <v>51</v>
      </c>
      <c r="I173" s="6">
        <v>44628</v>
      </c>
      <c r="J173" s="8">
        <v>44634</v>
      </c>
      <c r="K173" s="3">
        <v>6</v>
      </c>
      <c r="L173" s="3" t="s">
        <v>122</v>
      </c>
      <c r="M173" s="3" t="s">
        <v>40</v>
      </c>
      <c r="N173" s="3" t="s">
        <v>54</v>
      </c>
      <c r="O173" s="3" t="s">
        <v>30</v>
      </c>
      <c r="P173" s="30">
        <v>40317.480000000003</v>
      </c>
      <c r="Q173" s="3" t="s">
        <v>85</v>
      </c>
      <c r="R173" s="3">
        <v>7</v>
      </c>
      <c r="S173" s="3">
        <v>180</v>
      </c>
      <c r="T173" s="3">
        <v>24.8</v>
      </c>
      <c r="U173" s="3" t="s">
        <v>32</v>
      </c>
      <c r="V173" s="18" t="s">
        <v>45</v>
      </c>
    </row>
    <row r="174" spans="1:22" ht="15" customHeight="1" x14ac:dyDescent="0.25">
      <c r="A174" s="15" t="s">
        <v>480</v>
      </c>
      <c r="B174" s="1" t="s">
        <v>481</v>
      </c>
      <c r="C174">
        <v>51</v>
      </c>
      <c r="D174" s="1" t="s">
        <v>98</v>
      </c>
      <c r="E174" s="1" t="s">
        <v>48</v>
      </c>
      <c r="F174" s="1" t="s">
        <v>37</v>
      </c>
      <c r="G174" s="1" t="s">
        <v>25</v>
      </c>
      <c r="H174" s="1" t="s">
        <v>51</v>
      </c>
      <c r="I174" s="7">
        <v>44259</v>
      </c>
      <c r="J174" s="7">
        <v>44266</v>
      </c>
      <c r="K174" s="1">
        <v>7</v>
      </c>
      <c r="L174" s="1" t="s">
        <v>132</v>
      </c>
      <c r="M174" s="1" t="s">
        <v>53</v>
      </c>
      <c r="N174" s="1" t="s">
        <v>65</v>
      </c>
      <c r="O174" s="1" t="s">
        <v>42</v>
      </c>
      <c r="P174" s="29">
        <v>29627.08</v>
      </c>
      <c r="Q174" s="1" t="s">
        <v>249</v>
      </c>
      <c r="R174" s="1">
        <v>9</v>
      </c>
      <c r="S174" s="1">
        <v>114</v>
      </c>
      <c r="T174" s="1">
        <v>23.2</v>
      </c>
      <c r="U174" s="1" t="s">
        <v>44</v>
      </c>
      <c r="V174" s="17" t="s">
        <v>33</v>
      </c>
    </row>
    <row r="175" spans="1:22" ht="15" customHeight="1" x14ac:dyDescent="0.25">
      <c r="A175" s="16" t="s">
        <v>482</v>
      </c>
      <c r="B175" s="3" t="s">
        <v>483</v>
      </c>
      <c r="C175">
        <v>60</v>
      </c>
      <c r="D175" s="3" t="s">
        <v>59</v>
      </c>
      <c r="E175" s="3" t="s">
        <v>23</v>
      </c>
      <c r="F175" s="3" t="s">
        <v>83</v>
      </c>
      <c r="G175" s="3" t="s">
        <v>25</v>
      </c>
      <c r="H175" s="3" t="s">
        <v>51</v>
      </c>
      <c r="I175" s="8">
        <v>44369</v>
      </c>
      <c r="J175" s="8">
        <v>44374</v>
      </c>
      <c r="K175" s="3">
        <v>5</v>
      </c>
      <c r="L175" s="3" t="s">
        <v>231</v>
      </c>
      <c r="M175" s="3" t="s">
        <v>53</v>
      </c>
      <c r="N175" s="3" t="s">
        <v>65</v>
      </c>
      <c r="O175" s="3" t="s">
        <v>42</v>
      </c>
      <c r="P175" s="30">
        <v>57761.38</v>
      </c>
      <c r="Q175" s="3" t="s">
        <v>484</v>
      </c>
      <c r="R175" s="3">
        <v>12</v>
      </c>
      <c r="S175" s="3">
        <v>107</v>
      </c>
      <c r="T175" s="3">
        <v>27.4</v>
      </c>
      <c r="U175" s="3" t="s">
        <v>32</v>
      </c>
      <c r="V175" s="18" t="s">
        <v>33</v>
      </c>
    </row>
    <row r="176" spans="1:22" ht="15" customHeight="1" x14ac:dyDescent="0.25">
      <c r="A176" s="15" t="s">
        <v>485</v>
      </c>
      <c r="B176" s="1" t="s">
        <v>486</v>
      </c>
      <c r="C176">
        <v>68</v>
      </c>
      <c r="D176" s="1" t="s">
        <v>82</v>
      </c>
      <c r="E176" s="1" t="s">
        <v>48</v>
      </c>
      <c r="F176" s="1" t="s">
        <v>155</v>
      </c>
      <c r="G176" s="1" t="s">
        <v>38</v>
      </c>
      <c r="H176" s="1" t="s">
        <v>26</v>
      </c>
      <c r="I176" s="7">
        <v>45152</v>
      </c>
      <c r="J176" s="7">
        <v>45160</v>
      </c>
      <c r="K176" s="1">
        <v>8</v>
      </c>
      <c r="L176" s="1" t="s">
        <v>112</v>
      </c>
      <c r="M176" s="1" t="s">
        <v>40</v>
      </c>
      <c r="N176" s="1" t="s">
        <v>203</v>
      </c>
      <c r="O176" s="1" t="s">
        <v>42</v>
      </c>
      <c r="P176" s="29">
        <v>22352.29</v>
      </c>
      <c r="Q176" s="1" t="s">
        <v>236</v>
      </c>
      <c r="R176" s="1">
        <v>8</v>
      </c>
      <c r="S176" s="1">
        <v>120</v>
      </c>
      <c r="T176" s="1">
        <v>33.1</v>
      </c>
      <c r="U176" s="1" t="s">
        <v>44</v>
      </c>
      <c r="V176" s="17" t="s">
        <v>33</v>
      </c>
    </row>
    <row r="177" spans="1:22" ht="15" customHeight="1" x14ac:dyDescent="0.25">
      <c r="A177" s="16" t="s">
        <v>487</v>
      </c>
      <c r="B177" s="3" t="s">
        <v>488</v>
      </c>
      <c r="C177">
        <v>56</v>
      </c>
      <c r="D177" s="3" t="s">
        <v>59</v>
      </c>
      <c r="E177" s="3" t="s">
        <v>23</v>
      </c>
      <c r="F177" s="3" t="s">
        <v>70</v>
      </c>
      <c r="G177" s="3" t="s">
        <v>38</v>
      </c>
      <c r="H177" s="3" t="s">
        <v>26</v>
      </c>
      <c r="I177" s="8">
        <v>44934</v>
      </c>
      <c r="J177" s="8">
        <v>44939</v>
      </c>
      <c r="K177" s="3">
        <v>5</v>
      </c>
      <c r="L177" s="3" t="s">
        <v>122</v>
      </c>
      <c r="M177" s="3" t="s">
        <v>40</v>
      </c>
      <c r="N177" s="3" t="s">
        <v>41</v>
      </c>
      <c r="O177" s="3" t="s">
        <v>42</v>
      </c>
      <c r="P177" s="30">
        <v>30277.38</v>
      </c>
      <c r="Q177" s="3" t="s">
        <v>204</v>
      </c>
      <c r="R177" s="3">
        <v>8</v>
      </c>
      <c r="S177" s="3">
        <v>420</v>
      </c>
      <c r="T177" s="3">
        <v>22.6</v>
      </c>
      <c r="U177" s="3" t="s">
        <v>86</v>
      </c>
      <c r="V177" s="18" t="s">
        <v>33</v>
      </c>
    </row>
    <row r="178" spans="1:22" ht="15" customHeight="1" x14ac:dyDescent="0.25">
      <c r="A178" s="15" t="s">
        <v>489</v>
      </c>
      <c r="B178" s="1" t="s">
        <v>490</v>
      </c>
      <c r="C178">
        <v>85</v>
      </c>
      <c r="D178" s="1" t="s">
        <v>36</v>
      </c>
      <c r="E178" s="1" t="s">
        <v>23</v>
      </c>
      <c r="F178" s="1" t="s">
        <v>49</v>
      </c>
      <c r="G178" s="1" t="s">
        <v>77</v>
      </c>
      <c r="H178" s="1" t="s">
        <v>51</v>
      </c>
      <c r="I178" s="6">
        <v>45598</v>
      </c>
      <c r="J178" s="7">
        <v>45515</v>
      </c>
      <c r="K178" s="1">
        <v>6</v>
      </c>
      <c r="L178" s="1" t="s">
        <v>52</v>
      </c>
      <c r="M178" s="1" t="s">
        <v>53</v>
      </c>
      <c r="N178" s="1" t="s">
        <v>94</v>
      </c>
      <c r="O178" s="1" t="s">
        <v>42</v>
      </c>
      <c r="P178" s="29">
        <v>61125.16</v>
      </c>
      <c r="Q178" s="1" t="s">
        <v>109</v>
      </c>
      <c r="R178" s="1">
        <v>10</v>
      </c>
      <c r="S178" s="1">
        <v>174</v>
      </c>
      <c r="T178" s="1">
        <v>30.4</v>
      </c>
      <c r="U178" s="1" t="s">
        <v>44</v>
      </c>
      <c r="V178" s="17" t="s">
        <v>33</v>
      </c>
    </row>
    <row r="179" spans="1:22" ht="15" customHeight="1" x14ac:dyDescent="0.25">
      <c r="A179" s="16" t="s">
        <v>491</v>
      </c>
      <c r="B179" s="2" t="s">
        <v>809</v>
      </c>
      <c r="C179">
        <v>59</v>
      </c>
      <c r="D179" s="3" t="s">
        <v>59</v>
      </c>
      <c r="E179" s="3" t="s">
        <v>48</v>
      </c>
      <c r="F179" s="3" t="s">
        <v>70</v>
      </c>
      <c r="G179" s="3" t="s">
        <v>50</v>
      </c>
      <c r="H179" s="3" t="s">
        <v>51</v>
      </c>
      <c r="I179" s="8">
        <v>43968</v>
      </c>
      <c r="J179" s="8">
        <v>43974</v>
      </c>
      <c r="K179" s="3">
        <v>6</v>
      </c>
      <c r="L179" s="3" t="s">
        <v>39</v>
      </c>
      <c r="M179" s="3" t="s">
        <v>40</v>
      </c>
      <c r="N179" s="3" t="s">
        <v>116</v>
      </c>
      <c r="O179" s="3" t="s">
        <v>104</v>
      </c>
      <c r="P179" s="30">
        <v>43822.78</v>
      </c>
      <c r="Q179" s="3" t="s">
        <v>351</v>
      </c>
      <c r="R179" s="3">
        <v>8</v>
      </c>
      <c r="S179" s="3">
        <v>109</v>
      </c>
      <c r="T179" s="3">
        <v>19</v>
      </c>
      <c r="U179" s="3" t="s">
        <v>44</v>
      </c>
      <c r="V179" s="18" t="s">
        <v>33</v>
      </c>
    </row>
    <row r="180" spans="1:22" ht="15" customHeight="1" x14ac:dyDescent="0.25">
      <c r="A180" s="15" t="s">
        <v>492</v>
      </c>
      <c r="B180" s="1" t="s">
        <v>493</v>
      </c>
      <c r="C180">
        <v>91</v>
      </c>
      <c r="D180" s="1" t="s">
        <v>36</v>
      </c>
      <c r="E180" s="1" t="s">
        <v>48</v>
      </c>
      <c r="F180" s="1" t="s">
        <v>37</v>
      </c>
      <c r="G180" s="1" t="s">
        <v>38</v>
      </c>
      <c r="H180" s="1" t="s">
        <v>51</v>
      </c>
      <c r="I180" s="6">
        <v>43553</v>
      </c>
      <c r="J180" s="7">
        <v>43555</v>
      </c>
      <c r="K180" s="1">
        <v>2</v>
      </c>
      <c r="L180" s="1" t="s">
        <v>27</v>
      </c>
      <c r="M180" s="1" t="s">
        <v>28</v>
      </c>
      <c r="N180" s="1" t="s">
        <v>41</v>
      </c>
      <c r="O180" s="1" t="s">
        <v>66</v>
      </c>
      <c r="P180" s="29">
        <v>31151.5</v>
      </c>
      <c r="Q180" s="1" t="s">
        <v>174</v>
      </c>
      <c r="R180" s="1">
        <v>7</v>
      </c>
      <c r="S180" s="1">
        <v>121</v>
      </c>
      <c r="T180" s="1">
        <v>22</v>
      </c>
      <c r="U180" s="1" t="s">
        <v>44</v>
      </c>
      <c r="V180" s="17" t="s">
        <v>33</v>
      </c>
    </row>
    <row r="181" spans="1:22" ht="15" customHeight="1" x14ac:dyDescent="0.25">
      <c r="A181" s="16" t="s">
        <v>494</v>
      </c>
      <c r="B181" s="3" t="s">
        <v>457</v>
      </c>
      <c r="C181">
        <v>79</v>
      </c>
      <c r="D181" s="3" t="s">
        <v>36</v>
      </c>
      <c r="E181" s="3" t="s">
        <v>23</v>
      </c>
      <c r="F181" s="3" t="s">
        <v>37</v>
      </c>
      <c r="G181" s="3" t="s">
        <v>131</v>
      </c>
      <c r="H181" s="3" t="s">
        <v>78</v>
      </c>
      <c r="I181" s="8">
        <v>44094</v>
      </c>
      <c r="J181" s="8">
        <v>44097</v>
      </c>
      <c r="K181" s="3">
        <v>3</v>
      </c>
      <c r="L181" s="3" t="s">
        <v>112</v>
      </c>
      <c r="M181" s="3" t="s">
        <v>40</v>
      </c>
      <c r="N181" s="3" t="s">
        <v>133</v>
      </c>
      <c r="O181" s="3" t="s">
        <v>42</v>
      </c>
      <c r="P181" s="30">
        <v>32452.35</v>
      </c>
      <c r="Q181" s="3" t="s">
        <v>291</v>
      </c>
      <c r="R181" s="3">
        <v>7</v>
      </c>
      <c r="S181" s="3">
        <v>112</v>
      </c>
      <c r="T181" s="3">
        <v>36.1</v>
      </c>
      <c r="U181" s="3" t="s">
        <v>44</v>
      </c>
      <c r="V181" s="18" t="s">
        <v>33</v>
      </c>
    </row>
    <row r="182" spans="1:22" ht="15" customHeight="1" x14ac:dyDescent="0.25">
      <c r="A182" s="15" t="s">
        <v>495</v>
      </c>
      <c r="B182" s="1" t="s">
        <v>496</v>
      </c>
      <c r="C182">
        <v>55</v>
      </c>
      <c r="D182" s="1" t="s">
        <v>59</v>
      </c>
      <c r="E182" s="1" t="s">
        <v>48</v>
      </c>
      <c r="F182" s="1" t="s">
        <v>155</v>
      </c>
      <c r="G182" s="1" t="s">
        <v>38</v>
      </c>
      <c r="H182" s="1" t="s">
        <v>156</v>
      </c>
      <c r="I182" s="6">
        <v>44068</v>
      </c>
      <c r="J182" s="7">
        <v>43870</v>
      </c>
      <c r="K182" s="1">
        <v>8</v>
      </c>
      <c r="L182" s="1" t="s">
        <v>89</v>
      </c>
      <c r="M182" s="1" t="s">
        <v>90</v>
      </c>
      <c r="N182" s="1" t="s">
        <v>203</v>
      </c>
      <c r="O182" s="1" t="s">
        <v>104</v>
      </c>
      <c r="P182" s="29">
        <v>13085.49</v>
      </c>
      <c r="Q182" s="1" t="s">
        <v>43</v>
      </c>
      <c r="R182" s="1">
        <v>7</v>
      </c>
      <c r="S182" s="1">
        <v>398</v>
      </c>
      <c r="T182" s="1">
        <v>35.4</v>
      </c>
      <c r="U182" s="1" t="s">
        <v>44</v>
      </c>
      <c r="V182" s="17" t="s">
        <v>33</v>
      </c>
    </row>
    <row r="183" spans="1:22" ht="15" customHeight="1" x14ac:dyDescent="0.25">
      <c r="A183" s="16" t="s">
        <v>497</v>
      </c>
      <c r="B183" s="3" t="s">
        <v>498</v>
      </c>
      <c r="C183">
        <v>32</v>
      </c>
      <c r="D183" s="3" t="s">
        <v>47</v>
      </c>
      <c r="E183" s="3" t="s">
        <v>48</v>
      </c>
      <c r="F183" s="3" t="s">
        <v>70</v>
      </c>
      <c r="G183" s="3" t="s">
        <v>77</v>
      </c>
      <c r="H183" s="3" t="s">
        <v>78</v>
      </c>
      <c r="I183" s="8">
        <v>44944</v>
      </c>
      <c r="J183" s="8">
        <v>44952</v>
      </c>
      <c r="K183" s="3">
        <v>8</v>
      </c>
      <c r="L183" s="3" t="s">
        <v>132</v>
      </c>
      <c r="M183" s="3" t="s">
        <v>53</v>
      </c>
      <c r="N183" s="3" t="s">
        <v>79</v>
      </c>
      <c r="O183" s="3" t="s">
        <v>30</v>
      </c>
      <c r="P183" s="30">
        <v>24224.21</v>
      </c>
      <c r="Q183" s="3" t="s">
        <v>109</v>
      </c>
      <c r="R183" s="3">
        <v>9</v>
      </c>
      <c r="S183" s="3">
        <v>472</v>
      </c>
      <c r="T183" s="3">
        <v>37.1</v>
      </c>
      <c r="U183" s="3" t="s">
        <v>44</v>
      </c>
      <c r="V183" s="18" t="s">
        <v>33</v>
      </c>
    </row>
    <row r="184" spans="1:22" ht="15" customHeight="1" x14ac:dyDescent="0.25">
      <c r="A184" s="15" t="s">
        <v>499</v>
      </c>
      <c r="B184" s="1" t="s">
        <v>500</v>
      </c>
      <c r="C184">
        <v>66</v>
      </c>
      <c r="D184" s="1" t="s">
        <v>82</v>
      </c>
      <c r="E184" s="1" t="s">
        <v>23</v>
      </c>
      <c r="F184" s="2" t="s">
        <v>155</v>
      </c>
      <c r="G184" s="1" t="s">
        <v>77</v>
      </c>
      <c r="H184" s="1" t="s">
        <v>51</v>
      </c>
      <c r="I184" s="6">
        <v>45605</v>
      </c>
      <c r="J184" s="7">
        <v>45609</v>
      </c>
      <c r="K184" s="1">
        <v>4</v>
      </c>
      <c r="L184" s="1" t="s">
        <v>27</v>
      </c>
      <c r="M184" s="1" t="s">
        <v>28</v>
      </c>
      <c r="N184" s="1" t="s">
        <v>84</v>
      </c>
      <c r="O184" s="1" t="s">
        <v>66</v>
      </c>
      <c r="P184" s="29">
        <v>50060.4</v>
      </c>
      <c r="Q184" s="1" t="s">
        <v>95</v>
      </c>
      <c r="R184" s="1">
        <v>7</v>
      </c>
      <c r="S184" s="1">
        <v>181</v>
      </c>
      <c r="T184" s="1">
        <v>23.7</v>
      </c>
      <c r="U184" s="1" t="s">
        <v>86</v>
      </c>
      <c r="V184" s="17" t="s">
        <v>33</v>
      </c>
    </row>
    <row r="185" spans="1:22" ht="15" customHeight="1" x14ac:dyDescent="0.25">
      <c r="A185" s="16" t="s">
        <v>501</v>
      </c>
      <c r="B185" s="3" t="s">
        <v>502</v>
      </c>
      <c r="C185">
        <v>62</v>
      </c>
      <c r="D185" s="3" t="s">
        <v>59</v>
      </c>
      <c r="E185" s="3" t="s">
        <v>48</v>
      </c>
      <c r="F185" s="3" t="s">
        <v>37</v>
      </c>
      <c r="G185" s="3" t="s">
        <v>71</v>
      </c>
      <c r="H185" s="3" t="s">
        <v>51</v>
      </c>
      <c r="I185" s="8">
        <v>44947</v>
      </c>
      <c r="J185" s="8">
        <v>44950</v>
      </c>
      <c r="K185" s="3">
        <v>3</v>
      </c>
      <c r="L185" s="3" t="s">
        <v>89</v>
      </c>
      <c r="M185" s="3" t="s">
        <v>90</v>
      </c>
      <c r="N185" s="3" t="s">
        <v>177</v>
      </c>
      <c r="O185" s="3" t="s">
        <v>104</v>
      </c>
      <c r="P185" s="30">
        <v>10872.45</v>
      </c>
      <c r="Q185" s="3" t="s">
        <v>503</v>
      </c>
      <c r="R185" s="3">
        <v>5</v>
      </c>
      <c r="S185" s="3">
        <v>117</v>
      </c>
      <c r="T185" s="3">
        <v>30</v>
      </c>
      <c r="U185" s="3" t="s">
        <v>44</v>
      </c>
      <c r="V185" s="18" t="s">
        <v>33</v>
      </c>
    </row>
    <row r="186" spans="1:22" ht="15" customHeight="1" x14ac:dyDescent="0.25">
      <c r="A186" s="15" t="s">
        <v>504</v>
      </c>
      <c r="B186" s="1" t="s">
        <v>505</v>
      </c>
      <c r="C186">
        <v>76</v>
      </c>
      <c r="D186" s="1" t="s">
        <v>36</v>
      </c>
      <c r="E186" s="1" t="s">
        <v>23</v>
      </c>
      <c r="F186" s="1" t="s">
        <v>70</v>
      </c>
      <c r="G186" s="1" t="s">
        <v>25</v>
      </c>
      <c r="H186" s="1" t="s">
        <v>78</v>
      </c>
      <c r="I186" s="7">
        <v>44150</v>
      </c>
      <c r="J186" s="7">
        <v>44167</v>
      </c>
      <c r="K186" s="1">
        <v>17</v>
      </c>
      <c r="L186" s="1" t="s">
        <v>27</v>
      </c>
      <c r="M186" s="1" t="s">
        <v>28</v>
      </c>
      <c r="N186" s="1" t="s">
        <v>65</v>
      </c>
      <c r="O186" s="1" t="s">
        <v>30</v>
      </c>
      <c r="P186" s="29">
        <v>113797</v>
      </c>
      <c r="Q186" s="1" t="s">
        <v>269</v>
      </c>
      <c r="R186" s="1">
        <v>10</v>
      </c>
      <c r="S186" s="1">
        <v>179</v>
      </c>
      <c r="T186" s="1">
        <v>25</v>
      </c>
      <c r="U186" s="1" t="s">
        <v>44</v>
      </c>
      <c r="V186" s="17" t="s">
        <v>45</v>
      </c>
    </row>
    <row r="187" spans="1:22" ht="15" customHeight="1" x14ac:dyDescent="0.25">
      <c r="A187" s="16" t="s">
        <v>506</v>
      </c>
      <c r="B187" s="3" t="s">
        <v>507</v>
      </c>
      <c r="C187">
        <v>73</v>
      </c>
      <c r="D187" s="3" t="s">
        <v>82</v>
      </c>
      <c r="E187" s="3" t="s">
        <v>48</v>
      </c>
      <c r="F187" s="3" t="s">
        <v>37</v>
      </c>
      <c r="G187" s="3" t="s">
        <v>25</v>
      </c>
      <c r="H187" s="3" t="s">
        <v>26</v>
      </c>
      <c r="I187" s="8">
        <v>44892</v>
      </c>
      <c r="J187" s="8">
        <v>44907</v>
      </c>
      <c r="K187" s="3">
        <v>15</v>
      </c>
      <c r="L187" s="3" t="s">
        <v>185</v>
      </c>
      <c r="M187" s="3" t="s">
        <v>186</v>
      </c>
      <c r="N187" s="3" t="s">
        <v>29</v>
      </c>
      <c r="O187" s="3" t="s">
        <v>30</v>
      </c>
      <c r="P187" s="30">
        <v>220955.54</v>
      </c>
      <c r="Q187" s="3" t="s">
        <v>31</v>
      </c>
      <c r="R187" s="3">
        <v>10</v>
      </c>
      <c r="S187" s="3">
        <v>166</v>
      </c>
      <c r="T187" s="3">
        <v>28.9</v>
      </c>
      <c r="U187" s="3" t="s">
        <v>32</v>
      </c>
      <c r="V187" s="18" t="s">
        <v>45</v>
      </c>
    </row>
    <row r="188" spans="1:22" ht="15" customHeight="1" x14ac:dyDescent="0.25">
      <c r="A188" s="15" t="s">
        <v>508</v>
      </c>
      <c r="B188" s="2" t="s">
        <v>917</v>
      </c>
      <c r="C188">
        <v>17</v>
      </c>
      <c r="D188" s="1" t="s">
        <v>22</v>
      </c>
      <c r="E188" s="1" t="s">
        <v>48</v>
      </c>
      <c r="F188" s="1" t="s">
        <v>83</v>
      </c>
      <c r="G188" s="1" t="s">
        <v>77</v>
      </c>
      <c r="H188" s="1" t="s">
        <v>78</v>
      </c>
      <c r="I188" s="6">
        <v>45302</v>
      </c>
      <c r="J188" s="7">
        <v>45612</v>
      </c>
      <c r="K188" s="1">
        <v>15</v>
      </c>
      <c r="L188" s="1" t="s">
        <v>27</v>
      </c>
      <c r="M188" s="1" t="s">
        <v>28</v>
      </c>
      <c r="N188" s="1" t="s">
        <v>84</v>
      </c>
      <c r="O188" s="1" t="s">
        <v>42</v>
      </c>
      <c r="P188" s="29">
        <v>24665</v>
      </c>
      <c r="Q188" s="1" t="s">
        <v>100</v>
      </c>
      <c r="R188" s="1">
        <v>9</v>
      </c>
      <c r="S188" s="1">
        <v>396</v>
      </c>
      <c r="T188" s="1">
        <v>34.700000000000003</v>
      </c>
      <c r="U188" s="1" t="s">
        <v>86</v>
      </c>
      <c r="V188" s="17" t="s">
        <v>33</v>
      </c>
    </row>
    <row r="189" spans="1:22" ht="15" customHeight="1" x14ac:dyDescent="0.25">
      <c r="A189" s="16" t="s">
        <v>509</v>
      </c>
      <c r="B189" s="3" t="s">
        <v>510</v>
      </c>
      <c r="C189">
        <v>52</v>
      </c>
      <c r="D189" s="3" t="s">
        <v>98</v>
      </c>
      <c r="E189" s="3" t="s">
        <v>23</v>
      </c>
      <c r="F189" s="3" t="s">
        <v>99</v>
      </c>
      <c r="G189" s="3" t="s">
        <v>60</v>
      </c>
      <c r="H189" s="3" t="s">
        <v>51</v>
      </c>
      <c r="I189" s="8">
        <v>43905</v>
      </c>
      <c r="J189" s="8">
        <v>43909</v>
      </c>
      <c r="K189" s="3">
        <v>4</v>
      </c>
      <c r="L189" s="3" t="s">
        <v>132</v>
      </c>
      <c r="M189" s="3" t="s">
        <v>53</v>
      </c>
      <c r="N189" s="3" t="s">
        <v>61</v>
      </c>
      <c r="O189" s="3" t="s">
        <v>104</v>
      </c>
      <c r="P189" s="30">
        <v>14550</v>
      </c>
      <c r="Q189" s="3" t="s">
        <v>511</v>
      </c>
      <c r="R189" s="3">
        <v>6</v>
      </c>
      <c r="S189" s="3">
        <v>110</v>
      </c>
      <c r="T189" s="3">
        <v>26.6</v>
      </c>
      <c r="U189" s="3" t="s">
        <v>32</v>
      </c>
      <c r="V189" s="18" t="s">
        <v>33</v>
      </c>
    </row>
    <row r="190" spans="1:22" ht="15" customHeight="1" x14ac:dyDescent="0.25">
      <c r="A190" s="15" t="s">
        <v>512</v>
      </c>
      <c r="B190" s="1" t="s">
        <v>513</v>
      </c>
      <c r="C190">
        <v>62</v>
      </c>
      <c r="D190" s="1" t="s">
        <v>59</v>
      </c>
      <c r="E190" s="1" t="s">
        <v>23</v>
      </c>
      <c r="F190" s="1" t="s">
        <v>83</v>
      </c>
      <c r="G190" s="1" t="s">
        <v>25</v>
      </c>
      <c r="H190" s="1" t="s">
        <v>78</v>
      </c>
      <c r="I190" s="6">
        <v>44971</v>
      </c>
      <c r="J190" s="7">
        <v>44984</v>
      </c>
      <c r="K190" s="1">
        <v>13</v>
      </c>
      <c r="L190" s="1" t="s">
        <v>102</v>
      </c>
      <c r="M190" s="1" t="s">
        <v>28</v>
      </c>
      <c r="N190" s="1" t="s">
        <v>29</v>
      </c>
      <c r="O190" s="1" t="s">
        <v>30</v>
      </c>
      <c r="P190" s="29">
        <v>33677.53</v>
      </c>
      <c r="Q190" s="1" t="s">
        <v>515</v>
      </c>
      <c r="R190" s="1">
        <v>12</v>
      </c>
      <c r="S190" s="1">
        <v>317</v>
      </c>
      <c r="T190" s="1">
        <v>25.4</v>
      </c>
      <c r="U190" s="1" t="s">
        <v>32</v>
      </c>
      <c r="V190" s="17" t="s">
        <v>33</v>
      </c>
    </row>
    <row r="191" spans="1:22" ht="15" customHeight="1" x14ac:dyDescent="0.25">
      <c r="A191" s="16" t="s">
        <v>516</v>
      </c>
      <c r="B191" s="3" t="s">
        <v>517</v>
      </c>
      <c r="C191">
        <v>47</v>
      </c>
      <c r="D191" s="3" t="s">
        <v>98</v>
      </c>
      <c r="E191" s="3" t="s">
        <v>23</v>
      </c>
      <c r="F191" s="3" t="s">
        <v>76</v>
      </c>
      <c r="G191" s="3" t="s">
        <v>25</v>
      </c>
      <c r="H191" s="3" t="s">
        <v>51</v>
      </c>
      <c r="I191" s="8">
        <v>45502</v>
      </c>
      <c r="J191" s="10"/>
      <c r="K191" s="3"/>
      <c r="L191" s="3" t="s">
        <v>112</v>
      </c>
      <c r="M191" s="3" t="s">
        <v>40</v>
      </c>
      <c r="N191" s="3" t="s">
        <v>248</v>
      </c>
      <c r="O191" s="3" t="s">
        <v>42</v>
      </c>
      <c r="P191" s="30">
        <v>27097.41</v>
      </c>
      <c r="Q191" s="3" t="s">
        <v>515</v>
      </c>
      <c r="R191" s="3">
        <v>11</v>
      </c>
      <c r="S191" s="3">
        <v>163</v>
      </c>
      <c r="T191" s="3">
        <v>29.6</v>
      </c>
      <c r="U191" s="3" t="s">
        <v>32</v>
      </c>
      <c r="V191" s="18" t="s">
        <v>33</v>
      </c>
    </row>
    <row r="192" spans="1:22" ht="15" customHeight="1" x14ac:dyDescent="0.25">
      <c r="A192" s="15" t="s">
        <v>518</v>
      </c>
      <c r="B192" s="1" t="s">
        <v>519</v>
      </c>
      <c r="C192">
        <v>92</v>
      </c>
      <c r="D192" s="1" t="s">
        <v>36</v>
      </c>
      <c r="E192" s="1" t="s">
        <v>23</v>
      </c>
      <c r="F192" s="1" t="s">
        <v>76</v>
      </c>
      <c r="G192" s="1" t="s">
        <v>131</v>
      </c>
      <c r="H192" s="1" t="s">
        <v>26</v>
      </c>
      <c r="I192" s="7">
        <v>43600</v>
      </c>
      <c r="J192" s="7">
        <v>43604</v>
      </c>
      <c r="K192" s="1">
        <v>4</v>
      </c>
      <c r="L192" s="1" t="s">
        <v>185</v>
      </c>
      <c r="M192" s="1" t="s">
        <v>186</v>
      </c>
      <c r="N192" s="1" t="s">
        <v>133</v>
      </c>
      <c r="O192" s="1" t="s">
        <v>104</v>
      </c>
      <c r="P192" s="29">
        <v>30085.18</v>
      </c>
      <c r="Q192" s="1" t="s">
        <v>158</v>
      </c>
      <c r="R192" s="1">
        <v>3</v>
      </c>
      <c r="S192" s="1">
        <v>364</v>
      </c>
      <c r="T192" s="1">
        <v>22.6</v>
      </c>
      <c r="U192" s="1" t="s">
        <v>44</v>
      </c>
      <c r="V192" s="17" t="s">
        <v>33</v>
      </c>
    </row>
    <row r="193" spans="1:22" ht="15" customHeight="1" x14ac:dyDescent="0.25">
      <c r="A193" s="16" t="s">
        <v>520</v>
      </c>
      <c r="B193" s="2" t="s">
        <v>3578</v>
      </c>
      <c r="C193">
        <v>69</v>
      </c>
      <c r="D193" s="3" t="s">
        <v>82</v>
      </c>
      <c r="E193" s="3" t="s">
        <v>23</v>
      </c>
      <c r="F193" s="3" t="s">
        <v>24</v>
      </c>
      <c r="G193" s="3" t="s">
        <v>131</v>
      </c>
      <c r="H193" s="3" t="s">
        <v>26</v>
      </c>
      <c r="I193" s="8">
        <v>44863</v>
      </c>
      <c r="J193" s="8">
        <v>44662</v>
      </c>
      <c r="K193" s="3">
        <v>6</v>
      </c>
      <c r="L193" s="3" t="s">
        <v>39</v>
      </c>
      <c r="M193" s="3" t="s">
        <v>40</v>
      </c>
      <c r="N193" s="3" t="s">
        <v>157</v>
      </c>
      <c r="O193" s="3" t="s">
        <v>104</v>
      </c>
      <c r="P193" s="30">
        <v>27443.24</v>
      </c>
      <c r="Q193" s="3" t="s">
        <v>148</v>
      </c>
      <c r="R193" s="3">
        <v>7</v>
      </c>
      <c r="S193" s="3">
        <v>341</v>
      </c>
      <c r="T193" s="3">
        <v>32.299999999999997</v>
      </c>
      <c r="U193" s="3" t="s">
        <v>86</v>
      </c>
      <c r="V193" s="18" t="s">
        <v>45</v>
      </c>
    </row>
    <row r="194" spans="1:22" ht="15" customHeight="1" x14ac:dyDescent="0.25">
      <c r="A194" s="15" t="s">
        <v>521</v>
      </c>
      <c r="B194" s="1" t="s">
        <v>522</v>
      </c>
      <c r="C194">
        <v>55</v>
      </c>
      <c r="D194" s="1" t="s">
        <v>59</v>
      </c>
      <c r="E194" s="1" t="s">
        <v>48</v>
      </c>
      <c r="F194" s="1" t="s">
        <v>70</v>
      </c>
      <c r="G194" s="1" t="s">
        <v>38</v>
      </c>
      <c r="H194" s="1" t="s">
        <v>51</v>
      </c>
      <c r="I194" s="7">
        <v>44309</v>
      </c>
      <c r="J194" s="7">
        <v>44313</v>
      </c>
      <c r="K194" s="1">
        <v>4</v>
      </c>
      <c r="L194" s="1" t="s">
        <v>102</v>
      </c>
      <c r="M194" s="1" t="s">
        <v>28</v>
      </c>
      <c r="N194" s="1" t="s">
        <v>173</v>
      </c>
      <c r="O194" s="1" t="s">
        <v>30</v>
      </c>
      <c r="P194" s="29">
        <v>11060.35</v>
      </c>
      <c r="Q194" s="1" t="s">
        <v>43</v>
      </c>
      <c r="R194" s="1">
        <v>6</v>
      </c>
      <c r="S194" s="1">
        <v>195</v>
      </c>
      <c r="T194" s="1">
        <v>30.9</v>
      </c>
      <c r="U194" s="1" t="s">
        <v>86</v>
      </c>
      <c r="V194" s="17" t="s">
        <v>33</v>
      </c>
    </row>
    <row r="195" spans="1:22" ht="15" customHeight="1" x14ac:dyDescent="0.25">
      <c r="A195" s="16" t="s">
        <v>523</v>
      </c>
      <c r="B195" s="3" t="s">
        <v>524</v>
      </c>
      <c r="C195">
        <v>53</v>
      </c>
      <c r="D195" s="3" t="s">
        <v>98</v>
      </c>
      <c r="E195" s="3" t="s">
        <v>48</v>
      </c>
      <c r="F195" s="3" t="s">
        <v>83</v>
      </c>
      <c r="G195" s="3" t="s">
        <v>25</v>
      </c>
      <c r="H195" s="3" t="s">
        <v>78</v>
      </c>
      <c r="I195" s="8">
        <v>45239</v>
      </c>
      <c r="J195" s="8">
        <v>45250</v>
      </c>
      <c r="K195" s="3">
        <v>11</v>
      </c>
      <c r="L195" s="3" t="s">
        <v>185</v>
      </c>
      <c r="M195" s="3" t="s">
        <v>186</v>
      </c>
      <c r="N195" s="3" t="s">
        <v>248</v>
      </c>
      <c r="O195" s="3" t="s">
        <v>42</v>
      </c>
      <c r="P195" s="30">
        <v>40125.410000000003</v>
      </c>
      <c r="Q195" s="3" t="s">
        <v>67</v>
      </c>
      <c r="R195" s="3">
        <v>8</v>
      </c>
      <c r="S195" s="3">
        <v>339</v>
      </c>
      <c r="T195" s="3">
        <v>20.100000000000001</v>
      </c>
      <c r="U195" s="3" t="s">
        <v>32</v>
      </c>
      <c r="V195" s="18" t="s">
        <v>33</v>
      </c>
    </row>
    <row r="196" spans="1:22" ht="15" customHeight="1" x14ac:dyDescent="0.25">
      <c r="A196" s="15" t="s">
        <v>525</v>
      </c>
      <c r="B196" s="1" t="s">
        <v>526</v>
      </c>
      <c r="C196">
        <v>76</v>
      </c>
      <c r="D196" s="1" t="s">
        <v>36</v>
      </c>
      <c r="E196" s="1" t="s">
        <v>48</v>
      </c>
      <c r="F196" s="1" t="s">
        <v>99</v>
      </c>
      <c r="G196" s="1" t="s">
        <v>71</v>
      </c>
      <c r="H196" s="1" t="s">
        <v>78</v>
      </c>
      <c r="I196" s="7">
        <v>45146</v>
      </c>
      <c r="J196" s="7">
        <v>45147</v>
      </c>
      <c r="K196" s="1">
        <v>1</v>
      </c>
      <c r="L196" s="1" t="s">
        <v>112</v>
      </c>
      <c r="M196" s="1" t="s">
        <v>40</v>
      </c>
      <c r="N196" s="1" t="s">
        <v>177</v>
      </c>
      <c r="O196" s="1" t="s">
        <v>42</v>
      </c>
      <c r="P196" s="29">
        <v>34660.519999999997</v>
      </c>
      <c r="Q196" s="1" t="s">
        <v>503</v>
      </c>
      <c r="R196" s="1">
        <v>5</v>
      </c>
      <c r="S196" s="1">
        <v>323</v>
      </c>
      <c r="T196" s="1">
        <v>25.7</v>
      </c>
      <c r="U196" s="1" t="s">
        <v>44</v>
      </c>
      <c r="V196" s="17" t="s">
        <v>33</v>
      </c>
    </row>
    <row r="197" spans="1:22" ht="15" customHeight="1" x14ac:dyDescent="0.25">
      <c r="A197" s="16" t="s">
        <v>527</v>
      </c>
      <c r="B197" s="3" t="s">
        <v>528</v>
      </c>
      <c r="C197">
        <v>10</v>
      </c>
      <c r="D197" s="3" t="s">
        <v>22</v>
      </c>
      <c r="E197" s="3" t="s">
        <v>48</v>
      </c>
      <c r="F197" s="3" t="s">
        <v>49</v>
      </c>
      <c r="G197" s="3" t="s">
        <v>131</v>
      </c>
      <c r="H197" s="3" t="s">
        <v>26</v>
      </c>
      <c r="I197" s="6">
        <v>44905</v>
      </c>
      <c r="J197" s="8">
        <v>44862</v>
      </c>
      <c r="K197" s="3">
        <v>16</v>
      </c>
      <c r="L197" s="3" t="s">
        <v>132</v>
      </c>
      <c r="M197" s="3" t="s">
        <v>53</v>
      </c>
      <c r="N197" s="3" t="s">
        <v>133</v>
      </c>
      <c r="O197" s="3" t="s">
        <v>55</v>
      </c>
      <c r="P197" s="30">
        <v>14549.33</v>
      </c>
      <c r="Q197" s="3" t="s">
        <v>152</v>
      </c>
      <c r="R197" s="3">
        <v>7</v>
      </c>
      <c r="S197" s="3">
        <v>398</v>
      </c>
      <c r="T197" s="3">
        <v>34.1</v>
      </c>
      <c r="U197" s="3" t="s">
        <v>86</v>
      </c>
      <c r="V197" s="18" t="s">
        <v>33</v>
      </c>
    </row>
    <row r="198" spans="1:22" ht="15" customHeight="1" x14ac:dyDescent="0.25">
      <c r="A198" s="15" t="s">
        <v>529</v>
      </c>
      <c r="B198" s="2" t="s">
        <v>3579</v>
      </c>
      <c r="C198">
        <v>68</v>
      </c>
      <c r="D198" s="1" t="s">
        <v>82</v>
      </c>
      <c r="E198" s="1" t="s">
        <v>48</v>
      </c>
      <c r="F198" s="1" t="s">
        <v>155</v>
      </c>
      <c r="G198" s="1" t="s">
        <v>131</v>
      </c>
      <c r="H198" s="1" t="s">
        <v>26</v>
      </c>
      <c r="I198" s="6">
        <v>45298</v>
      </c>
      <c r="J198" s="7">
        <v>45450</v>
      </c>
      <c r="K198" s="1">
        <v>5</v>
      </c>
      <c r="L198" s="1" t="s">
        <v>231</v>
      </c>
      <c r="M198" s="1" t="s">
        <v>53</v>
      </c>
      <c r="N198" s="1" t="s">
        <v>157</v>
      </c>
      <c r="O198" s="1" t="s">
        <v>66</v>
      </c>
      <c r="P198" s="29">
        <v>42882.66</v>
      </c>
      <c r="Q198" s="1" t="s">
        <v>266</v>
      </c>
      <c r="R198" s="1">
        <v>7</v>
      </c>
      <c r="S198" s="1">
        <v>306</v>
      </c>
      <c r="T198" s="1">
        <v>27.9</v>
      </c>
      <c r="U198" s="1" t="s">
        <v>44</v>
      </c>
      <c r="V198" s="17" t="s">
        <v>33</v>
      </c>
    </row>
    <row r="199" spans="1:22" ht="15" customHeight="1" x14ac:dyDescent="0.25">
      <c r="A199" s="16" t="s">
        <v>530</v>
      </c>
      <c r="B199" s="3" t="s">
        <v>531</v>
      </c>
      <c r="C199">
        <v>60</v>
      </c>
      <c r="D199" s="3" t="s">
        <v>59</v>
      </c>
      <c r="E199" s="3" t="s">
        <v>48</v>
      </c>
      <c r="F199" s="3" t="s">
        <v>76</v>
      </c>
      <c r="G199" s="3" t="s">
        <v>25</v>
      </c>
      <c r="H199" s="3" t="s">
        <v>51</v>
      </c>
      <c r="I199" s="6">
        <v>44541</v>
      </c>
      <c r="J199" s="8">
        <v>44525</v>
      </c>
      <c r="K199" s="3">
        <v>13</v>
      </c>
      <c r="L199" s="3" t="s">
        <v>132</v>
      </c>
      <c r="M199" s="3" t="s">
        <v>53</v>
      </c>
      <c r="N199" s="3" t="s">
        <v>29</v>
      </c>
      <c r="O199" s="3" t="s">
        <v>104</v>
      </c>
      <c r="P199" s="30">
        <v>25694.77</v>
      </c>
      <c r="Q199" s="3" t="s">
        <v>31</v>
      </c>
      <c r="R199" s="3">
        <v>12</v>
      </c>
      <c r="S199" s="3">
        <v>142</v>
      </c>
      <c r="T199" s="3">
        <v>16.600000000000001</v>
      </c>
      <c r="U199" s="3" t="s">
        <v>44</v>
      </c>
      <c r="V199" s="18" t="s">
        <v>45</v>
      </c>
    </row>
    <row r="200" spans="1:22" ht="15" customHeight="1" x14ac:dyDescent="0.25">
      <c r="A200" s="15" t="s">
        <v>532</v>
      </c>
      <c r="B200" s="1" t="s">
        <v>533</v>
      </c>
      <c r="C200">
        <v>73</v>
      </c>
      <c r="D200" s="1" t="s">
        <v>82</v>
      </c>
      <c r="E200" s="1" t="s">
        <v>23</v>
      </c>
      <c r="F200" s="1" t="s">
        <v>70</v>
      </c>
      <c r="G200" s="1" t="s">
        <v>50</v>
      </c>
      <c r="H200" s="1" t="s">
        <v>26</v>
      </c>
      <c r="I200" s="7">
        <v>43679</v>
      </c>
      <c r="J200" s="10"/>
      <c r="K200" s="1"/>
      <c r="L200" s="1" t="s">
        <v>27</v>
      </c>
      <c r="M200" s="1" t="s">
        <v>28</v>
      </c>
      <c r="N200" s="1" t="s">
        <v>116</v>
      </c>
      <c r="O200" s="1" t="s">
        <v>42</v>
      </c>
      <c r="P200" s="29">
        <v>59913.63</v>
      </c>
      <c r="Q200" s="1" t="s">
        <v>351</v>
      </c>
      <c r="R200" s="1">
        <v>9</v>
      </c>
      <c r="S200" s="1">
        <v>357</v>
      </c>
      <c r="T200" s="1">
        <v>35.6</v>
      </c>
      <c r="U200" s="1" t="s">
        <v>44</v>
      </c>
      <c r="V200" s="17" t="s">
        <v>33</v>
      </c>
    </row>
    <row r="201" spans="1:22" ht="15" customHeight="1" x14ac:dyDescent="0.25">
      <c r="A201" s="16" t="s">
        <v>534</v>
      </c>
      <c r="B201" s="3" t="s">
        <v>535</v>
      </c>
      <c r="C201">
        <v>70</v>
      </c>
      <c r="D201" s="3" t="s">
        <v>82</v>
      </c>
      <c r="E201" s="3" t="s">
        <v>48</v>
      </c>
      <c r="F201" s="3" t="s">
        <v>155</v>
      </c>
      <c r="G201" s="3" t="s">
        <v>131</v>
      </c>
      <c r="H201" s="3" t="s">
        <v>78</v>
      </c>
      <c r="I201" s="8">
        <v>43550</v>
      </c>
      <c r="J201" s="8">
        <v>43556</v>
      </c>
      <c r="K201" s="3">
        <v>6</v>
      </c>
      <c r="L201" s="3" t="s">
        <v>112</v>
      </c>
      <c r="M201" s="3" t="s">
        <v>40</v>
      </c>
      <c r="N201" s="3" t="s">
        <v>147</v>
      </c>
      <c r="O201" s="3" t="s">
        <v>104</v>
      </c>
      <c r="P201" s="30">
        <v>21456.98</v>
      </c>
      <c r="Q201" s="3" t="s">
        <v>148</v>
      </c>
      <c r="R201" s="3">
        <v>6</v>
      </c>
      <c r="S201" s="3">
        <v>495</v>
      </c>
      <c r="T201" s="3">
        <v>29.3</v>
      </c>
      <c r="U201" s="3" t="s">
        <v>86</v>
      </c>
      <c r="V201" s="18" t="s">
        <v>45</v>
      </c>
    </row>
    <row r="202" spans="1:22" ht="15" customHeight="1" x14ac:dyDescent="0.25">
      <c r="A202" s="15" t="s">
        <v>536</v>
      </c>
      <c r="B202" s="1" t="s">
        <v>537</v>
      </c>
      <c r="C202">
        <v>68</v>
      </c>
      <c r="D202" s="1" t="s">
        <v>82</v>
      </c>
      <c r="E202" s="1" t="s">
        <v>48</v>
      </c>
      <c r="F202" s="1" t="s">
        <v>83</v>
      </c>
      <c r="G202" s="1" t="s">
        <v>77</v>
      </c>
      <c r="H202" s="1" t="s">
        <v>51</v>
      </c>
      <c r="I202" s="7">
        <v>44625</v>
      </c>
      <c r="J202" s="10"/>
      <c r="K202" s="1"/>
      <c r="L202" s="1" t="s">
        <v>102</v>
      </c>
      <c r="M202" s="1" t="s">
        <v>28</v>
      </c>
      <c r="N202" s="1" t="s">
        <v>94</v>
      </c>
      <c r="O202" s="1" t="s">
        <v>30</v>
      </c>
      <c r="P202" s="29">
        <v>41336.339999999997</v>
      </c>
      <c r="Q202" s="1" t="s">
        <v>80</v>
      </c>
      <c r="R202" s="1">
        <v>10</v>
      </c>
      <c r="S202" s="1">
        <v>176</v>
      </c>
      <c r="T202" s="1">
        <v>41.5</v>
      </c>
      <c r="U202" s="1" t="s">
        <v>44</v>
      </c>
      <c r="V202" s="17" t="s">
        <v>33</v>
      </c>
    </row>
    <row r="203" spans="1:22" ht="15" customHeight="1" x14ac:dyDescent="0.25">
      <c r="A203" s="16" t="s">
        <v>538</v>
      </c>
      <c r="B203" s="3" t="s">
        <v>539</v>
      </c>
      <c r="C203">
        <v>58</v>
      </c>
      <c r="D203" s="3" t="s">
        <v>59</v>
      </c>
      <c r="E203" s="3" t="s">
        <v>23</v>
      </c>
      <c r="F203" s="3" t="s">
        <v>99</v>
      </c>
      <c r="G203" s="3" t="s">
        <v>77</v>
      </c>
      <c r="H203" s="3" t="s">
        <v>26</v>
      </c>
      <c r="I203" s="6">
        <v>45026</v>
      </c>
      <c r="J203" s="8">
        <v>45033</v>
      </c>
      <c r="K203" s="3">
        <v>7</v>
      </c>
      <c r="L203" s="3" t="s">
        <v>52</v>
      </c>
      <c r="M203" s="3" t="s">
        <v>53</v>
      </c>
      <c r="N203" s="3" t="s">
        <v>84</v>
      </c>
      <c r="O203" s="3" t="s">
        <v>42</v>
      </c>
      <c r="P203" s="30">
        <v>96369.62</v>
      </c>
      <c r="Q203" s="3" t="s">
        <v>91</v>
      </c>
      <c r="R203" s="3">
        <v>10</v>
      </c>
      <c r="S203" s="3">
        <v>363</v>
      </c>
      <c r="T203" s="3">
        <v>25.4</v>
      </c>
      <c r="U203" s="3" t="s">
        <v>44</v>
      </c>
      <c r="V203" s="18" t="s">
        <v>33</v>
      </c>
    </row>
    <row r="204" spans="1:22" ht="15" customHeight="1" x14ac:dyDescent="0.25">
      <c r="A204" s="15" t="s">
        <v>540</v>
      </c>
      <c r="B204" s="1" t="s">
        <v>541</v>
      </c>
      <c r="C204">
        <v>59</v>
      </c>
      <c r="D204" s="1" t="s">
        <v>59</v>
      </c>
      <c r="E204" s="1" t="s">
        <v>48</v>
      </c>
      <c r="F204" s="1" t="s">
        <v>76</v>
      </c>
      <c r="G204" s="1" t="s">
        <v>71</v>
      </c>
      <c r="H204" s="1" t="s">
        <v>78</v>
      </c>
      <c r="I204" s="6">
        <v>44085</v>
      </c>
      <c r="J204" s="7">
        <v>44091</v>
      </c>
      <c r="K204" s="1">
        <v>6</v>
      </c>
      <c r="L204" s="1" t="s">
        <v>112</v>
      </c>
      <c r="M204" s="1" t="s">
        <v>40</v>
      </c>
      <c r="N204" s="1" t="s">
        <v>72</v>
      </c>
      <c r="O204" s="1" t="s">
        <v>30</v>
      </c>
      <c r="P204" s="29">
        <v>12108.68</v>
      </c>
      <c r="Q204" s="1" t="s">
        <v>73</v>
      </c>
      <c r="R204" s="1">
        <v>4</v>
      </c>
      <c r="S204" s="1">
        <v>468</v>
      </c>
      <c r="T204" s="1">
        <v>30.4</v>
      </c>
      <c r="U204" s="1" t="s">
        <v>86</v>
      </c>
      <c r="V204" s="17" t="s">
        <v>33</v>
      </c>
    </row>
    <row r="205" spans="1:22" ht="15" customHeight="1" x14ac:dyDescent="0.25">
      <c r="A205" s="16" t="s">
        <v>542</v>
      </c>
      <c r="B205" s="3" t="s">
        <v>543</v>
      </c>
      <c r="C205">
        <v>40</v>
      </c>
      <c r="D205" s="3" t="s">
        <v>98</v>
      </c>
      <c r="E205" s="3" t="s">
        <v>48</v>
      </c>
      <c r="F205" s="3" t="s">
        <v>24</v>
      </c>
      <c r="G205" s="3" t="s">
        <v>71</v>
      </c>
      <c r="H205" s="3" t="s">
        <v>26</v>
      </c>
      <c r="I205" s="6">
        <v>44205</v>
      </c>
      <c r="J205" s="8">
        <v>44210</v>
      </c>
      <c r="K205" s="3">
        <v>5</v>
      </c>
      <c r="L205" s="3" t="s">
        <v>52</v>
      </c>
      <c r="M205" s="3" t="s">
        <v>53</v>
      </c>
      <c r="N205" s="3" t="s">
        <v>72</v>
      </c>
      <c r="O205" s="3" t="s">
        <v>30</v>
      </c>
      <c r="P205" s="30">
        <v>39321</v>
      </c>
      <c r="Q205" s="3" t="s">
        <v>178</v>
      </c>
      <c r="R205" s="3">
        <v>4</v>
      </c>
      <c r="S205" s="3">
        <v>335</v>
      </c>
      <c r="T205" s="3">
        <v>18.8</v>
      </c>
      <c r="U205" s="3" t="s">
        <v>32</v>
      </c>
      <c r="V205" s="18" t="s">
        <v>33</v>
      </c>
    </row>
    <row r="206" spans="1:22" ht="15" customHeight="1" x14ac:dyDescent="0.25">
      <c r="A206" s="15" t="s">
        <v>544</v>
      </c>
      <c r="B206" s="1" t="s">
        <v>545</v>
      </c>
      <c r="C206">
        <v>65</v>
      </c>
      <c r="D206" s="1" t="s">
        <v>82</v>
      </c>
      <c r="E206" s="1" t="s">
        <v>23</v>
      </c>
      <c r="F206" s="1" t="s">
        <v>37</v>
      </c>
      <c r="G206" s="1" t="s">
        <v>60</v>
      </c>
      <c r="H206" s="1" t="s">
        <v>78</v>
      </c>
      <c r="I206" s="6">
        <v>43995</v>
      </c>
      <c r="J206" s="7">
        <v>44002</v>
      </c>
      <c r="K206" s="1">
        <v>7</v>
      </c>
      <c r="L206" s="1" t="s">
        <v>132</v>
      </c>
      <c r="M206" s="1" t="s">
        <v>53</v>
      </c>
      <c r="N206" s="1" t="s">
        <v>210</v>
      </c>
      <c r="O206" s="1" t="s">
        <v>30</v>
      </c>
      <c r="P206" s="29">
        <v>28935.26</v>
      </c>
      <c r="Q206" s="1" t="s">
        <v>137</v>
      </c>
      <c r="R206" s="1">
        <v>6</v>
      </c>
      <c r="S206" s="1">
        <v>321</v>
      </c>
      <c r="T206" s="1">
        <v>32</v>
      </c>
      <c r="U206" s="1" t="s">
        <v>44</v>
      </c>
      <c r="V206" s="17" t="s">
        <v>33</v>
      </c>
    </row>
    <row r="207" spans="1:22" ht="15" customHeight="1" x14ac:dyDescent="0.25">
      <c r="A207" s="16" t="s">
        <v>546</v>
      </c>
      <c r="B207" s="3" t="s">
        <v>547</v>
      </c>
      <c r="C207">
        <v>56</v>
      </c>
      <c r="D207" s="3" t="s">
        <v>59</v>
      </c>
      <c r="E207" s="3" t="s">
        <v>48</v>
      </c>
      <c r="F207" s="3" t="s">
        <v>49</v>
      </c>
      <c r="G207" s="3" t="s">
        <v>25</v>
      </c>
      <c r="H207" s="3" t="s">
        <v>51</v>
      </c>
      <c r="I207" s="8">
        <v>45196</v>
      </c>
      <c r="J207" s="8">
        <v>45214</v>
      </c>
      <c r="K207" s="3">
        <v>18</v>
      </c>
      <c r="L207" s="3" t="s">
        <v>102</v>
      </c>
      <c r="M207" s="3" t="s">
        <v>28</v>
      </c>
      <c r="N207" s="3" t="s">
        <v>29</v>
      </c>
      <c r="O207" s="3" t="s">
        <v>104</v>
      </c>
      <c r="P207" s="30">
        <v>39428.300000000003</v>
      </c>
      <c r="Q207" s="3" t="s">
        <v>67</v>
      </c>
      <c r="R207" s="3">
        <v>11</v>
      </c>
      <c r="S207" s="3">
        <v>161</v>
      </c>
      <c r="T207" s="3">
        <v>23.9</v>
      </c>
      <c r="U207" s="3" t="s">
        <v>32</v>
      </c>
      <c r="V207" s="18" t="s">
        <v>33</v>
      </c>
    </row>
    <row r="208" spans="1:22" ht="15" customHeight="1" x14ac:dyDescent="0.25">
      <c r="A208" s="15" t="s">
        <v>548</v>
      </c>
      <c r="B208" s="2" t="s">
        <v>2905</v>
      </c>
      <c r="C208">
        <v>48</v>
      </c>
      <c r="D208" s="1" t="s">
        <v>98</v>
      </c>
      <c r="E208" s="1" t="s">
        <v>23</v>
      </c>
      <c r="F208" s="1" t="s">
        <v>76</v>
      </c>
      <c r="G208" s="1" t="s">
        <v>131</v>
      </c>
      <c r="H208" s="1" t="s">
        <v>26</v>
      </c>
      <c r="I208" s="7">
        <v>44266</v>
      </c>
      <c r="J208" s="7">
        <v>44508</v>
      </c>
      <c r="K208" s="1">
        <v>5</v>
      </c>
      <c r="L208" s="1" t="s">
        <v>122</v>
      </c>
      <c r="M208" s="1" t="s">
        <v>40</v>
      </c>
      <c r="N208" s="1" t="s">
        <v>147</v>
      </c>
      <c r="O208" s="1" t="s">
        <v>42</v>
      </c>
      <c r="P208" s="29">
        <v>27802.53</v>
      </c>
      <c r="Q208" s="1" t="s">
        <v>148</v>
      </c>
      <c r="R208" s="1">
        <v>7</v>
      </c>
      <c r="S208" s="1">
        <v>343</v>
      </c>
      <c r="T208" s="1">
        <v>25.9</v>
      </c>
      <c r="U208" s="1" t="s">
        <v>44</v>
      </c>
      <c r="V208" s="17" t="s">
        <v>33</v>
      </c>
    </row>
    <row r="209" spans="1:22" ht="15" customHeight="1" x14ac:dyDescent="0.25">
      <c r="A209" s="16" t="s">
        <v>549</v>
      </c>
      <c r="B209" s="3" t="s">
        <v>345</v>
      </c>
      <c r="C209">
        <v>74</v>
      </c>
      <c r="D209" s="3" t="s">
        <v>82</v>
      </c>
      <c r="E209" s="3" t="s">
        <v>23</v>
      </c>
      <c r="F209" s="3" t="s">
        <v>76</v>
      </c>
      <c r="G209" s="3" t="s">
        <v>77</v>
      </c>
      <c r="H209" s="3" t="s">
        <v>26</v>
      </c>
      <c r="I209" s="6">
        <v>45459</v>
      </c>
      <c r="J209" s="8">
        <v>45465</v>
      </c>
      <c r="K209" s="3">
        <v>6</v>
      </c>
      <c r="L209" s="3" t="s">
        <v>122</v>
      </c>
      <c r="M209" s="3" t="s">
        <v>40</v>
      </c>
      <c r="N209" s="3" t="s">
        <v>94</v>
      </c>
      <c r="O209" s="3" t="s">
        <v>104</v>
      </c>
      <c r="P209" s="30">
        <v>132109</v>
      </c>
      <c r="Q209" s="3" t="s">
        <v>95</v>
      </c>
      <c r="R209" s="3">
        <v>10</v>
      </c>
      <c r="S209" s="3">
        <v>380</v>
      </c>
      <c r="T209" s="4"/>
      <c r="U209" s="3" t="s">
        <v>44</v>
      </c>
      <c r="V209" s="18" t="s">
        <v>45</v>
      </c>
    </row>
    <row r="210" spans="1:22" ht="15" customHeight="1" x14ac:dyDescent="0.25">
      <c r="A210" s="15" t="s">
        <v>550</v>
      </c>
      <c r="B210" s="1" t="s">
        <v>551</v>
      </c>
      <c r="C210">
        <v>48</v>
      </c>
      <c r="D210" s="1" t="s">
        <v>98</v>
      </c>
      <c r="E210" s="1" t="s">
        <v>23</v>
      </c>
      <c r="F210" s="1" t="s">
        <v>76</v>
      </c>
      <c r="G210" s="1" t="s">
        <v>50</v>
      </c>
      <c r="H210" s="1" t="s">
        <v>78</v>
      </c>
      <c r="I210" s="7">
        <v>44459</v>
      </c>
      <c r="J210" s="10"/>
      <c r="K210" s="1"/>
      <c r="L210" s="1" t="s">
        <v>132</v>
      </c>
      <c r="M210" s="1" t="s">
        <v>53</v>
      </c>
      <c r="N210" s="1" t="s">
        <v>126</v>
      </c>
      <c r="O210" s="1" t="s">
        <v>66</v>
      </c>
      <c r="P210" s="29">
        <v>65122.14</v>
      </c>
      <c r="Q210" s="1" t="s">
        <v>552</v>
      </c>
      <c r="R210" s="1">
        <v>8</v>
      </c>
      <c r="S210" s="1">
        <v>413</v>
      </c>
      <c r="T210" s="1">
        <v>22.2</v>
      </c>
      <c r="U210" s="1" t="s">
        <v>32</v>
      </c>
      <c r="V210" s="17" t="s">
        <v>33</v>
      </c>
    </row>
    <row r="211" spans="1:22" ht="15" customHeight="1" x14ac:dyDescent="0.25">
      <c r="A211" s="16" t="s">
        <v>553</v>
      </c>
      <c r="B211" s="3" t="s">
        <v>554</v>
      </c>
      <c r="C211">
        <v>36</v>
      </c>
      <c r="D211" s="3" t="s">
        <v>98</v>
      </c>
      <c r="E211" s="3" t="s">
        <v>48</v>
      </c>
      <c r="F211" s="3" t="s">
        <v>76</v>
      </c>
      <c r="G211" s="3" t="s">
        <v>71</v>
      </c>
      <c r="H211" s="3" t="s">
        <v>78</v>
      </c>
      <c r="I211" s="6">
        <v>43944</v>
      </c>
      <c r="J211" s="8">
        <v>43948</v>
      </c>
      <c r="K211" s="3">
        <v>4</v>
      </c>
      <c r="L211" s="3" t="s">
        <v>185</v>
      </c>
      <c r="M211" s="3" t="s">
        <v>186</v>
      </c>
      <c r="N211" s="3" t="s">
        <v>312</v>
      </c>
      <c r="O211" s="3" t="s">
        <v>30</v>
      </c>
      <c r="P211" s="30">
        <v>9054.69</v>
      </c>
      <c r="Q211" s="3" t="s">
        <v>374</v>
      </c>
      <c r="R211" s="3">
        <v>5</v>
      </c>
      <c r="S211" s="3">
        <v>470</v>
      </c>
      <c r="T211" s="3">
        <v>29.4</v>
      </c>
      <c r="U211" s="3" t="s">
        <v>86</v>
      </c>
      <c r="V211" s="18" t="s">
        <v>33</v>
      </c>
    </row>
    <row r="212" spans="1:22" ht="15" customHeight="1" x14ac:dyDescent="0.25">
      <c r="A212" s="15" t="s">
        <v>555</v>
      </c>
      <c r="B212" s="1" t="s">
        <v>556</v>
      </c>
      <c r="C212">
        <v>72</v>
      </c>
      <c r="D212" s="1" t="s">
        <v>82</v>
      </c>
      <c r="E212" s="1" t="s">
        <v>48</v>
      </c>
      <c r="F212" s="1" t="s">
        <v>83</v>
      </c>
      <c r="G212" s="1" t="s">
        <v>163</v>
      </c>
      <c r="H212" s="1" t="s">
        <v>26</v>
      </c>
      <c r="I212" s="6">
        <v>45511</v>
      </c>
      <c r="J212" s="7">
        <v>45603</v>
      </c>
      <c r="K212" s="1">
        <v>3</v>
      </c>
      <c r="L212" s="1" t="s">
        <v>185</v>
      </c>
      <c r="M212" s="1" t="s">
        <v>186</v>
      </c>
      <c r="N212" s="1" t="s">
        <v>213</v>
      </c>
      <c r="O212" s="1" t="s">
        <v>42</v>
      </c>
      <c r="P212" s="29">
        <v>81619.59</v>
      </c>
      <c r="Q212" s="1" t="s">
        <v>165</v>
      </c>
      <c r="R212" s="1">
        <v>5</v>
      </c>
      <c r="S212" s="1">
        <v>281</v>
      </c>
      <c r="T212" s="1">
        <v>19.899999999999999</v>
      </c>
      <c r="U212" s="1" t="s">
        <v>44</v>
      </c>
      <c r="V212" s="17" t="s">
        <v>45</v>
      </c>
    </row>
    <row r="213" spans="1:22" ht="15" customHeight="1" x14ac:dyDescent="0.25">
      <c r="A213" s="16" t="s">
        <v>557</v>
      </c>
      <c r="B213" s="2" t="s">
        <v>616</v>
      </c>
      <c r="C213">
        <v>91</v>
      </c>
      <c r="D213" s="3" t="s">
        <v>36</v>
      </c>
      <c r="E213" s="3" t="s">
        <v>48</v>
      </c>
      <c r="F213" s="3" t="s">
        <v>76</v>
      </c>
      <c r="G213" s="3" t="s">
        <v>71</v>
      </c>
      <c r="H213" s="3" t="s">
        <v>78</v>
      </c>
      <c r="I213" s="6">
        <v>43899</v>
      </c>
      <c r="J213" s="8">
        <v>43903</v>
      </c>
      <c r="K213" s="3">
        <v>4</v>
      </c>
      <c r="L213" s="3" t="s">
        <v>132</v>
      </c>
      <c r="M213" s="3" t="s">
        <v>53</v>
      </c>
      <c r="N213" s="3" t="s">
        <v>312</v>
      </c>
      <c r="O213" s="3" t="s">
        <v>55</v>
      </c>
      <c r="P213" s="30">
        <v>12163.7</v>
      </c>
      <c r="Q213" s="3" t="s">
        <v>170</v>
      </c>
      <c r="R213" s="3">
        <v>5</v>
      </c>
      <c r="S213" s="3">
        <v>475</v>
      </c>
      <c r="T213" s="3">
        <v>27.2</v>
      </c>
      <c r="U213" s="3" t="s">
        <v>86</v>
      </c>
      <c r="V213" s="18" t="s">
        <v>33</v>
      </c>
    </row>
    <row r="214" spans="1:22" ht="15" customHeight="1" x14ac:dyDescent="0.25">
      <c r="A214" s="15" t="s">
        <v>558</v>
      </c>
      <c r="B214" s="1" t="s">
        <v>559</v>
      </c>
      <c r="C214">
        <v>41</v>
      </c>
      <c r="D214" s="1" t="s">
        <v>98</v>
      </c>
      <c r="E214" s="1" t="s">
        <v>23</v>
      </c>
      <c r="F214" s="1" t="s">
        <v>24</v>
      </c>
      <c r="G214" s="1" t="s">
        <v>50</v>
      </c>
      <c r="H214" s="1" t="s">
        <v>26</v>
      </c>
      <c r="I214" s="6">
        <v>45080</v>
      </c>
      <c r="J214" s="7">
        <v>45003</v>
      </c>
      <c r="K214" s="1">
        <v>12</v>
      </c>
      <c r="L214" s="1" t="s">
        <v>132</v>
      </c>
      <c r="M214" s="1" t="s">
        <v>53</v>
      </c>
      <c r="N214" s="1" t="s">
        <v>116</v>
      </c>
      <c r="O214" s="1" t="s">
        <v>104</v>
      </c>
      <c r="P214" s="29">
        <v>44586</v>
      </c>
      <c r="Q214" s="1" t="s">
        <v>56</v>
      </c>
      <c r="R214" s="1">
        <v>8</v>
      </c>
      <c r="S214" s="1">
        <v>318</v>
      </c>
      <c r="T214" s="1">
        <v>16.2</v>
      </c>
      <c r="U214" s="1" t="s">
        <v>44</v>
      </c>
      <c r="V214" s="17" t="s">
        <v>33</v>
      </c>
    </row>
    <row r="215" spans="1:22" ht="15" customHeight="1" x14ac:dyDescent="0.25">
      <c r="A215" s="16" t="s">
        <v>560</v>
      </c>
      <c r="B215" s="2" t="s">
        <v>3472</v>
      </c>
      <c r="C215">
        <v>61</v>
      </c>
      <c r="D215" s="3" t="s">
        <v>59</v>
      </c>
      <c r="E215" s="3" t="s">
        <v>48</v>
      </c>
      <c r="F215" s="3" t="s">
        <v>37</v>
      </c>
      <c r="G215" s="3" t="s">
        <v>77</v>
      </c>
      <c r="H215" s="3" t="s">
        <v>78</v>
      </c>
      <c r="I215" s="6">
        <v>45652</v>
      </c>
      <c r="J215" s="8">
        <v>45748</v>
      </c>
      <c r="K215" s="3">
        <v>9</v>
      </c>
      <c r="L215" s="3" t="s">
        <v>122</v>
      </c>
      <c r="M215" s="3" t="s">
        <v>40</v>
      </c>
      <c r="N215" s="3" t="s">
        <v>79</v>
      </c>
      <c r="O215" s="3" t="s">
        <v>42</v>
      </c>
      <c r="P215" s="30">
        <v>45750.2</v>
      </c>
      <c r="Q215" s="3" t="s">
        <v>85</v>
      </c>
      <c r="R215" s="3">
        <v>9</v>
      </c>
      <c r="S215" s="3">
        <v>378</v>
      </c>
      <c r="T215" s="3">
        <v>40.4</v>
      </c>
      <c r="U215" s="3" t="s">
        <v>44</v>
      </c>
      <c r="V215" s="18" t="s">
        <v>33</v>
      </c>
    </row>
    <row r="216" spans="1:22" ht="15" customHeight="1" x14ac:dyDescent="0.25">
      <c r="A216" s="15" t="s">
        <v>561</v>
      </c>
      <c r="B216" s="2" t="s">
        <v>3580</v>
      </c>
      <c r="C216">
        <v>87</v>
      </c>
      <c r="D216" s="1" t="s">
        <v>36</v>
      </c>
      <c r="E216" s="1" t="s">
        <v>48</v>
      </c>
      <c r="F216" s="1" t="s">
        <v>24</v>
      </c>
      <c r="G216" s="1" t="s">
        <v>562</v>
      </c>
      <c r="H216" s="1" t="s">
        <v>78</v>
      </c>
      <c r="I216" s="7">
        <v>44628</v>
      </c>
      <c r="J216" s="7">
        <v>44868</v>
      </c>
      <c r="K216" s="1">
        <v>3</v>
      </c>
      <c r="L216" s="1" t="s">
        <v>39</v>
      </c>
      <c r="M216" s="1" t="s">
        <v>40</v>
      </c>
      <c r="N216" s="1" t="s">
        <v>157</v>
      </c>
      <c r="O216" s="1" t="s">
        <v>104</v>
      </c>
      <c r="P216" s="29">
        <v>20990.48</v>
      </c>
      <c r="Q216" s="1" t="s">
        <v>134</v>
      </c>
      <c r="R216" s="1">
        <v>7</v>
      </c>
      <c r="S216" s="1">
        <v>163</v>
      </c>
      <c r="T216" s="1">
        <v>28.9</v>
      </c>
      <c r="U216" s="1" t="s">
        <v>32</v>
      </c>
      <c r="V216" s="17" t="s">
        <v>33</v>
      </c>
    </row>
    <row r="217" spans="1:22" ht="15" customHeight="1" x14ac:dyDescent="0.25">
      <c r="A217" s="16" t="s">
        <v>563</v>
      </c>
      <c r="B217" s="3" t="s">
        <v>564</v>
      </c>
      <c r="C217">
        <v>53</v>
      </c>
      <c r="D217" s="3" t="s">
        <v>98</v>
      </c>
      <c r="E217" s="3" t="s">
        <v>48</v>
      </c>
      <c r="F217" s="3" t="s">
        <v>37</v>
      </c>
      <c r="G217" s="3" t="s">
        <v>131</v>
      </c>
      <c r="H217" s="3" t="s">
        <v>51</v>
      </c>
      <c r="I217" s="8">
        <v>45012</v>
      </c>
      <c r="J217" s="8">
        <v>44961</v>
      </c>
      <c r="K217" s="3">
        <v>6</v>
      </c>
      <c r="L217" s="3" t="s">
        <v>89</v>
      </c>
      <c r="M217" s="3" t="s">
        <v>90</v>
      </c>
      <c r="N217" s="3" t="s">
        <v>147</v>
      </c>
      <c r="O217" s="3" t="s">
        <v>30</v>
      </c>
      <c r="P217" s="30">
        <v>17197.46</v>
      </c>
      <c r="Q217" s="3" t="s">
        <v>158</v>
      </c>
      <c r="R217" s="3">
        <v>7</v>
      </c>
      <c r="S217" s="3">
        <v>109</v>
      </c>
      <c r="T217" s="3">
        <v>33.5</v>
      </c>
      <c r="U217" s="3" t="s">
        <v>44</v>
      </c>
      <c r="V217" s="18" t="s">
        <v>45</v>
      </c>
    </row>
    <row r="218" spans="1:22" ht="15" customHeight="1" x14ac:dyDescent="0.25">
      <c r="A218" s="15" t="s">
        <v>565</v>
      </c>
      <c r="B218" s="1" t="s">
        <v>566</v>
      </c>
      <c r="C218">
        <v>59</v>
      </c>
      <c r="D218" s="1" t="s">
        <v>59</v>
      </c>
      <c r="E218" s="1" t="s">
        <v>48</v>
      </c>
      <c r="F218" s="1" t="s">
        <v>49</v>
      </c>
      <c r="G218" s="1" t="s">
        <v>38</v>
      </c>
      <c r="H218" s="1" t="s">
        <v>26</v>
      </c>
      <c r="I218" s="6">
        <v>45331</v>
      </c>
      <c r="J218" s="7">
        <v>45540</v>
      </c>
      <c r="K218" s="1">
        <v>3</v>
      </c>
      <c r="L218" s="1" t="s">
        <v>132</v>
      </c>
      <c r="M218" s="1" t="s">
        <v>53</v>
      </c>
      <c r="N218" s="1" t="s">
        <v>41</v>
      </c>
      <c r="O218" s="1" t="s">
        <v>42</v>
      </c>
      <c r="P218" s="29">
        <v>23207.3</v>
      </c>
      <c r="Q218" s="1" t="s">
        <v>567</v>
      </c>
      <c r="R218" s="1">
        <v>8</v>
      </c>
      <c r="S218" s="1">
        <v>120</v>
      </c>
      <c r="T218" s="1">
        <v>40.200000000000003</v>
      </c>
      <c r="U218" s="1" t="s">
        <v>86</v>
      </c>
      <c r="V218" s="17" t="s">
        <v>33</v>
      </c>
    </row>
    <row r="219" spans="1:22" ht="15" customHeight="1" x14ac:dyDescent="0.25">
      <c r="A219" s="16" t="s">
        <v>568</v>
      </c>
      <c r="B219" s="3" t="s">
        <v>569</v>
      </c>
      <c r="C219">
        <v>55</v>
      </c>
      <c r="D219" s="3" t="s">
        <v>59</v>
      </c>
      <c r="E219" s="3" t="s">
        <v>48</v>
      </c>
      <c r="F219" s="3" t="s">
        <v>76</v>
      </c>
      <c r="G219" s="3" t="s">
        <v>131</v>
      </c>
      <c r="H219" s="3" t="s">
        <v>78</v>
      </c>
      <c r="I219" s="8">
        <v>43967</v>
      </c>
      <c r="J219" s="8">
        <v>43971</v>
      </c>
      <c r="K219" s="3">
        <v>4</v>
      </c>
      <c r="L219" s="3" t="s">
        <v>89</v>
      </c>
      <c r="M219" s="3" t="s">
        <v>90</v>
      </c>
      <c r="N219" s="3" t="s">
        <v>157</v>
      </c>
      <c r="O219" s="3" t="s">
        <v>55</v>
      </c>
      <c r="P219" s="30">
        <v>21858.59</v>
      </c>
      <c r="Q219" s="3" t="s">
        <v>158</v>
      </c>
      <c r="R219" s="3">
        <v>6</v>
      </c>
      <c r="S219" s="3">
        <v>329</v>
      </c>
      <c r="T219" s="3">
        <v>33</v>
      </c>
      <c r="U219" s="3" t="s">
        <v>32</v>
      </c>
      <c r="V219" s="18" t="s">
        <v>33</v>
      </c>
    </row>
    <row r="220" spans="1:22" ht="15" customHeight="1" x14ac:dyDescent="0.25">
      <c r="A220" s="15" t="s">
        <v>570</v>
      </c>
      <c r="B220" s="1" t="s">
        <v>271</v>
      </c>
      <c r="C220">
        <v>71</v>
      </c>
      <c r="D220" s="1" t="s">
        <v>82</v>
      </c>
      <c r="E220" s="1" t="s">
        <v>23</v>
      </c>
      <c r="F220" s="1" t="s">
        <v>155</v>
      </c>
      <c r="G220" s="1" t="s">
        <v>25</v>
      </c>
      <c r="H220" s="1" t="s">
        <v>78</v>
      </c>
      <c r="I220" s="7">
        <v>43803</v>
      </c>
      <c r="J220" s="7">
        <v>43579</v>
      </c>
      <c r="K220" s="1">
        <v>12</v>
      </c>
      <c r="L220" s="1" t="s">
        <v>132</v>
      </c>
      <c r="M220" s="1" t="s">
        <v>53</v>
      </c>
      <c r="N220" s="1" t="s">
        <v>248</v>
      </c>
      <c r="O220" s="1" t="s">
        <v>42</v>
      </c>
      <c r="P220" s="29">
        <v>89083.91</v>
      </c>
      <c r="Q220" s="1" t="s">
        <v>269</v>
      </c>
      <c r="R220" s="1">
        <v>10</v>
      </c>
      <c r="S220" s="1">
        <v>192</v>
      </c>
      <c r="T220" s="1">
        <v>14.3</v>
      </c>
      <c r="U220" s="1" t="s">
        <v>32</v>
      </c>
      <c r="V220" s="17" t="s">
        <v>33</v>
      </c>
    </row>
    <row r="221" spans="1:22" ht="15" customHeight="1" x14ac:dyDescent="0.25">
      <c r="A221" s="16" t="s">
        <v>571</v>
      </c>
      <c r="B221" s="3" t="s">
        <v>572</v>
      </c>
      <c r="C221">
        <v>89</v>
      </c>
      <c r="D221" s="3" t="s">
        <v>36</v>
      </c>
      <c r="E221" s="3" t="s">
        <v>23</v>
      </c>
      <c r="F221" s="2" t="s">
        <v>155</v>
      </c>
      <c r="G221" s="3" t="s">
        <v>50</v>
      </c>
      <c r="H221" s="3" t="s">
        <v>26</v>
      </c>
      <c r="I221" s="8">
        <v>43564</v>
      </c>
      <c r="J221" s="8">
        <v>43576</v>
      </c>
      <c r="K221" s="3">
        <v>12</v>
      </c>
      <c r="L221" s="3" t="s">
        <v>132</v>
      </c>
      <c r="M221" s="3" t="s">
        <v>53</v>
      </c>
      <c r="N221" s="3" t="s">
        <v>116</v>
      </c>
      <c r="O221" s="3" t="s">
        <v>55</v>
      </c>
      <c r="P221" s="30">
        <v>65405.72</v>
      </c>
      <c r="Q221" s="3" t="s">
        <v>56</v>
      </c>
      <c r="R221" s="3">
        <v>9</v>
      </c>
      <c r="S221" s="3">
        <v>349</v>
      </c>
      <c r="T221" s="3">
        <v>28.1</v>
      </c>
      <c r="U221" s="3" t="s">
        <v>32</v>
      </c>
      <c r="V221" s="18" t="s">
        <v>45</v>
      </c>
    </row>
    <row r="222" spans="1:22" ht="15" customHeight="1" x14ac:dyDescent="0.25">
      <c r="A222" s="15" t="s">
        <v>573</v>
      </c>
      <c r="B222" s="1" t="s">
        <v>574</v>
      </c>
      <c r="C222">
        <v>78</v>
      </c>
      <c r="D222" s="1" t="s">
        <v>36</v>
      </c>
      <c r="E222" s="1" t="s">
        <v>23</v>
      </c>
      <c r="F222" s="1" t="s">
        <v>37</v>
      </c>
      <c r="G222" s="1" t="s">
        <v>131</v>
      </c>
      <c r="H222" s="1" t="s">
        <v>78</v>
      </c>
      <c r="I222" s="6">
        <v>44883</v>
      </c>
      <c r="J222" s="7">
        <v>44887</v>
      </c>
      <c r="K222" s="1">
        <v>4</v>
      </c>
      <c r="L222" s="1" t="s">
        <v>132</v>
      </c>
      <c r="M222" s="1" t="s">
        <v>53</v>
      </c>
      <c r="N222" s="1" t="s">
        <v>133</v>
      </c>
      <c r="O222" s="1" t="s">
        <v>104</v>
      </c>
      <c r="P222" s="29">
        <v>23488.33</v>
      </c>
      <c r="Q222" s="1" t="s">
        <v>158</v>
      </c>
      <c r="R222" s="1">
        <v>7</v>
      </c>
      <c r="S222" s="1">
        <v>225</v>
      </c>
      <c r="T222" s="1">
        <v>16.8</v>
      </c>
      <c r="U222" s="1" t="s">
        <v>44</v>
      </c>
      <c r="V222" s="17" t="s">
        <v>33</v>
      </c>
    </row>
    <row r="223" spans="1:22" ht="15" customHeight="1" x14ac:dyDescent="0.25">
      <c r="A223" s="16" t="s">
        <v>575</v>
      </c>
      <c r="B223" s="3" t="s">
        <v>576</v>
      </c>
      <c r="C223">
        <v>16</v>
      </c>
      <c r="D223" s="3" t="s">
        <v>22</v>
      </c>
      <c r="E223" s="3" t="s">
        <v>48</v>
      </c>
      <c r="F223" s="3" t="s">
        <v>37</v>
      </c>
      <c r="G223" s="3" t="s">
        <v>38</v>
      </c>
      <c r="H223" s="3" t="s">
        <v>26</v>
      </c>
      <c r="I223" s="8">
        <v>44493</v>
      </c>
      <c r="J223" s="8">
        <v>44503</v>
      </c>
      <c r="K223" s="3">
        <v>10</v>
      </c>
      <c r="L223" s="3" t="s">
        <v>122</v>
      </c>
      <c r="M223" s="3" t="s">
        <v>40</v>
      </c>
      <c r="N223" s="3" t="s">
        <v>41</v>
      </c>
      <c r="O223" s="3" t="s">
        <v>30</v>
      </c>
      <c r="P223" s="30">
        <v>17197.419999999998</v>
      </c>
      <c r="Q223" s="3" t="s">
        <v>43</v>
      </c>
      <c r="R223" s="3">
        <v>8</v>
      </c>
      <c r="S223" s="3">
        <v>321</v>
      </c>
      <c r="T223" s="3">
        <v>34.5</v>
      </c>
      <c r="U223" s="3" t="s">
        <v>44</v>
      </c>
      <c r="V223" s="18" t="s">
        <v>33</v>
      </c>
    </row>
    <row r="224" spans="1:22" ht="15" customHeight="1" x14ac:dyDescent="0.25">
      <c r="A224" s="15" t="s">
        <v>577</v>
      </c>
      <c r="B224" s="1" t="s">
        <v>578</v>
      </c>
      <c r="C224">
        <v>83</v>
      </c>
      <c r="D224" s="1" t="s">
        <v>36</v>
      </c>
      <c r="E224" s="1" t="s">
        <v>48</v>
      </c>
      <c r="F224" s="1" t="s">
        <v>76</v>
      </c>
      <c r="G224" s="1" t="s">
        <v>71</v>
      </c>
      <c r="H224" s="1" t="s">
        <v>51</v>
      </c>
      <c r="I224" s="6">
        <v>43531</v>
      </c>
      <c r="J224" s="7">
        <v>43536</v>
      </c>
      <c r="K224" s="1">
        <v>5</v>
      </c>
      <c r="L224" s="1" t="s">
        <v>39</v>
      </c>
      <c r="M224" s="1" t="s">
        <v>40</v>
      </c>
      <c r="N224" s="1" t="s">
        <v>312</v>
      </c>
      <c r="O224" s="1" t="s">
        <v>104</v>
      </c>
      <c r="P224" s="29">
        <v>13545.79</v>
      </c>
      <c r="Q224" s="1" t="s">
        <v>178</v>
      </c>
      <c r="R224" s="1">
        <v>5</v>
      </c>
      <c r="S224" s="1">
        <v>148</v>
      </c>
      <c r="T224" s="4"/>
      <c r="U224" s="1" t="s">
        <v>32</v>
      </c>
      <c r="V224" s="17" t="s">
        <v>33</v>
      </c>
    </row>
    <row r="225" spans="1:22" ht="15" customHeight="1" x14ac:dyDescent="0.25">
      <c r="A225" s="16" t="s">
        <v>579</v>
      </c>
      <c r="B225" s="3" t="s">
        <v>580</v>
      </c>
      <c r="C225">
        <v>65</v>
      </c>
      <c r="D225" s="3" t="s">
        <v>82</v>
      </c>
      <c r="E225" s="3" t="s">
        <v>23</v>
      </c>
      <c r="F225" s="3" t="s">
        <v>37</v>
      </c>
      <c r="G225" s="3" t="s">
        <v>50</v>
      </c>
      <c r="H225" s="3" t="s">
        <v>51</v>
      </c>
      <c r="I225" s="6">
        <v>45047</v>
      </c>
      <c r="J225" s="8">
        <v>44939</v>
      </c>
      <c r="K225" s="3">
        <v>8</v>
      </c>
      <c r="L225" s="3" t="s">
        <v>231</v>
      </c>
      <c r="M225" s="3" t="s">
        <v>53</v>
      </c>
      <c r="N225" s="3" t="s">
        <v>126</v>
      </c>
      <c r="O225" s="3" t="s">
        <v>42</v>
      </c>
      <c r="P225" s="30">
        <v>23039.39</v>
      </c>
      <c r="Q225" s="3" t="s">
        <v>56</v>
      </c>
      <c r="R225" s="3">
        <v>9</v>
      </c>
      <c r="S225" s="3">
        <v>194</v>
      </c>
      <c r="T225" s="3">
        <v>26</v>
      </c>
      <c r="U225" s="3" t="s">
        <v>44</v>
      </c>
      <c r="V225" s="18" t="s">
        <v>33</v>
      </c>
    </row>
    <row r="226" spans="1:22" ht="15" customHeight="1" x14ac:dyDescent="0.25">
      <c r="A226" s="15" t="s">
        <v>581</v>
      </c>
      <c r="B226" s="1" t="s">
        <v>582</v>
      </c>
      <c r="C226">
        <v>37</v>
      </c>
      <c r="D226" s="1" t="s">
        <v>98</v>
      </c>
      <c r="E226" s="1" t="s">
        <v>23</v>
      </c>
      <c r="F226" s="1" t="s">
        <v>24</v>
      </c>
      <c r="G226" s="1" t="s">
        <v>77</v>
      </c>
      <c r="H226" s="1" t="s">
        <v>78</v>
      </c>
      <c r="I226" s="7">
        <v>45648</v>
      </c>
      <c r="J226" s="7">
        <v>45748</v>
      </c>
      <c r="K226" s="1">
        <v>13</v>
      </c>
      <c r="L226" s="1" t="s">
        <v>89</v>
      </c>
      <c r="M226" s="1" t="s">
        <v>90</v>
      </c>
      <c r="N226" s="1" t="s">
        <v>84</v>
      </c>
      <c r="O226" s="1" t="s">
        <v>30</v>
      </c>
      <c r="P226" s="29">
        <v>51294.559999999998</v>
      </c>
      <c r="Q226" s="1" t="s">
        <v>85</v>
      </c>
      <c r="R226" s="1">
        <v>10</v>
      </c>
      <c r="S226" s="1">
        <v>214</v>
      </c>
      <c r="T226" s="1">
        <v>29.4</v>
      </c>
      <c r="U226" s="1" t="s">
        <v>44</v>
      </c>
      <c r="V226" s="17" t="s">
        <v>33</v>
      </c>
    </row>
    <row r="227" spans="1:22" ht="15" customHeight="1" x14ac:dyDescent="0.25">
      <c r="A227" s="16" t="s">
        <v>583</v>
      </c>
      <c r="B227" s="3" t="s">
        <v>584</v>
      </c>
      <c r="C227">
        <v>60</v>
      </c>
      <c r="D227" s="3" t="s">
        <v>59</v>
      </c>
      <c r="E227" s="3" t="s">
        <v>23</v>
      </c>
      <c r="F227" s="3" t="s">
        <v>24</v>
      </c>
      <c r="G227" s="3" t="s">
        <v>131</v>
      </c>
      <c r="H227" s="3" t="s">
        <v>26</v>
      </c>
      <c r="I227" s="6">
        <v>43723</v>
      </c>
      <c r="J227" s="8">
        <v>43728</v>
      </c>
      <c r="K227" s="3">
        <v>5</v>
      </c>
      <c r="L227" s="3" t="s">
        <v>102</v>
      </c>
      <c r="M227" s="3" t="s">
        <v>28</v>
      </c>
      <c r="N227" s="3" t="s">
        <v>133</v>
      </c>
      <c r="O227" s="3" t="s">
        <v>66</v>
      </c>
      <c r="P227" s="30">
        <v>73662.87</v>
      </c>
      <c r="Q227" s="3" t="s">
        <v>148</v>
      </c>
      <c r="R227" s="3">
        <v>6</v>
      </c>
      <c r="S227" s="3">
        <v>309</v>
      </c>
      <c r="T227" s="3">
        <v>32</v>
      </c>
      <c r="U227" s="3" t="s">
        <v>32</v>
      </c>
      <c r="V227" s="18" t="s">
        <v>33</v>
      </c>
    </row>
    <row r="228" spans="1:22" ht="15" customHeight="1" x14ac:dyDescent="0.25">
      <c r="A228" s="15" t="s">
        <v>585</v>
      </c>
      <c r="B228" s="1" t="s">
        <v>586</v>
      </c>
      <c r="C228">
        <v>66</v>
      </c>
      <c r="D228" s="1" t="s">
        <v>82</v>
      </c>
      <c r="E228" s="1" t="s">
        <v>48</v>
      </c>
      <c r="F228" s="1" t="s">
        <v>155</v>
      </c>
      <c r="G228" s="1" t="s">
        <v>587</v>
      </c>
      <c r="H228" s="1" t="s">
        <v>26</v>
      </c>
      <c r="I228" s="7">
        <v>45234</v>
      </c>
      <c r="J228" s="7">
        <v>45248</v>
      </c>
      <c r="K228" s="1">
        <v>14</v>
      </c>
      <c r="L228" s="1" t="s">
        <v>185</v>
      </c>
      <c r="M228" s="1" t="s">
        <v>186</v>
      </c>
      <c r="N228" s="1" t="s">
        <v>29</v>
      </c>
      <c r="O228" s="1" t="s">
        <v>55</v>
      </c>
      <c r="P228" s="29">
        <v>74179.789999999994</v>
      </c>
      <c r="Q228" s="1" t="s">
        <v>31</v>
      </c>
      <c r="R228" s="1">
        <v>12</v>
      </c>
      <c r="S228" s="1">
        <v>155</v>
      </c>
      <c r="T228" s="1">
        <v>16.3</v>
      </c>
      <c r="U228" s="1" t="s">
        <v>44</v>
      </c>
      <c r="V228" s="17" t="s">
        <v>33</v>
      </c>
    </row>
    <row r="229" spans="1:22" ht="15" customHeight="1" x14ac:dyDescent="0.25">
      <c r="A229" s="16" t="s">
        <v>588</v>
      </c>
      <c r="B229" s="3" t="s">
        <v>589</v>
      </c>
      <c r="C229">
        <v>53</v>
      </c>
      <c r="D229" s="3" t="s">
        <v>98</v>
      </c>
      <c r="E229" s="3" t="s">
        <v>23</v>
      </c>
      <c r="F229" s="3" t="s">
        <v>37</v>
      </c>
      <c r="G229" s="3" t="s">
        <v>50</v>
      </c>
      <c r="H229" s="3" t="s">
        <v>26</v>
      </c>
      <c r="I229" s="6">
        <v>43646</v>
      </c>
      <c r="J229" s="8">
        <v>43652</v>
      </c>
      <c r="K229" s="3">
        <v>6</v>
      </c>
      <c r="L229" s="3" t="s">
        <v>132</v>
      </c>
      <c r="M229" s="3" t="s">
        <v>53</v>
      </c>
      <c r="N229" s="3" t="s">
        <v>126</v>
      </c>
      <c r="O229" s="3" t="s">
        <v>42</v>
      </c>
      <c r="P229" s="30">
        <v>18089.18</v>
      </c>
      <c r="Q229" s="3" t="s">
        <v>194</v>
      </c>
      <c r="R229" s="3">
        <v>9</v>
      </c>
      <c r="S229" s="3">
        <v>371</v>
      </c>
      <c r="T229" s="3">
        <v>30.1</v>
      </c>
      <c r="U229" s="3" t="s">
        <v>44</v>
      </c>
      <c r="V229" s="18" t="s">
        <v>33</v>
      </c>
    </row>
    <row r="230" spans="1:22" ht="15" customHeight="1" x14ac:dyDescent="0.25">
      <c r="A230" s="15" t="s">
        <v>590</v>
      </c>
      <c r="B230" s="1" t="s">
        <v>591</v>
      </c>
      <c r="C230">
        <v>77</v>
      </c>
      <c r="D230" s="1" t="s">
        <v>36</v>
      </c>
      <c r="E230" s="1" t="s">
        <v>23</v>
      </c>
      <c r="F230" s="1" t="s">
        <v>70</v>
      </c>
      <c r="G230" s="1" t="s">
        <v>77</v>
      </c>
      <c r="H230" s="1" t="s">
        <v>26</v>
      </c>
      <c r="I230" s="7">
        <v>44693</v>
      </c>
      <c r="J230" s="7">
        <v>44701</v>
      </c>
      <c r="K230" s="1">
        <v>8</v>
      </c>
      <c r="L230" s="1" t="s">
        <v>132</v>
      </c>
      <c r="M230" s="1" t="s">
        <v>53</v>
      </c>
      <c r="N230" s="1" t="s">
        <v>84</v>
      </c>
      <c r="O230" s="1" t="s">
        <v>42</v>
      </c>
      <c r="P230" s="29">
        <v>89777.65</v>
      </c>
      <c r="Q230" s="1" t="s">
        <v>592</v>
      </c>
      <c r="R230" s="1">
        <v>10</v>
      </c>
      <c r="S230" s="1">
        <v>309</v>
      </c>
      <c r="T230" s="1">
        <v>34.299999999999997</v>
      </c>
      <c r="U230" s="1" t="s">
        <v>44</v>
      </c>
      <c r="V230" s="17" t="s">
        <v>33</v>
      </c>
    </row>
    <row r="231" spans="1:22" ht="15" customHeight="1" x14ac:dyDescent="0.25">
      <c r="A231" s="16" t="s">
        <v>593</v>
      </c>
      <c r="B231" s="3" t="s">
        <v>594</v>
      </c>
      <c r="C231">
        <v>70</v>
      </c>
      <c r="D231" s="3" t="s">
        <v>82</v>
      </c>
      <c r="E231" s="3" t="s">
        <v>23</v>
      </c>
      <c r="F231" s="3" t="s">
        <v>37</v>
      </c>
      <c r="G231" s="3" t="s">
        <v>38</v>
      </c>
      <c r="H231" s="3" t="s">
        <v>26</v>
      </c>
      <c r="I231" s="8">
        <v>44473</v>
      </c>
      <c r="J231" s="8">
        <v>44477</v>
      </c>
      <c r="K231" s="3">
        <v>4</v>
      </c>
      <c r="L231" s="3" t="s">
        <v>112</v>
      </c>
      <c r="M231" s="3" t="s">
        <v>40</v>
      </c>
      <c r="N231" s="3" t="s">
        <v>203</v>
      </c>
      <c r="O231" s="3" t="s">
        <v>30</v>
      </c>
      <c r="P231" s="30">
        <v>39467.379999999997</v>
      </c>
      <c r="Q231" s="3" t="s">
        <v>437</v>
      </c>
      <c r="R231" s="3">
        <v>8</v>
      </c>
      <c r="S231" s="3">
        <v>372</v>
      </c>
      <c r="T231" s="3">
        <v>21.1</v>
      </c>
      <c r="U231" s="3" t="s">
        <v>86</v>
      </c>
      <c r="V231" s="18" t="s">
        <v>45</v>
      </c>
    </row>
    <row r="232" spans="1:22" ht="15" customHeight="1" x14ac:dyDescent="0.25">
      <c r="A232" s="15" t="s">
        <v>595</v>
      </c>
      <c r="B232" s="1" t="s">
        <v>596</v>
      </c>
      <c r="C232">
        <v>36</v>
      </c>
      <c r="D232" s="1" t="s">
        <v>98</v>
      </c>
      <c r="E232" s="1" t="s">
        <v>48</v>
      </c>
      <c r="F232" s="1" t="s">
        <v>76</v>
      </c>
      <c r="G232" s="1" t="s">
        <v>60</v>
      </c>
      <c r="H232" s="1" t="s">
        <v>78</v>
      </c>
      <c r="I232" s="7">
        <v>45547</v>
      </c>
      <c r="J232" s="7">
        <v>45552</v>
      </c>
      <c r="K232" s="1">
        <v>5</v>
      </c>
      <c r="L232" s="1" t="s">
        <v>112</v>
      </c>
      <c r="M232" s="1" t="s">
        <v>40</v>
      </c>
      <c r="N232" s="1" t="s">
        <v>210</v>
      </c>
      <c r="O232" s="1" t="s">
        <v>30</v>
      </c>
      <c r="P232" s="29">
        <v>24092.05</v>
      </c>
      <c r="Q232" s="1" t="s">
        <v>105</v>
      </c>
      <c r="R232" s="1">
        <v>6</v>
      </c>
      <c r="S232" s="1">
        <v>342</v>
      </c>
      <c r="T232" s="1">
        <v>30.7</v>
      </c>
      <c r="U232" s="1" t="s">
        <v>32</v>
      </c>
      <c r="V232" s="17" t="s">
        <v>33</v>
      </c>
    </row>
    <row r="233" spans="1:22" ht="15" customHeight="1" x14ac:dyDescent="0.25">
      <c r="A233" s="16" t="s">
        <v>597</v>
      </c>
      <c r="B233" s="3" t="s">
        <v>598</v>
      </c>
      <c r="C233">
        <v>25</v>
      </c>
      <c r="D233" s="3" t="s">
        <v>47</v>
      </c>
      <c r="E233" s="3" t="s">
        <v>48</v>
      </c>
      <c r="F233" s="3" t="s">
        <v>76</v>
      </c>
      <c r="G233" s="3" t="s">
        <v>25</v>
      </c>
      <c r="H233" s="3" t="s">
        <v>26</v>
      </c>
      <c r="I233" s="8">
        <v>44998</v>
      </c>
      <c r="J233" s="8">
        <v>45012</v>
      </c>
      <c r="K233" s="3">
        <v>14</v>
      </c>
      <c r="L233" s="3" t="s">
        <v>89</v>
      </c>
      <c r="M233" s="3" t="s">
        <v>90</v>
      </c>
      <c r="N233" s="3" t="s">
        <v>599</v>
      </c>
      <c r="O233" s="3" t="s">
        <v>104</v>
      </c>
      <c r="P233" s="30">
        <v>33315.49</v>
      </c>
      <c r="Q233" s="3" t="s">
        <v>400</v>
      </c>
      <c r="R233" s="3">
        <v>12</v>
      </c>
      <c r="S233" s="3">
        <v>326</v>
      </c>
      <c r="T233" s="3">
        <v>24.6</v>
      </c>
      <c r="U233" s="3" t="s">
        <v>44</v>
      </c>
      <c r="V233" s="18" t="s">
        <v>33</v>
      </c>
    </row>
    <row r="234" spans="1:22" ht="15" customHeight="1" x14ac:dyDescent="0.25">
      <c r="A234" s="15" t="s">
        <v>600</v>
      </c>
      <c r="B234" s="1" t="s">
        <v>601</v>
      </c>
      <c r="C234">
        <v>91</v>
      </c>
      <c r="D234" s="1" t="s">
        <v>36</v>
      </c>
      <c r="E234" s="1" t="s">
        <v>23</v>
      </c>
      <c r="F234" s="1" t="s">
        <v>70</v>
      </c>
      <c r="G234" s="1" t="s">
        <v>77</v>
      </c>
      <c r="H234" s="1" t="s">
        <v>26</v>
      </c>
      <c r="I234" s="7">
        <v>44814</v>
      </c>
      <c r="J234" s="7">
        <v>44822</v>
      </c>
      <c r="K234" s="1">
        <v>8</v>
      </c>
      <c r="L234" s="1" t="s">
        <v>185</v>
      </c>
      <c r="M234" s="1" t="s">
        <v>186</v>
      </c>
      <c r="N234" s="1" t="s">
        <v>94</v>
      </c>
      <c r="O234" s="1" t="s">
        <v>30</v>
      </c>
      <c r="P234" s="29">
        <v>95121.19</v>
      </c>
      <c r="Q234" s="1" t="s">
        <v>109</v>
      </c>
      <c r="R234" s="1">
        <v>7</v>
      </c>
      <c r="S234" s="1">
        <v>301</v>
      </c>
      <c r="T234" s="1">
        <v>26.4</v>
      </c>
      <c r="U234" s="1" t="s">
        <v>86</v>
      </c>
      <c r="V234" s="17" t="s">
        <v>45</v>
      </c>
    </row>
    <row r="235" spans="1:22" ht="15" customHeight="1" x14ac:dyDescent="0.25">
      <c r="A235" s="16" t="s">
        <v>602</v>
      </c>
      <c r="B235" s="3" t="s">
        <v>603</v>
      </c>
      <c r="C235">
        <v>58</v>
      </c>
      <c r="D235" s="3" t="s">
        <v>59</v>
      </c>
      <c r="E235" s="3" t="s">
        <v>48</v>
      </c>
      <c r="F235" s="3" t="s">
        <v>76</v>
      </c>
      <c r="G235" s="3" t="s">
        <v>77</v>
      </c>
      <c r="H235" s="3" t="s">
        <v>51</v>
      </c>
      <c r="I235" s="8">
        <v>43817</v>
      </c>
      <c r="J235" s="8">
        <v>43823</v>
      </c>
      <c r="K235" s="3">
        <v>6</v>
      </c>
      <c r="L235" s="3" t="s">
        <v>52</v>
      </c>
      <c r="M235" s="3" t="s">
        <v>53</v>
      </c>
      <c r="N235" s="3" t="s">
        <v>79</v>
      </c>
      <c r="O235" s="3" t="s">
        <v>55</v>
      </c>
      <c r="P235" s="30">
        <v>55536.75</v>
      </c>
      <c r="Q235" s="3" t="s">
        <v>223</v>
      </c>
      <c r="R235" s="3">
        <v>8</v>
      </c>
      <c r="S235" s="3">
        <v>153</v>
      </c>
      <c r="T235" s="3">
        <v>28.6</v>
      </c>
      <c r="U235" s="3" t="s">
        <v>86</v>
      </c>
      <c r="V235" s="18" t="s">
        <v>33</v>
      </c>
    </row>
    <row r="236" spans="1:22" ht="15" customHeight="1" x14ac:dyDescent="0.25">
      <c r="A236" s="15" t="s">
        <v>604</v>
      </c>
      <c r="B236" s="1" t="s">
        <v>605</v>
      </c>
      <c r="C236">
        <v>64</v>
      </c>
      <c r="D236" s="1" t="s">
        <v>59</v>
      </c>
      <c r="E236" s="1" t="s">
        <v>23</v>
      </c>
      <c r="F236" s="1" t="s">
        <v>83</v>
      </c>
      <c r="G236" s="1" t="s">
        <v>163</v>
      </c>
      <c r="H236" s="1" t="s">
        <v>78</v>
      </c>
      <c r="I236" s="7">
        <v>45067</v>
      </c>
      <c r="J236" s="7">
        <v>45070</v>
      </c>
      <c r="K236" s="1">
        <v>3</v>
      </c>
      <c r="L236" s="1" t="s">
        <v>39</v>
      </c>
      <c r="M236" s="1" t="s">
        <v>40</v>
      </c>
      <c r="N236" s="1" t="s">
        <v>213</v>
      </c>
      <c r="O236" s="1" t="s">
        <v>42</v>
      </c>
      <c r="P236" s="29">
        <v>25993</v>
      </c>
      <c r="Q236" s="1" t="s">
        <v>382</v>
      </c>
      <c r="R236" s="1">
        <v>6</v>
      </c>
      <c r="S236" s="1">
        <v>245</v>
      </c>
      <c r="T236" s="4"/>
      <c r="U236" s="1" t="s">
        <v>32</v>
      </c>
      <c r="V236" s="17" t="s">
        <v>33</v>
      </c>
    </row>
    <row r="237" spans="1:22" ht="15" customHeight="1" x14ac:dyDescent="0.25">
      <c r="A237" s="16" t="s">
        <v>606</v>
      </c>
      <c r="B237" s="3" t="s">
        <v>607</v>
      </c>
      <c r="C237">
        <v>55</v>
      </c>
      <c r="D237" s="3" t="s">
        <v>59</v>
      </c>
      <c r="E237" s="3" t="s">
        <v>23</v>
      </c>
      <c r="F237" s="3" t="s">
        <v>49</v>
      </c>
      <c r="G237" s="3" t="s">
        <v>38</v>
      </c>
      <c r="H237" s="3" t="s">
        <v>78</v>
      </c>
      <c r="I237" s="6">
        <v>45059</v>
      </c>
      <c r="J237" s="8">
        <v>45062</v>
      </c>
      <c r="K237" s="3">
        <v>3</v>
      </c>
      <c r="L237" s="3" t="s">
        <v>185</v>
      </c>
      <c r="M237" s="3" t="s">
        <v>186</v>
      </c>
      <c r="N237" s="3" t="s">
        <v>173</v>
      </c>
      <c r="O237" s="3" t="s">
        <v>30</v>
      </c>
      <c r="P237" s="30">
        <v>18695.95</v>
      </c>
      <c r="Q237" s="3" t="s">
        <v>119</v>
      </c>
      <c r="R237" s="3">
        <v>8</v>
      </c>
      <c r="S237" s="3">
        <v>226</v>
      </c>
      <c r="T237" s="3">
        <v>28</v>
      </c>
      <c r="U237" s="3" t="s">
        <v>44</v>
      </c>
      <c r="V237" s="18" t="s">
        <v>45</v>
      </c>
    </row>
    <row r="238" spans="1:22" ht="15" customHeight="1" x14ac:dyDescent="0.25">
      <c r="A238" s="15" t="s">
        <v>608</v>
      </c>
      <c r="B238" s="1" t="s">
        <v>609</v>
      </c>
      <c r="C238">
        <v>66</v>
      </c>
      <c r="D238" s="1" t="s">
        <v>82</v>
      </c>
      <c r="E238" s="1" t="s">
        <v>23</v>
      </c>
      <c r="F238" s="1" t="s">
        <v>83</v>
      </c>
      <c r="G238" s="1" t="s">
        <v>38</v>
      </c>
      <c r="H238" s="1" t="s">
        <v>78</v>
      </c>
      <c r="I238" s="6">
        <v>45166</v>
      </c>
      <c r="J238" s="7">
        <v>44994</v>
      </c>
      <c r="K238" s="1">
        <v>6</v>
      </c>
      <c r="L238" s="1" t="s">
        <v>89</v>
      </c>
      <c r="M238" s="1" t="s">
        <v>90</v>
      </c>
      <c r="N238" s="1" t="s">
        <v>41</v>
      </c>
      <c r="O238" s="1" t="s">
        <v>104</v>
      </c>
      <c r="P238" s="29">
        <v>4942.47</v>
      </c>
      <c r="Q238" s="1" t="s">
        <v>567</v>
      </c>
      <c r="R238" s="1">
        <v>7</v>
      </c>
      <c r="S238" s="1">
        <v>490</v>
      </c>
      <c r="T238" s="1">
        <v>26.5</v>
      </c>
      <c r="U238" s="1" t="s">
        <v>44</v>
      </c>
      <c r="V238" s="17" t="s">
        <v>33</v>
      </c>
    </row>
    <row r="239" spans="1:22" ht="15" customHeight="1" x14ac:dyDescent="0.25">
      <c r="A239" s="16" t="s">
        <v>610</v>
      </c>
      <c r="B239" s="3" t="s">
        <v>611</v>
      </c>
      <c r="C239">
        <v>70</v>
      </c>
      <c r="D239" s="3" t="s">
        <v>82</v>
      </c>
      <c r="E239" s="3" t="s">
        <v>23</v>
      </c>
      <c r="F239" s="3" t="s">
        <v>76</v>
      </c>
      <c r="G239" s="3" t="s">
        <v>77</v>
      </c>
      <c r="H239" s="3" t="s">
        <v>26</v>
      </c>
      <c r="I239" s="6">
        <v>44380</v>
      </c>
      <c r="J239" s="8">
        <v>44274</v>
      </c>
      <c r="K239" s="3">
        <v>12</v>
      </c>
      <c r="L239" s="3" t="s">
        <v>122</v>
      </c>
      <c r="M239" s="3" t="s">
        <v>40</v>
      </c>
      <c r="N239" s="3" t="s">
        <v>84</v>
      </c>
      <c r="O239" s="3" t="s">
        <v>104</v>
      </c>
      <c r="P239" s="30">
        <v>109126.93</v>
      </c>
      <c r="Q239" s="3" t="s">
        <v>109</v>
      </c>
      <c r="R239" s="3">
        <v>9</v>
      </c>
      <c r="S239" s="3">
        <v>302</v>
      </c>
      <c r="T239" s="3">
        <v>30.1</v>
      </c>
      <c r="U239" s="3" t="s">
        <v>44</v>
      </c>
      <c r="V239" s="18" t="s">
        <v>33</v>
      </c>
    </row>
    <row r="240" spans="1:22" ht="15" customHeight="1" x14ac:dyDescent="0.25">
      <c r="A240" s="15" t="s">
        <v>612</v>
      </c>
      <c r="B240" s="1" t="s">
        <v>613</v>
      </c>
      <c r="C240">
        <v>35</v>
      </c>
      <c r="D240" s="1" t="s">
        <v>98</v>
      </c>
      <c r="E240" s="1" t="s">
        <v>48</v>
      </c>
      <c r="F240" s="1" t="s">
        <v>83</v>
      </c>
      <c r="G240" s="1" t="s">
        <v>163</v>
      </c>
      <c r="H240" s="1" t="s">
        <v>51</v>
      </c>
      <c r="I240" s="7">
        <v>45276</v>
      </c>
      <c r="J240" s="7">
        <v>45281</v>
      </c>
      <c r="K240" s="1">
        <v>5</v>
      </c>
      <c r="L240" s="1" t="s">
        <v>231</v>
      </c>
      <c r="M240" s="1" t="s">
        <v>53</v>
      </c>
      <c r="N240" s="1" t="s">
        <v>164</v>
      </c>
      <c r="O240" s="1" t="s">
        <v>42</v>
      </c>
      <c r="P240" s="29">
        <v>33164.660000000003</v>
      </c>
      <c r="Q240" s="1" t="s">
        <v>382</v>
      </c>
      <c r="R240" s="1">
        <v>3</v>
      </c>
      <c r="S240" s="1">
        <v>153</v>
      </c>
      <c r="T240" s="1">
        <v>25</v>
      </c>
      <c r="U240" s="1" t="s">
        <v>32</v>
      </c>
      <c r="V240" s="17" t="s">
        <v>33</v>
      </c>
    </row>
    <row r="241" spans="1:22" ht="15" customHeight="1" x14ac:dyDescent="0.25">
      <c r="A241" s="16" t="s">
        <v>614</v>
      </c>
      <c r="B241" s="2" t="s">
        <v>3581</v>
      </c>
      <c r="C241">
        <v>21</v>
      </c>
      <c r="D241" s="3" t="s">
        <v>47</v>
      </c>
      <c r="E241" s="3" t="s">
        <v>48</v>
      </c>
      <c r="F241" s="3" t="s">
        <v>49</v>
      </c>
      <c r="G241" s="3" t="s">
        <v>163</v>
      </c>
      <c r="H241" s="3" t="s">
        <v>51</v>
      </c>
      <c r="I241" s="6">
        <v>44242</v>
      </c>
      <c r="J241" s="8">
        <v>44253</v>
      </c>
      <c r="K241" s="3">
        <v>11</v>
      </c>
      <c r="L241" s="3" t="s">
        <v>27</v>
      </c>
      <c r="M241" s="3" t="s">
        <v>28</v>
      </c>
      <c r="N241" s="3" t="s">
        <v>213</v>
      </c>
      <c r="O241" s="3" t="s">
        <v>30</v>
      </c>
      <c r="P241" s="30">
        <v>12468</v>
      </c>
      <c r="Q241" s="3" t="s">
        <v>259</v>
      </c>
      <c r="R241" s="3">
        <v>5</v>
      </c>
      <c r="S241" s="3">
        <v>183</v>
      </c>
      <c r="T241" s="3">
        <v>28.5</v>
      </c>
      <c r="U241" s="3" t="s">
        <v>32</v>
      </c>
      <c r="V241" s="18" t="s">
        <v>33</v>
      </c>
    </row>
    <row r="242" spans="1:22" ht="15" customHeight="1" x14ac:dyDescent="0.25">
      <c r="A242" s="15" t="s">
        <v>615</v>
      </c>
      <c r="B242" s="1" t="s">
        <v>616</v>
      </c>
      <c r="C242">
        <v>72</v>
      </c>
      <c r="D242" s="1" t="s">
        <v>82</v>
      </c>
      <c r="E242" s="1" t="s">
        <v>48</v>
      </c>
      <c r="F242" s="2" t="s">
        <v>3714</v>
      </c>
      <c r="G242" s="1" t="s">
        <v>38</v>
      </c>
      <c r="H242" s="1" t="s">
        <v>51</v>
      </c>
      <c r="I242" s="7">
        <v>45057</v>
      </c>
      <c r="J242" s="7">
        <v>45062</v>
      </c>
      <c r="K242" s="1">
        <v>5</v>
      </c>
      <c r="L242" s="1" t="s">
        <v>52</v>
      </c>
      <c r="M242" s="1" t="s">
        <v>53</v>
      </c>
      <c r="N242" s="1" t="s">
        <v>203</v>
      </c>
      <c r="O242" s="1" t="s">
        <v>30</v>
      </c>
      <c r="P242" s="29">
        <v>22134.37</v>
      </c>
      <c r="Q242" s="1" t="s">
        <v>119</v>
      </c>
      <c r="R242" s="1">
        <v>5</v>
      </c>
      <c r="S242" s="1">
        <v>139</v>
      </c>
      <c r="T242" s="1">
        <v>31.5</v>
      </c>
      <c r="U242" s="1" t="s">
        <v>44</v>
      </c>
      <c r="V242" s="17" t="s">
        <v>33</v>
      </c>
    </row>
    <row r="243" spans="1:22" ht="15" customHeight="1" x14ac:dyDescent="0.25">
      <c r="A243" s="16" t="s">
        <v>617</v>
      </c>
      <c r="B243" s="3" t="s">
        <v>618</v>
      </c>
      <c r="C243">
        <v>50</v>
      </c>
      <c r="D243" s="3" t="s">
        <v>98</v>
      </c>
      <c r="E243" s="3" t="s">
        <v>23</v>
      </c>
      <c r="F243" s="3" t="s">
        <v>83</v>
      </c>
      <c r="G243" s="3" t="s">
        <v>77</v>
      </c>
      <c r="H243" s="3" t="s">
        <v>78</v>
      </c>
      <c r="I243" s="6">
        <v>44812</v>
      </c>
      <c r="J243" s="8">
        <v>44820</v>
      </c>
      <c r="K243" s="3">
        <v>8</v>
      </c>
      <c r="L243" s="3" t="s">
        <v>122</v>
      </c>
      <c r="M243" s="3" t="s">
        <v>40</v>
      </c>
      <c r="N243" s="3" t="s">
        <v>94</v>
      </c>
      <c r="O243" s="3" t="s">
        <v>30</v>
      </c>
      <c r="P243" s="30">
        <v>26612.15</v>
      </c>
      <c r="Q243" s="3" t="s">
        <v>85</v>
      </c>
      <c r="R243" s="3">
        <v>10</v>
      </c>
      <c r="S243" s="3">
        <v>411</v>
      </c>
      <c r="T243" s="3">
        <v>40.799999999999997</v>
      </c>
      <c r="U243" s="3" t="s">
        <v>44</v>
      </c>
      <c r="V243" s="18" t="s">
        <v>33</v>
      </c>
    </row>
    <row r="244" spans="1:22" ht="15" customHeight="1" x14ac:dyDescent="0.25">
      <c r="A244" s="15" t="s">
        <v>619</v>
      </c>
      <c r="B244" s="1" t="s">
        <v>620</v>
      </c>
      <c r="C244">
        <v>33</v>
      </c>
      <c r="D244" s="1" t="s">
        <v>47</v>
      </c>
      <c r="E244" s="1" t="s">
        <v>23</v>
      </c>
      <c r="F244" s="1" t="s">
        <v>24</v>
      </c>
      <c r="G244" s="1" t="s">
        <v>25</v>
      </c>
      <c r="H244" s="1" t="s">
        <v>26</v>
      </c>
      <c r="I244" s="7">
        <v>44303</v>
      </c>
      <c r="J244" s="7">
        <v>44311</v>
      </c>
      <c r="K244" s="1">
        <v>8</v>
      </c>
      <c r="L244" s="1" t="s">
        <v>112</v>
      </c>
      <c r="M244" s="1" t="s">
        <v>40</v>
      </c>
      <c r="N244" s="1" t="s">
        <v>65</v>
      </c>
      <c r="O244" s="1" t="s">
        <v>66</v>
      </c>
      <c r="P244" s="29">
        <v>67289.759999999995</v>
      </c>
      <c r="Q244" s="1" t="s">
        <v>249</v>
      </c>
      <c r="R244" s="1">
        <v>10</v>
      </c>
      <c r="S244" s="1">
        <v>316</v>
      </c>
      <c r="T244" s="1">
        <v>26</v>
      </c>
      <c r="U244" s="1" t="s">
        <v>44</v>
      </c>
      <c r="V244" s="17" t="s">
        <v>33</v>
      </c>
    </row>
    <row r="245" spans="1:22" ht="15" customHeight="1" x14ac:dyDescent="0.25">
      <c r="A245" s="16" t="s">
        <v>621</v>
      </c>
      <c r="B245" s="3" t="s">
        <v>622</v>
      </c>
      <c r="C245">
        <v>65</v>
      </c>
      <c r="D245" s="3" t="s">
        <v>82</v>
      </c>
      <c r="E245" s="3" t="s">
        <v>48</v>
      </c>
      <c r="F245" s="3" t="s">
        <v>24</v>
      </c>
      <c r="G245" s="3" t="s">
        <v>50</v>
      </c>
      <c r="H245" s="3" t="s">
        <v>51</v>
      </c>
      <c r="I245" s="8">
        <v>44519</v>
      </c>
      <c r="J245" s="8">
        <v>44525</v>
      </c>
      <c r="K245" s="3">
        <v>6</v>
      </c>
      <c r="L245" s="3" t="s">
        <v>89</v>
      </c>
      <c r="M245" s="3" t="s">
        <v>90</v>
      </c>
      <c r="N245" s="3" t="s">
        <v>116</v>
      </c>
      <c r="O245" s="3" t="s">
        <v>42</v>
      </c>
      <c r="P245" s="30">
        <v>48556.65</v>
      </c>
      <c r="Q245" s="3" t="s">
        <v>623</v>
      </c>
      <c r="R245" s="3">
        <v>9</v>
      </c>
      <c r="S245" s="3">
        <v>150</v>
      </c>
      <c r="T245" s="3">
        <v>22.9</v>
      </c>
      <c r="U245" s="3" t="s">
        <v>44</v>
      </c>
      <c r="V245" s="18" t="s">
        <v>33</v>
      </c>
    </row>
    <row r="246" spans="1:22" ht="15" customHeight="1" x14ac:dyDescent="0.25">
      <c r="A246" s="15" t="s">
        <v>624</v>
      </c>
      <c r="B246" s="1" t="s">
        <v>625</v>
      </c>
      <c r="C246">
        <v>71</v>
      </c>
      <c r="D246" s="1" t="s">
        <v>82</v>
      </c>
      <c r="E246" s="1" t="s">
        <v>48</v>
      </c>
      <c r="F246" s="1" t="s">
        <v>83</v>
      </c>
      <c r="G246" s="1" t="s">
        <v>25</v>
      </c>
      <c r="H246" s="1" t="s">
        <v>51</v>
      </c>
      <c r="I246" s="7">
        <v>44893</v>
      </c>
      <c r="J246" s="7">
        <v>44846</v>
      </c>
      <c r="K246" s="1">
        <v>12</v>
      </c>
      <c r="L246" s="1" t="s">
        <v>112</v>
      </c>
      <c r="M246" s="1" t="s">
        <v>40</v>
      </c>
      <c r="N246" s="1" t="s">
        <v>248</v>
      </c>
      <c r="O246" s="1" t="s">
        <v>30</v>
      </c>
      <c r="P246" s="29">
        <v>109108.92</v>
      </c>
      <c r="Q246" s="1" t="s">
        <v>322</v>
      </c>
      <c r="R246" s="1">
        <v>9</v>
      </c>
      <c r="S246" s="1">
        <v>120</v>
      </c>
      <c r="T246" s="1">
        <v>14</v>
      </c>
      <c r="U246" s="1" t="s">
        <v>44</v>
      </c>
      <c r="V246" s="17" t="s">
        <v>45</v>
      </c>
    </row>
    <row r="247" spans="1:22" ht="15" customHeight="1" x14ac:dyDescent="0.25">
      <c r="A247" s="16" t="s">
        <v>626</v>
      </c>
      <c r="B247" s="3" t="s">
        <v>627</v>
      </c>
      <c r="C247">
        <v>64</v>
      </c>
      <c r="D247" s="3" t="s">
        <v>59</v>
      </c>
      <c r="E247" s="3" t="s">
        <v>48</v>
      </c>
      <c r="F247" s="3" t="s">
        <v>37</v>
      </c>
      <c r="G247" s="3" t="s">
        <v>71</v>
      </c>
      <c r="H247" s="3" t="s">
        <v>51</v>
      </c>
      <c r="I247" s="8">
        <v>45516</v>
      </c>
      <c r="J247" s="8">
        <v>45518</v>
      </c>
      <c r="K247" s="3">
        <v>2</v>
      </c>
      <c r="L247" s="3" t="s">
        <v>102</v>
      </c>
      <c r="M247" s="3" t="s">
        <v>28</v>
      </c>
      <c r="N247" s="3" t="s">
        <v>72</v>
      </c>
      <c r="O247" s="3" t="s">
        <v>30</v>
      </c>
      <c r="P247" s="30">
        <v>5694.16</v>
      </c>
      <c r="Q247" s="3" t="s">
        <v>170</v>
      </c>
      <c r="R247" s="3">
        <v>4</v>
      </c>
      <c r="S247" s="3">
        <v>112</v>
      </c>
      <c r="T247" s="3">
        <v>28.1</v>
      </c>
      <c r="U247" s="3" t="s">
        <v>86</v>
      </c>
      <c r="V247" s="18" t="s">
        <v>33</v>
      </c>
    </row>
    <row r="248" spans="1:22" ht="15" customHeight="1" x14ac:dyDescent="0.25">
      <c r="A248" s="15" t="s">
        <v>628</v>
      </c>
      <c r="B248" s="1" t="s">
        <v>629</v>
      </c>
      <c r="C248">
        <v>67</v>
      </c>
      <c r="D248" s="1" t="s">
        <v>82</v>
      </c>
      <c r="E248" s="1" t="s">
        <v>23</v>
      </c>
      <c r="F248" s="1" t="s">
        <v>83</v>
      </c>
      <c r="G248" s="1" t="s">
        <v>25</v>
      </c>
      <c r="H248" s="1" t="s">
        <v>51</v>
      </c>
      <c r="I248" s="7">
        <v>44336</v>
      </c>
      <c r="J248" s="7">
        <v>44342</v>
      </c>
      <c r="K248" s="1">
        <v>6</v>
      </c>
      <c r="L248" s="1" t="s">
        <v>132</v>
      </c>
      <c r="M248" s="1" t="s">
        <v>53</v>
      </c>
      <c r="N248" s="1" t="s">
        <v>248</v>
      </c>
      <c r="O248" s="1" t="s">
        <v>30</v>
      </c>
      <c r="P248" s="29">
        <v>72127.509999999995</v>
      </c>
      <c r="Q248" s="1" t="s">
        <v>310</v>
      </c>
      <c r="R248" s="1">
        <v>12</v>
      </c>
      <c r="S248" s="1">
        <v>197</v>
      </c>
      <c r="T248" s="4"/>
      <c r="U248" s="1" t="s">
        <v>44</v>
      </c>
      <c r="V248" s="17" t="s">
        <v>45</v>
      </c>
    </row>
    <row r="249" spans="1:22" ht="15" customHeight="1" x14ac:dyDescent="0.25">
      <c r="A249" s="16" t="s">
        <v>630</v>
      </c>
      <c r="B249" s="3" t="s">
        <v>631</v>
      </c>
      <c r="C249">
        <v>65</v>
      </c>
      <c r="D249" s="3" t="s">
        <v>82</v>
      </c>
      <c r="E249" s="3" t="s">
        <v>23</v>
      </c>
      <c r="F249" s="2" t="s">
        <v>3714</v>
      </c>
      <c r="G249" s="3" t="s">
        <v>77</v>
      </c>
      <c r="H249" s="3" t="s">
        <v>78</v>
      </c>
      <c r="I249" s="8">
        <v>44846</v>
      </c>
      <c r="J249" s="8">
        <v>44852</v>
      </c>
      <c r="K249" s="3">
        <v>6</v>
      </c>
      <c r="L249" s="3" t="s">
        <v>27</v>
      </c>
      <c r="M249" s="3" t="s">
        <v>28</v>
      </c>
      <c r="N249" s="3" t="s">
        <v>94</v>
      </c>
      <c r="O249" s="3" t="s">
        <v>66</v>
      </c>
      <c r="P249" s="30">
        <v>70582.78</v>
      </c>
      <c r="Q249" s="3" t="s">
        <v>223</v>
      </c>
      <c r="R249" s="3">
        <v>9</v>
      </c>
      <c r="S249" s="3">
        <v>171</v>
      </c>
      <c r="T249" s="3">
        <v>35.6</v>
      </c>
      <c r="U249" s="3" t="s">
        <v>44</v>
      </c>
      <c r="V249" s="18" t="s">
        <v>33</v>
      </c>
    </row>
    <row r="250" spans="1:22" ht="15" customHeight="1" x14ac:dyDescent="0.25">
      <c r="A250" s="15" t="s">
        <v>632</v>
      </c>
      <c r="B250" s="1" t="s">
        <v>633</v>
      </c>
      <c r="C250">
        <v>68</v>
      </c>
      <c r="D250" s="1" t="s">
        <v>82</v>
      </c>
      <c r="E250" s="1" t="s">
        <v>23</v>
      </c>
      <c r="F250" s="1" t="s">
        <v>49</v>
      </c>
      <c r="G250" s="1" t="s">
        <v>60</v>
      </c>
      <c r="H250" s="1" t="s">
        <v>78</v>
      </c>
      <c r="I250" s="7">
        <v>44785</v>
      </c>
      <c r="J250" s="7">
        <v>44790</v>
      </c>
      <c r="K250" s="1">
        <v>5</v>
      </c>
      <c r="L250" s="1" t="s">
        <v>231</v>
      </c>
      <c r="M250" s="1" t="s">
        <v>53</v>
      </c>
      <c r="N250" s="1" t="s">
        <v>210</v>
      </c>
      <c r="O250" s="1" t="s">
        <v>30</v>
      </c>
      <c r="P250" s="29">
        <v>29916.33</v>
      </c>
      <c r="Q250" s="1" t="s">
        <v>105</v>
      </c>
      <c r="R250" s="1">
        <v>6</v>
      </c>
      <c r="S250" s="1">
        <v>410</v>
      </c>
      <c r="T250" s="1">
        <v>38.5</v>
      </c>
      <c r="U250" s="1" t="s">
        <v>32</v>
      </c>
      <c r="V250" s="17" t="s">
        <v>33</v>
      </c>
    </row>
    <row r="251" spans="1:22" ht="15" customHeight="1" x14ac:dyDescent="0.25">
      <c r="A251" s="16" t="s">
        <v>634</v>
      </c>
      <c r="B251" s="3" t="s">
        <v>635</v>
      </c>
      <c r="C251">
        <v>91</v>
      </c>
      <c r="D251" s="3" t="s">
        <v>36</v>
      </c>
      <c r="E251" s="3" t="s">
        <v>23</v>
      </c>
      <c r="F251" s="3" t="s">
        <v>99</v>
      </c>
      <c r="G251" s="3" t="s">
        <v>25</v>
      </c>
      <c r="H251" s="3" t="s">
        <v>78</v>
      </c>
      <c r="I251" s="6">
        <v>43939</v>
      </c>
      <c r="J251" s="8">
        <v>43946</v>
      </c>
      <c r="K251" s="3">
        <v>7</v>
      </c>
      <c r="L251" s="3" t="s">
        <v>27</v>
      </c>
      <c r="M251" s="3" t="s">
        <v>28</v>
      </c>
      <c r="N251" s="3" t="s">
        <v>248</v>
      </c>
      <c r="O251" s="3" t="s">
        <v>66</v>
      </c>
      <c r="P251" s="30">
        <v>138503.21</v>
      </c>
      <c r="Q251" s="3" t="s">
        <v>400</v>
      </c>
      <c r="R251" s="3">
        <v>12</v>
      </c>
      <c r="S251" s="3">
        <v>163</v>
      </c>
      <c r="T251" s="3">
        <v>24.5</v>
      </c>
      <c r="U251" s="3" t="s">
        <v>86</v>
      </c>
      <c r="V251" s="18" t="s">
        <v>33</v>
      </c>
    </row>
    <row r="252" spans="1:22" ht="15" customHeight="1" x14ac:dyDescent="0.25">
      <c r="A252" s="15" t="s">
        <v>636</v>
      </c>
      <c r="B252" s="1" t="s">
        <v>637</v>
      </c>
      <c r="C252">
        <v>70</v>
      </c>
      <c r="D252" s="1" t="s">
        <v>82</v>
      </c>
      <c r="E252" s="1" t="s">
        <v>48</v>
      </c>
      <c r="F252" s="1" t="s">
        <v>70</v>
      </c>
      <c r="G252" s="1" t="s">
        <v>38</v>
      </c>
      <c r="H252" s="1" t="s">
        <v>156</v>
      </c>
      <c r="I252" s="7">
        <v>45255</v>
      </c>
      <c r="J252" s="7">
        <v>45260</v>
      </c>
      <c r="K252" s="1">
        <v>5</v>
      </c>
      <c r="L252" s="1" t="s">
        <v>102</v>
      </c>
      <c r="M252" s="1" t="s">
        <v>28</v>
      </c>
      <c r="N252" s="1" t="s">
        <v>41</v>
      </c>
      <c r="O252" s="1" t="s">
        <v>42</v>
      </c>
      <c r="P252" s="29">
        <v>26786.52</v>
      </c>
      <c r="Q252" s="1" t="s">
        <v>174</v>
      </c>
      <c r="R252" s="1">
        <v>8</v>
      </c>
      <c r="S252" s="1">
        <v>494</v>
      </c>
      <c r="T252" s="1">
        <v>32.9</v>
      </c>
      <c r="U252" s="1" t="s">
        <v>86</v>
      </c>
      <c r="V252" s="17" t="s">
        <v>33</v>
      </c>
    </row>
    <row r="253" spans="1:22" ht="15" customHeight="1" x14ac:dyDescent="0.25">
      <c r="A253" s="16" t="s">
        <v>638</v>
      </c>
      <c r="B253" s="3" t="s">
        <v>639</v>
      </c>
      <c r="C253">
        <v>68</v>
      </c>
      <c r="D253" s="3" t="s">
        <v>82</v>
      </c>
      <c r="E253" s="3" t="s">
        <v>23</v>
      </c>
      <c r="F253" s="3" t="s">
        <v>70</v>
      </c>
      <c r="G253" s="3" t="s">
        <v>38</v>
      </c>
      <c r="H253" s="3" t="s">
        <v>78</v>
      </c>
      <c r="I253" s="6">
        <v>45513</v>
      </c>
      <c r="J253" s="8">
        <v>45519</v>
      </c>
      <c r="K253" s="3">
        <v>6</v>
      </c>
      <c r="L253" s="3" t="s">
        <v>39</v>
      </c>
      <c r="M253" s="3" t="s">
        <v>40</v>
      </c>
      <c r="N253" s="3" t="s">
        <v>41</v>
      </c>
      <c r="O253" s="3" t="s">
        <v>30</v>
      </c>
      <c r="P253" s="30">
        <v>14031.23</v>
      </c>
      <c r="Q253" s="3" t="s">
        <v>119</v>
      </c>
      <c r="R253" s="3">
        <v>7</v>
      </c>
      <c r="S253" s="3">
        <v>178</v>
      </c>
      <c r="T253" s="3">
        <v>43.5</v>
      </c>
      <c r="U253" s="3" t="s">
        <v>44</v>
      </c>
      <c r="V253" s="18" t="s">
        <v>45</v>
      </c>
    </row>
    <row r="254" spans="1:22" ht="15" customHeight="1" x14ac:dyDescent="0.25">
      <c r="A254" s="15" t="s">
        <v>640</v>
      </c>
      <c r="B254" s="1" t="s">
        <v>641</v>
      </c>
      <c r="C254">
        <v>65</v>
      </c>
      <c r="D254" s="1" t="s">
        <v>82</v>
      </c>
      <c r="E254" s="1" t="s">
        <v>48</v>
      </c>
      <c r="F254" s="1" t="s">
        <v>155</v>
      </c>
      <c r="G254" s="1" t="s">
        <v>50</v>
      </c>
      <c r="H254" s="1" t="s">
        <v>78</v>
      </c>
      <c r="I254" s="7">
        <v>43554</v>
      </c>
      <c r="J254" s="7">
        <v>43559</v>
      </c>
      <c r="K254" s="1">
        <v>5</v>
      </c>
      <c r="L254" s="1" t="s">
        <v>89</v>
      </c>
      <c r="M254" s="1" t="s">
        <v>90</v>
      </c>
      <c r="N254" s="1" t="s">
        <v>126</v>
      </c>
      <c r="O254" s="1" t="s">
        <v>66</v>
      </c>
      <c r="P254" s="29">
        <v>54806.09</v>
      </c>
      <c r="Q254" s="1" t="s">
        <v>623</v>
      </c>
      <c r="R254" s="1">
        <v>4</v>
      </c>
      <c r="S254" s="1">
        <v>255</v>
      </c>
      <c r="T254" s="1">
        <v>30.3</v>
      </c>
      <c r="U254" s="1" t="s">
        <v>32</v>
      </c>
      <c r="V254" s="17" t="s">
        <v>33</v>
      </c>
    </row>
    <row r="255" spans="1:22" ht="15" customHeight="1" x14ac:dyDescent="0.25">
      <c r="A255" s="16" t="s">
        <v>642</v>
      </c>
      <c r="B255" s="2" t="s">
        <v>2926</v>
      </c>
      <c r="C255">
        <v>57</v>
      </c>
      <c r="D255" s="3" t="s">
        <v>59</v>
      </c>
      <c r="E255" s="3" t="s">
        <v>23</v>
      </c>
      <c r="F255" s="3" t="s">
        <v>37</v>
      </c>
      <c r="G255" s="3" t="s">
        <v>163</v>
      </c>
      <c r="H255" s="3" t="s">
        <v>78</v>
      </c>
      <c r="I255" s="6">
        <v>45008</v>
      </c>
      <c r="J255" s="8">
        <v>45015</v>
      </c>
      <c r="K255" s="3">
        <v>7</v>
      </c>
      <c r="L255" s="3" t="s">
        <v>52</v>
      </c>
      <c r="M255" s="3" t="s">
        <v>53</v>
      </c>
      <c r="N255" s="3" t="s">
        <v>213</v>
      </c>
      <c r="O255" s="3" t="s">
        <v>30</v>
      </c>
      <c r="P255" s="30">
        <v>29999.8</v>
      </c>
      <c r="Q255" s="3" t="s">
        <v>382</v>
      </c>
      <c r="R255" s="3">
        <v>4</v>
      </c>
      <c r="S255" s="3">
        <v>497</v>
      </c>
      <c r="T255" s="3">
        <v>23.6</v>
      </c>
      <c r="U255" s="3" t="s">
        <v>44</v>
      </c>
      <c r="V255" s="18" t="s">
        <v>33</v>
      </c>
    </row>
    <row r="256" spans="1:22" ht="15" customHeight="1" x14ac:dyDescent="0.25">
      <c r="A256" s="15" t="s">
        <v>643</v>
      </c>
      <c r="B256" s="2" t="s">
        <v>2170</v>
      </c>
      <c r="C256">
        <v>87</v>
      </c>
      <c r="D256" s="1" t="s">
        <v>36</v>
      </c>
      <c r="E256" s="1" t="s">
        <v>23</v>
      </c>
      <c r="F256" s="1" t="s">
        <v>37</v>
      </c>
      <c r="G256" s="1" t="s">
        <v>50</v>
      </c>
      <c r="H256" s="1" t="s">
        <v>51</v>
      </c>
      <c r="I256" s="7">
        <v>45553</v>
      </c>
      <c r="J256" s="7">
        <v>45559</v>
      </c>
      <c r="K256" s="1">
        <v>6</v>
      </c>
      <c r="L256" s="1" t="s">
        <v>185</v>
      </c>
      <c r="M256" s="1" t="s">
        <v>186</v>
      </c>
      <c r="N256" s="1" t="s">
        <v>126</v>
      </c>
      <c r="O256" s="1" t="s">
        <v>30</v>
      </c>
      <c r="P256" s="29">
        <v>18170.7</v>
      </c>
      <c r="Q256" s="1" t="s">
        <v>56</v>
      </c>
      <c r="R256" s="1">
        <v>9</v>
      </c>
      <c r="S256" s="1">
        <v>102</v>
      </c>
      <c r="T256" s="1">
        <v>21.7</v>
      </c>
      <c r="U256" s="1" t="s">
        <v>44</v>
      </c>
      <c r="V256" s="17" t="s">
        <v>45</v>
      </c>
    </row>
    <row r="257" spans="1:22" ht="15" customHeight="1" x14ac:dyDescent="0.25">
      <c r="A257" s="16" t="s">
        <v>644</v>
      </c>
      <c r="B257" s="3" t="s">
        <v>645</v>
      </c>
      <c r="C257">
        <v>21</v>
      </c>
      <c r="D257" s="3" t="s">
        <v>47</v>
      </c>
      <c r="E257" s="3" t="s">
        <v>48</v>
      </c>
      <c r="F257" s="3" t="s">
        <v>70</v>
      </c>
      <c r="G257" s="3" t="s">
        <v>38</v>
      </c>
      <c r="H257" s="3" t="s">
        <v>26</v>
      </c>
      <c r="I257" s="8">
        <v>45297</v>
      </c>
      <c r="J257" s="8">
        <v>45304</v>
      </c>
      <c r="K257" s="3">
        <v>7</v>
      </c>
      <c r="L257" s="3" t="s">
        <v>112</v>
      </c>
      <c r="M257" s="3" t="s">
        <v>40</v>
      </c>
      <c r="N257" s="3" t="s">
        <v>173</v>
      </c>
      <c r="O257" s="3" t="s">
        <v>55</v>
      </c>
      <c r="P257" s="30">
        <v>14706.28</v>
      </c>
      <c r="Q257" s="3" t="s">
        <v>43</v>
      </c>
      <c r="R257" s="3">
        <v>8</v>
      </c>
      <c r="S257" s="3">
        <v>100</v>
      </c>
      <c r="T257" s="3">
        <v>29.9</v>
      </c>
      <c r="U257" s="3" t="s">
        <v>44</v>
      </c>
      <c r="V257" s="18" t="s">
        <v>33</v>
      </c>
    </row>
    <row r="258" spans="1:22" ht="15" customHeight="1" x14ac:dyDescent="0.25">
      <c r="A258" s="15" t="s">
        <v>646</v>
      </c>
      <c r="B258" s="1" t="s">
        <v>647</v>
      </c>
      <c r="C258">
        <v>63</v>
      </c>
      <c r="D258" s="1" t="s">
        <v>59</v>
      </c>
      <c r="E258" s="1" t="s">
        <v>23</v>
      </c>
      <c r="F258" s="1" t="s">
        <v>37</v>
      </c>
      <c r="G258" s="1" t="s">
        <v>71</v>
      </c>
      <c r="H258" s="1" t="s">
        <v>51</v>
      </c>
      <c r="I258" s="6">
        <v>43531</v>
      </c>
      <c r="J258" s="7">
        <v>43592</v>
      </c>
      <c r="K258" s="1">
        <v>2</v>
      </c>
      <c r="L258" s="1" t="s">
        <v>39</v>
      </c>
      <c r="M258" s="1" t="s">
        <v>40</v>
      </c>
      <c r="N258" s="1" t="s">
        <v>72</v>
      </c>
      <c r="O258" s="1" t="s">
        <v>42</v>
      </c>
      <c r="P258" s="29">
        <v>15014.56</v>
      </c>
      <c r="Q258" s="1" t="s">
        <v>170</v>
      </c>
      <c r="R258" s="1">
        <v>5</v>
      </c>
      <c r="S258" s="1">
        <v>132</v>
      </c>
      <c r="T258" s="1">
        <v>22</v>
      </c>
      <c r="U258" s="1" t="s">
        <v>32</v>
      </c>
      <c r="V258" s="17" t="s">
        <v>33</v>
      </c>
    </row>
    <row r="259" spans="1:22" ht="15" customHeight="1" x14ac:dyDescent="0.25">
      <c r="A259" s="16" t="s">
        <v>648</v>
      </c>
      <c r="B259" s="3" t="s">
        <v>649</v>
      </c>
      <c r="C259">
        <v>69</v>
      </c>
      <c r="D259" s="3" t="s">
        <v>82</v>
      </c>
      <c r="E259" s="3" t="s">
        <v>48</v>
      </c>
      <c r="F259" s="3" t="s">
        <v>49</v>
      </c>
      <c r="G259" s="3" t="s">
        <v>77</v>
      </c>
      <c r="H259" s="3" t="s">
        <v>26</v>
      </c>
      <c r="I259" s="6">
        <v>45271</v>
      </c>
      <c r="J259" s="8">
        <v>45249</v>
      </c>
      <c r="K259" s="3">
        <v>7</v>
      </c>
      <c r="L259" s="3" t="s">
        <v>27</v>
      </c>
      <c r="M259" s="3" t="s">
        <v>28</v>
      </c>
      <c r="N259" s="3" t="s">
        <v>84</v>
      </c>
      <c r="O259" s="3" t="s">
        <v>42</v>
      </c>
      <c r="P259" s="30">
        <v>129537.62</v>
      </c>
      <c r="Q259" s="3" t="s">
        <v>100</v>
      </c>
      <c r="R259" s="3">
        <v>10</v>
      </c>
      <c r="S259" s="3">
        <v>313</v>
      </c>
      <c r="T259" s="3">
        <v>37.1</v>
      </c>
      <c r="U259" s="3" t="s">
        <v>44</v>
      </c>
      <c r="V259" s="18" t="s">
        <v>33</v>
      </c>
    </row>
    <row r="260" spans="1:22" ht="15" customHeight="1" x14ac:dyDescent="0.25">
      <c r="A260" s="15" t="s">
        <v>650</v>
      </c>
      <c r="B260" s="1" t="s">
        <v>651</v>
      </c>
      <c r="C260">
        <v>72</v>
      </c>
      <c r="D260" s="1" t="s">
        <v>82</v>
      </c>
      <c r="E260" s="1" t="s">
        <v>23</v>
      </c>
      <c r="F260" s="1" t="s">
        <v>37</v>
      </c>
      <c r="G260" s="1" t="s">
        <v>71</v>
      </c>
      <c r="H260" s="1" t="s">
        <v>78</v>
      </c>
      <c r="I260" s="7">
        <v>44165</v>
      </c>
      <c r="J260" s="7">
        <v>43873</v>
      </c>
      <c r="K260" s="1">
        <v>2</v>
      </c>
      <c r="L260" s="1" t="s">
        <v>89</v>
      </c>
      <c r="M260" s="1" t="s">
        <v>90</v>
      </c>
      <c r="N260" s="1" t="s">
        <v>177</v>
      </c>
      <c r="O260" s="1" t="s">
        <v>42</v>
      </c>
      <c r="P260" s="29">
        <v>27106.71</v>
      </c>
      <c r="Q260" s="1" t="s">
        <v>178</v>
      </c>
      <c r="R260" s="1">
        <v>5</v>
      </c>
      <c r="S260" s="1">
        <v>476</v>
      </c>
      <c r="T260" s="1">
        <v>31.1</v>
      </c>
      <c r="U260" s="1" t="s">
        <v>32</v>
      </c>
      <c r="V260" s="17" t="s">
        <v>33</v>
      </c>
    </row>
    <row r="261" spans="1:22" ht="15" customHeight="1" x14ac:dyDescent="0.25">
      <c r="A261" s="16" t="s">
        <v>652</v>
      </c>
      <c r="B261" s="3" t="s">
        <v>653</v>
      </c>
      <c r="C261">
        <v>74</v>
      </c>
      <c r="D261" s="3" t="s">
        <v>82</v>
      </c>
      <c r="E261" s="3" t="s">
        <v>23</v>
      </c>
      <c r="F261" s="3" t="s">
        <v>76</v>
      </c>
      <c r="G261" s="3" t="s">
        <v>131</v>
      </c>
      <c r="H261" s="3" t="s">
        <v>26</v>
      </c>
      <c r="I261" s="6">
        <v>44403</v>
      </c>
      <c r="J261" s="8">
        <v>44406</v>
      </c>
      <c r="K261" s="3">
        <v>3</v>
      </c>
      <c r="L261" s="3" t="s">
        <v>39</v>
      </c>
      <c r="M261" s="3" t="s">
        <v>40</v>
      </c>
      <c r="N261" s="3" t="s">
        <v>133</v>
      </c>
      <c r="O261" s="3" t="s">
        <v>55</v>
      </c>
      <c r="P261" s="30">
        <v>37715</v>
      </c>
      <c r="Q261" s="3" t="s">
        <v>148</v>
      </c>
      <c r="R261" s="3">
        <v>7</v>
      </c>
      <c r="S261" s="3">
        <v>354</v>
      </c>
      <c r="T261" s="3">
        <v>31.8</v>
      </c>
      <c r="U261" s="3" t="s">
        <v>44</v>
      </c>
      <c r="V261" s="18" t="s">
        <v>45</v>
      </c>
    </row>
    <row r="262" spans="1:22" ht="15" customHeight="1" x14ac:dyDescent="0.25">
      <c r="A262" s="15" t="s">
        <v>654</v>
      </c>
      <c r="B262" s="1" t="s">
        <v>655</v>
      </c>
      <c r="C262">
        <v>73</v>
      </c>
      <c r="D262" s="1" t="s">
        <v>82</v>
      </c>
      <c r="E262" s="1" t="s">
        <v>48</v>
      </c>
      <c r="F262" s="1" t="s">
        <v>49</v>
      </c>
      <c r="G262" s="1" t="s">
        <v>38</v>
      </c>
      <c r="H262" s="1" t="s">
        <v>78</v>
      </c>
      <c r="I262" s="6">
        <v>44466</v>
      </c>
      <c r="J262" s="7">
        <v>44469</v>
      </c>
      <c r="K262" s="1">
        <v>3</v>
      </c>
      <c r="L262" s="1" t="s">
        <v>122</v>
      </c>
      <c r="M262" s="1" t="s">
        <v>40</v>
      </c>
      <c r="N262" s="1" t="s">
        <v>173</v>
      </c>
      <c r="O262" s="1" t="s">
        <v>42</v>
      </c>
      <c r="P262" s="29">
        <v>30322.11</v>
      </c>
      <c r="Q262" s="1" t="s">
        <v>567</v>
      </c>
      <c r="R262" s="1">
        <v>8</v>
      </c>
      <c r="S262" s="1">
        <v>227</v>
      </c>
      <c r="T262" s="1">
        <v>24.6</v>
      </c>
      <c r="U262" s="1" t="s">
        <v>44</v>
      </c>
      <c r="V262" s="17" t="s">
        <v>33</v>
      </c>
    </row>
    <row r="263" spans="1:22" ht="15" customHeight="1" x14ac:dyDescent="0.25">
      <c r="A263" s="16" t="s">
        <v>656</v>
      </c>
      <c r="B263" s="3" t="s">
        <v>657</v>
      </c>
      <c r="C263">
        <v>59</v>
      </c>
      <c r="D263" s="3" t="s">
        <v>59</v>
      </c>
      <c r="E263" s="3" t="s">
        <v>23</v>
      </c>
      <c r="F263" s="2" t="s">
        <v>3714</v>
      </c>
      <c r="G263" s="3" t="s">
        <v>131</v>
      </c>
      <c r="H263" s="3" t="s">
        <v>78</v>
      </c>
      <c r="I263" s="8">
        <v>43701</v>
      </c>
      <c r="J263" s="8">
        <v>43705</v>
      </c>
      <c r="K263" s="3">
        <v>4</v>
      </c>
      <c r="L263" s="3" t="s">
        <v>27</v>
      </c>
      <c r="M263" s="3" t="s">
        <v>28</v>
      </c>
      <c r="N263" s="3" t="s">
        <v>157</v>
      </c>
      <c r="O263" s="3" t="s">
        <v>55</v>
      </c>
      <c r="P263" s="30">
        <v>30079.68</v>
      </c>
      <c r="Q263" s="3" t="s">
        <v>148</v>
      </c>
      <c r="R263" s="3">
        <v>7</v>
      </c>
      <c r="S263" s="3">
        <v>228</v>
      </c>
      <c r="T263" s="3">
        <v>32.200000000000003</v>
      </c>
      <c r="U263" s="3" t="s">
        <v>32</v>
      </c>
      <c r="V263" s="18" t="s">
        <v>33</v>
      </c>
    </row>
    <row r="264" spans="1:22" ht="15" customHeight="1" x14ac:dyDescent="0.25">
      <c r="A264" s="15" t="s">
        <v>658</v>
      </c>
      <c r="B264" s="1" t="s">
        <v>659</v>
      </c>
      <c r="C264">
        <v>43</v>
      </c>
      <c r="D264" s="1" t="s">
        <v>98</v>
      </c>
      <c r="E264" s="1" t="s">
        <v>23</v>
      </c>
      <c r="F264" s="1" t="s">
        <v>70</v>
      </c>
      <c r="G264" s="1" t="s">
        <v>417</v>
      </c>
      <c r="H264" s="1" t="s">
        <v>26</v>
      </c>
      <c r="I264" s="7">
        <v>44278</v>
      </c>
      <c r="J264" s="7">
        <v>44283</v>
      </c>
      <c r="K264" s="1">
        <v>5</v>
      </c>
      <c r="L264" s="1" t="s">
        <v>112</v>
      </c>
      <c r="M264" s="1" t="s">
        <v>40</v>
      </c>
      <c r="N264" s="1" t="s">
        <v>203</v>
      </c>
      <c r="O264" s="1" t="s">
        <v>30</v>
      </c>
      <c r="P264" s="29">
        <v>19585.14</v>
      </c>
      <c r="Q264" s="1" t="s">
        <v>567</v>
      </c>
      <c r="R264" s="1">
        <v>8</v>
      </c>
      <c r="S264" s="1">
        <v>110</v>
      </c>
      <c r="T264" s="1">
        <v>37.299999999999997</v>
      </c>
      <c r="U264" s="1" t="s">
        <v>44</v>
      </c>
      <c r="V264" s="17" t="s">
        <v>33</v>
      </c>
    </row>
    <row r="265" spans="1:22" ht="15" customHeight="1" x14ac:dyDescent="0.25">
      <c r="A265" s="16" t="s">
        <v>660</v>
      </c>
      <c r="B265" s="3" t="s">
        <v>661</v>
      </c>
      <c r="C265">
        <v>28</v>
      </c>
      <c r="D265" s="3" t="s">
        <v>47</v>
      </c>
      <c r="E265" s="3" t="s">
        <v>23</v>
      </c>
      <c r="F265" s="3" t="s">
        <v>37</v>
      </c>
      <c r="G265" s="3" t="s">
        <v>163</v>
      </c>
      <c r="H265" s="3" t="s">
        <v>26</v>
      </c>
      <c r="I265" s="6">
        <v>44090</v>
      </c>
      <c r="J265" s="8">
        <v>44096</v>
      </c>
      <c r="K265" s="3">
        <v>6</v>
      </c>
      <c r="L265" s="3" t="s">
        <v>89</v>
      </c>
      <c r="M265" s="3" t="s">
        <v>90</v>
      </c>
      <c r="N265" s="3" t="s">
        <v>346</v>
      </c>
      <c r="O265" s="3" t="s">
        <v>104</v>
      </c>
      <c r="P265" s="30">
        <v>16514.009999999998</v>
      </c>
      <c r="Q265" s="3" t="s">
        <v>234</v>
      </c>
      <c r="R265" s="3">
        <v>4</v>
      </c>
      <c r="S265" s="3">
        <v>422</v>
      </c>
      <c r="T265" s="3">
        <v>22.6</v>
      </c>
      <c r="U265" s="3" t="s">
        <v>32</v>
      </c>
      <c r="V265" s="18" t="s">
        <v>33</v>
      </c>
    </row>
    <row r="266" spans="1:22" ht="15" customHeight="1" x14ac:dyDescent="0.25">
      <c r="A266" s="15" t="s">
        <v>662</v>
      </c>
      <c r="B266" s="1" t="s">
        <v>663</v>
      </c>
      <c r="C266">
        <v>79</v>
      </c>
      <c r="D266" s="1" t="s">
        <v>36</v>
      </c>
      <c r="E266" s="1" t="s">
        <v>23</v>
      </c>
      <c r="F266" s="1" t="s">
        <v>99</v>
      </c>
      <c r="G266" s="1" t="s">
        <v>77</v>
      </c>
      <c r="H266" s="1" t="s">
        <v>51</v>
      </c>
      <c r="I266" s="6">
        <v>44881</v>
      </c>
      <c r="J266" s="7">
        <v>44886</v>
      </c>
      <c r="K266" s="1">
        <v>5</v>
      </c>
      <c r="L266" s="1" t="s">
        <v>102</v>
      </c>
      <c r="M266" s="1" t="s">
        <v>28</v>
      </c>
      <c r="N266" s="1" t="s">
        <v>189</v>
      </c>
      <c r="O266" s="1" t="s">
        <v>104</v>
      </c>
      <c r="P266" s="29">
        <v>50187.65</v>
      </c>
      <c r="Q266" s="1" t="s">
        <v>100</v>
      </c>
      <c r="R266" s="1">
        <v>10</v>
      </c>
      <c r="S266" s="1">
        <v>170</v>
      </c>
      <c r="T266" s="1">
        <v>35.9</v>
      </c>
      <c r="U266" s="1" t="s">
        <v>86</v>
      </c>
      <c r="V266" s="17" t="s">
        <v>45</v>
      </c>
    </row>
    <row r="267" spans="1:22" ht="15" customHeight="1" x14ac:dyDescent="0.25">
      <c r="A267" s="16" t="s">
        <v>664</v>
      </c>
      <c r="B267" s="3" t="s">
        <v>388</v>
      </c>
      <c r="C267">
        <v>74</v>
      </c>
      <c r="D267" s="3" t="s">
        <v>82</v>
      </c>
      <c r="E267" s="3" t="s">
        <v>48</v>
      </c>
      <c r="F267" s="3" t="s">
        <v>24</v>
      </c>
      <c r="G267" s="3" t="s">
        <v>665</v>
      </c>
      <c r="H267" s="3" t="s">
        <v>26</v>
      </c>
      <c r="I267" s="6">
        <v>44017</v>
      </c>
      <c r="J267" s="8">
        <v>43965</v>
      </c>
      <c r="K267" s="3">
        <v>7</v>
      </c>
      <c r="L267" s="3" t="s">
        <v>231</v>
      </c>
      <c r="M267" s="3" t="s">
        <v>53</v>
      </c>
      <c r="N267" s="3" t="s">
        <v>116</v>
      </c>
      <c r="O267" s="3" t="s">
        <v>42</v>
      </c>
      <c r="P267" s="30">
        <v>62309.15</v>
      </c>
      <c r="Q267" s="3" t="s">
        <v>85</v>
      </c>
      <c r="R267" s="3">
        <v>8</v>
      </c>
      <c r="S267" s="3">
        <v>380</v>
      </c>
      <c r="T267" s="3">
        <v>25</v>
      </c>
      <c r="U267" s="3" t="s">
        <v>44</v>
      </c>
      <c r="V267" s="18" t="s">
        <v>33</v>
      </c>
    </row>
    <row r="268" spans="1:22" ht="15" customHeight="1" x14ac:dyDescent="0.25">
      <c r="A268" s="15" t="s">
        <v>666</v>
      </c>
      <c r="B268" s="1" t="s">
        <v>667</v>
      </c>
      <c r="C268">
        <v>91</v>
      </c>
      <c r="D268" s="1" t="s">
        <v>36</v>
      </c>
      <c r="E268" s="1" t="s">
        <v>48</v>
      </c>
      <c r="F268" s="1" t="s">
        <v>155</v>
      </c>
      <c r="G268" s="1" t="s">
        <v>38</v>
      </c>
      <c r="H268" s="1" t="s">
        <v>26</v>
      </c>
      <c r="I268" s="7">
        <v>44245</v>
      </c>
      <c r="J268" s="7">
        <v>44253</v>
      </c>
      <c r="K268" s="1">
        <v>8</v>
      </c>
      <c r="L268" s="1" t="s">
        <v>112</v>
      </c>
      <c r="M268" s="1" t="s">
        <v>40</v>
      </c>
      <c r="N268" s="1" t="s">
        <v>173</v>
      </c>
      <c r="O268" s="1" t="s">
        <v>30</v>
      </c>
      <c r="P268" s="29">
        <v>13785.22</v>
      </c>
      <c r="Q268" s="1" t="s">
        <v>437</v>
      </c>
      <c r="R268" s="1">
        <v>5</v>
      </c>
      <c r="S268" s="1">
        <v>333</v>
      </c>
      <c r="T268" s="1">
        <v>32.1</v>
      </c>
      <c r="U268" s="1" t="s">
        <v>44</v>
      </c>
      <c r="V268" s="17" t="s">
        <v>45</v>
      </c>
    </row>
    <row r="269" spans="1:22" ht="15" customHeight="1" x14ac:dyDescent="0.25">
      <c r="A269" s="16" t="s">
        <v>668</v>
      </c>
      <c r="B269" s="2" t="s">
        <v>3582</v>
      </c>
      <c r="C269">
        <v>59</v>
      </c>
      <c r="D269" s="3" t="s">
        <v>59</v>
      </c>
      <c r="E269" s="3" t="s">
        <v>48</v>
      </c>
      <c r="F269" s="3" t="s">
        <v>99</v>
      </c>
      <c r="G269" s="3" t="s">
        <v>71</v>
      </c>
      <c r="H269" s="3" t="s">
        <v>156</v>
      </c>
      <c r="I269" s="8">
        <v>44603</v>
      </c>
      <c r="J269" s="8">
        <v>44608</v>
      </c>
      <c r="K269" s="3">
        <v>5</v>
      </c>
      <c r="L269" s="3" t="s">
        <v>231</v>
      </c>
      <c r="M269" s="3" t="s">
        <v>53</v>
      </c>
      <c r="N269" s="3" t="s">
        <v>312</v>
      </c>
      <c r="O269" s="3" t="s">
        <v>30</v>
      </c>
      <c r="P269" s="30">
        <v>13710.14</v>
      </c>
      <c r="Q269" s="3" t="s">
        <v>374</v>
      </c>
      <c r="R269" s="3">
        <v>5</v>
      </c>
      <c r="S269" s="3">
        <v>413</v>
      </c>
      <c r="T269" s="3">
        <v>25.7</v>
      </c>
      <c r="U269" s="3" t="s">
        <v>32</v>
      </c>
      <c r="V269" s="18" t="s">
        <v>33</v>
      </c>
    </row>
    <row r="270" spans="1:22" ht="15" customHeight="1" x14ac:dyDescent="0.25">
      <c r="A270" s="15" t="s">
        <v>669</v>
      </c>
      <c r="B270" s="1" t="s">
        <v>670</v>
      </c>
      <c r="C270">
        <v>59</v>
      </c>
      <c r="D270" s="1" t="s">
        <v>59</v>
      </c>
      <c r="E270" s="1" t="s">
        <v>23</v>
      </c>
      <c r="F270" s="1" t="s">
        <v>37</v>
      </c>
      <c r="G270" s="1" t="s">
        <v>77</v>
      </c>
      <c r="H270" s="1" t="s">
        <v>26</v>
      </c>
      <c r="I270" s="6">
        <v>44310</v>
      </c>
      <c r="J270" s="7">
        <v>44327</v>
      </c>
      <c r="K270" s="1">
        <v>17</v>
      </c>
      <c r="L270" s="1" t="s">
        <v>52</v>
      </c>
      <c r="M270" s="1" t="s">
        <v>53</v>
      </c>
      <c r="N270" s="1" t="s">
        <v>79</v>
      </c>
      <c r="O270" s="1" t="s">
        <v>30</v>
      </c>
      <c r="P270" s="29">
        <v>83564.62</v>
      </c>
      <c r="Q270" s="1" t="s">
        <v>181</v>
      </c>
      <c r="R270" s="1">
        <v>10</v>
      </c>
      <c r="S270" s="1">
        <v>323</v>
      </c>
      <c r="T270" s="1">
        <v>34.1</v>
      </c>
      <c r="U270" s="1" t="s">
        <v>44</v>
      </c>
      <c r="V270" s="17" t="s">
        <v>33</v>
      </c>
    </row>
    <row r="271" spans="1:22" ht="15" customHeight="1" x14ac:dyDescent="0.25">
      <c r="A271" s="16" t="s">
        <v>671</v>
      </c>
      <c r="B271" s="3" t="s">
        <v>672</v>
      </c>
      <c r="C271">
        <v>64</v>
      </c>
      <c r="D271" s="3" t="s">
        <v>59</v>
      </c>
      <c r="E271" s="3" t="s">
        <v>23</v>
      </c>
      <c r="F271" s="3" t="s">
        <v>155</v>
      </c>
      <c r="G271" s="3" t="s">
        <v>77</v>
      </c>
      <c r="H271" s="3" t="s">
        <v>26</v>
      </c>
      <c r="I271" s="6">
        <v>43514</v>
      </c>
      <c r="J271" s="10"/>
      <c r="K271" s="3"/>
      <c r="L271" s="3" t="s">
        <v>132</v>
      </c>
      <c r="M271" s="3" t="s">
        <v>53</v>
      </c>
      <c r="N271" s="3" t="s">
        <v>84</v>
      </c>
      <c r="O271" s="3" t="s">
        <v>55</v>
      </c>
      <c r="P271" s="30">
        <v>222893.69</v>
      </c>
      <c r="Q271" s="3" t="s">
        <v>123</v>
      </c>
      <c r="R271" s="3">
        <v>10</v>
      </c>
      <c r="S271" s="3">
        <v>343</v>
      </c>
      <c r="T271" s="3">
        <v>32.1</v>
      </c>
      <c r="U271" s="3" t="s">
        <v>44</v>
      </c>
      <c r="V271" s="18" t="s">
        <v>33</v>
      </c>
    </row>
    <row r="272" spans="1:22" ht="15" customHeight="1" x14ac:dyDescent="0.25">
      <c r="A272" s="15" t="s">
        <v>673</v>
      </c>
      <c r="B272" s="1" t="s">
        <v>674</v>
      </c>
      <c r="C272">
        <v>72</v>
      </c>
      <c r="D272" s="1" t="s">
        <v>82</v>
      </c>
      <c r="E272" s="1" t="s">
        <v>48</v>
      </c>
      <c r="F272" s="1" t="s">
        <v>49</v>
      </c>
      <c r="G272" s="1" t="s">
        <v>77</v>
      </c>
      <c r="H272" s="1" t="s">
        <v>51</v>
      </c>
      <c r="I272" s="7">
        <v>43756</v>
      </c>
      <c r="J272" s="7">
        <v>43763</v>
      </c>
      <c r="K272" s="1">
        <v>7</v>
      </c>
      <c r="L272" s="1" t="s">
        <v>231</v>
      </c>
      <c r="M272" s="1" t="s">
        <v>53</v>
      </c>
      <c r="N272" s="1" t="s">
        <v>84</v>
      </c>
      <c r="O272" s="1" t="s">
        <v>30</v>
      </c>
      <c r="P272" s="29">
        <v>24344.2</v>
      </c>
      <c r="Q272" s="1" t="s">
        <v>100</v>
      </c>
      <c r="R272" s="1">
        <v>9</v>
      </c>
      <c r="S272" s="1">
        <v>136</v>
      </c>
      <c r="T272" s="1">
        <v>20.2</v>
      </c>
      <c r="U272" s="1" t="s">
        <v>44</v>
      </c>
      <c r="V272" s="17" t="s">
        <v>33</v>
      </c>
    </row>
    <row r="273" spans="1:22" ht="15" customHeight="1" x14ac:dyDescent="0.25">
      <c r="A273" s="16" t="s">
        <v>675</v>
      </c>
      <c r="B273" s="3" t="s">
        <v>676</v>
      </c>
      <c r="C273">
        <v>76</v>
      </c>
      <c r="D273" s="3" t="s">
        <v>36</v>
      </c>
      <c r="E273" s="3" t="s">
        <v>48</v>
      </c>
      <c r="F273" s="3" t="s">
        <v>37</v>
      </c>
      <c r="G273" s="3" t="s">
        <v>71</v>
      </c>
      <c r="H273" s="3" t="s">
        <v>78</v>
      </c>
      <c r="I273" s="6">
        <v>44701</v>
      </c>
      <c r="J273" s="8">
        <v>44706</v>
      </c>
      <c r="K273" s="3">
        <v>5</v>
      </c>
      <c r="L273" s="3" t="s">
        <v>52</v>
      </c>
      <c r="M273" s="3" t="s">
        <v>53</v>
      </c>
      <c r="N273" s="3" t="s">
        <v>312</v>
      </c>
      <c r="O273" s="3" t="s">
        <v>30</v>
      </c>
      <c r="P273" s="30">
        <v>12361.72</v>
      </c>
      <c r="Q273" s="3" t="s">
        <v>73</v>
      </c>
      <c r="R273" s="3">
        <v>5</v>
      </c>
      <c r="S273" s="3">
        <v>328</v>
      </c>
      <c r="T273" s="3">
        <v>36.1</v>
      </c>
      <c r="U273" s="3" t="s">
        <v>32</v>
      </c>
      <c r="V273" s="18" t="s">
        <v>33</v>
      </c>
    </row>
    <row r="274" spans="1:22" ht="15" customHeight="1" x14ac:dyDescent="0.25">
      <c r="A274" s="15" t="s">
        <v>677</v>
      </c>
      <c r="B274" s="1" t="s">
        <v>678</v>
      </c>
      <c r="C274">
        <v>69</v>
      </c>
      <c r="D274" s="1" t="s">
        <v>82</v>
      </c>
      <c r="E274" s="1" t="s">
        <v>23</v>
      </c>
      <c r="F274" s="2" t="s">
        <v>3714</v>
      </c>
      <c r="G274" s="1" t="s">
        <v>226</v>
      </c>
      <c r="H274" s="1" t="s">
        <v>26</v>
      </c>
      <c r="I274" s="7">
        <v>44831</v>
      </c>
      <c r="J274" s="7">
        <v>44848</v>
      </c>
      <c r="K274" s="1">
        <v>17</v>
      </c>
      <c r="L274" s="1" t="s">
        <v>102</v>
      </c>
      <c r="M274" s="1" t="s">
        <v>28</v>
      </c>
      <c r="N274" s="1" t="s">
        <v>84</v>
      </c>
      <c r="O274" s="1" t="s">
        <v>104</v>
      </c>
      <c r="P274" s="29">
        <v>73434</v>
      </c>
      <c r="Q274" s="1" t="s">
        <v>181</v>
      </c>
      <c r="R274" s="1">
        <v>9</v>
      </c>
      <c r="S274" s="1">
        <v>360</v>
      </c>
      <c r="T274" s="1">
        <v>31.5</v>
      </c>
      <c r="U274" s="1" t="s">
        <v>44</v>
      </c>
      <c r="V274" s="17" t="s">
        <v>33</v>
      </c>
    </row>
    <row r="275" spans="1:22" ht="15" customHeight="1" x14ac:dyDescent="0.25">
      <c r="A275" s="16" t="s">
        <v>679</v>
      </c>
      <c r="B275" s="3" t="s">
        <v>680</v>
      </c>
      <c r="C275">
        <v>79</v>
      </c>
      <c r="D275" s="3" t="s">
        <v>36</v>
      </c>
      <c r="E275" s="3" t="s">
        <v>23</v>
      </c>
      <c r="F275" s="3" t="s">
        <v>83</v>
      </c>
      <c r="G275" s="3" t="s">
        <v>131</v>
      </c>
      <c r="H275" s="3" t="s">
        <v>26</v>
      </c>
      <c r="I275" s="8">
        <v>45631</v>
      </c>
      <c r="J275" s="8">
        <v>45638</v>
      </c>
      <c r="K275" s="3">
        <v>7</v>
      </c>
      <c r="L275" s="3" t="s">
        <v>102</v>
      </c>
      <c r="M275" s="3" t="s">
        <v>28</v>
      </c>
      <c r="N275" s="3" t="s">
        <v>157</v>
      </c>
      <c r="O275" s="3" t="s">
        <v>30</v>
      </c>
      <c r="P275" s="30">
        <v>27331.3</v>
      </c>
      <c r="Q275" s="3" t="s">
        <v>158</v>
      </c>
      <c r="R275" s="3">
        <v>7</v>
      </c>
      <c r="S275" s="3">
        <v>353</v>
      </c>
      <c r="T275" s="3">
        <v>32.299999999999997</v>
      </c>
      <c r="U275" s="3" t="s">
        <v>44</v>
      </c>
      <c r="V275" s="18" t="s">
        <v>45</v>
      </c>
    </row>
    <row r="276" spans="1:22" ht="15" customHeight="1" x14ac:dyDescent="0.25">
      <c r="A276" s="15" t="s">
        <v>681</v>
      </c>
      <c r="B276" s="1" t="s">
        <v>682</v>
      </c>
      <c r="C276">
        <v>69</v>
      </c>
      <c r="D276" s="1" t="s">
        <v>82</v>
      </c>
      <c r="E276" s="1" t="s">
        <v>23</v>
      </c>
      <c r="F276" s="1" t="s">
        <v>49</v>
      </c>
      <c r="G276" s="1" t="s">
        <v>163</v>
      </c>
      <c r="H276" s="1" t="s">
        <v>78</v>
      </c>
      <c r="I276" s="7">
        <v>43597</v>
      </c>
      <c r="J276" s="7">
        <v>43602</v>
      </c>
      <c r="K276" s="1">
        <v>5</v>
      </c>
      <c r="L276" s="1" t="s">
        <v>122</v>
      </c>
      <c r="M276" s="1" t="s">
        <v>40</v>
      </c>
      <c r="N276" s="1" t="s">
        <v>164</v>
      </c>
      <c r="O276" s="1" t="s">
        <v>30</v>
      </c>
      <c r="P276" s="29">
        <v>44058.61</v>
      </c>
      <c r="Q276" s="1" t="s">
        <v>62</v>
      </c>
      <c r="R276" s="1">
        <v>6</v>
      </c>
      <c r="S276" s="1">
        <v>480</v>
      </c>
      <c r="T276" s="1">
        <v>25.3</v>
      </c>
      <c r="U276" s="1" t="s">
        <v>86</v>
      </c>
      <c r="V276" s="17" t="s">
        <v>33</v>
      </c>
    </row>
    <row r="277" spans="1:22" ht="15" customHeight="1" x14ac:dyDescent="0.25">
      <c r="A277" s="16" t="s">
        <v>683</v>
      </c>
      <c r="B277" s="3" t="s">
        <v>684</v>
      </c>
      <c r="C277">
        <v>73</v>
      </c>
      <c r="D277" s="3" t="s">
        <v>82</v>
      </c>
      <c r="E277" s="3" t="s">
        <v>23</v>
      </c>
      <c r="F277" s="3" t="s">
        <v>83</v>
      </c>
      <c r="G277" s="3" t="s">
        <v>77</v>
      </c>
      <c r="H277" s="3" t="s">
        <v>26</v>
      </c>
      <c r="I277" s="8">
        <v>45610</v>
      </c>
      <c r="J277" s="8">
        <v>45617</v>
      </c>
      <c r="K277" s="3">
        <v>7</v>
      </c>
      <c r="L277" s="3" t="s">
        <v>39</v>
      </c>
      <c r="M277" s="3" t="s">
        <v>40</v>
      </c>
      <c r="N277" s="3" t="s">
        <v>94</v>
      </c>
      <c r="O277" s="3" t="s">
        <v>42</v>
      </c>
      <c r="P277" s="30">
        <v>166449</v>
      </c>
      <c r="Q277" s="3" t="s">
        <v>123</v>
      </c>
      <c r="R277" s="3">
        <v>10</v>
      </c>
      <c r="S277" s="3">
        <v>330</v>
      </c>
      <c r="T277" s="3">
        <v>37.5</v>
      </c>
      <c r="U277" s="3" t="s">
        <v>44</v>
      </c>
      <c r="V277" s="18" t="s">
        <v>45</v>
      </c>
    </row>
    <row r="278" spans="1:22" ht="15" customHeight="1" x14ac:dyDescent="0.25">
      <c r="A278" s="15" t="s">
        <v>685</v>
      </c>
      <c r="B278" s="2" t="s">
        <v>2579</v>
      </c>
      <c r="C278">
        <v>65</v>
      </c>
      <c r="D278" s="1" t="s">
        <v>82</v>
      </c>
      <c r="E278" s="1" t="s">
        <v>23</v>
      </c>
      <c r="F278" s="1" t="s">
        <v>37</v>
      </c>
      <c r="G278" s="1" t="s">
        <v>25</v>
      </c>
      <c r="H278" s="1" t="s">
        <v>51</v>
      </c>
      <c r="I278" s="7">
        <v>44754</v>
      </c>
      <c r="J278" s="7">
        <v>44770</v>
      </c>
      <c r="K278" s="1">
        <v>16</v>
      </c>
      <c r="L278" s="1" t="s">
        <v>39</v>
      </c>
      <c r="M278" s="1" t="s">
        <v>40</v>
      </c>
      <c r="N278" s="1" t="s">
        <v>29</v>
      </c>
      <c r="O278" s="1" t="s">
        <v>42</v>
      </c>
      <c r="P278" s="29">
        <v>53979</v>
      </c>
      <c r="Q278" s="1" t="s">
        <v>310</v>
      </c>
      <c r="R278" s="1">
        <v>12</v>
      </c>
      <c r="S278" s="1">
        <v>180</v>
      </c>
      <c r="T278" s="4"/>
      <c r="U278" s="1" t="s">
        <v>44</v>
      </c>
      <c r="V278" s="17" t="s">
        <v>33</v>
      </c>
    </row>
    <row r="279" spans="1:22" ht="15" customHeight="1" x14ac:dyDescent="0.25">
      <c r="A279" s="16" t="s">
        <v>686</v>
      </c>
      <c r="B279" s="3" t="s">
        <v>197</v>
      </c>
      <c r="C279">
        <v>67</v>
      </c>
      <c r="D279" s="3" t="s">
        <v>82</v>
      </c>
      <c r="E279" s="3" t="s">
        <v>48</v>
      </c>
      <c r="F279" s="3" t="s">
        <v>49</v>
      </c>
      <c r="G279" s="3" t="s">
        <v>50</v>
      </c>
      <c r="H279" s="3" t="s">
        <v>26</v>
      </c>
      <c r="I279" s="6">
        <v>44003</v>
      </c>
      <c r="J279" s="8">
        <v>44010</v>
      </c>
      <c r="K279" s="3">
        <v>7</v>
      </c>
      <c r="L279" s="3" t="s">
        <v>52</v>
      </c>
      <c r="M279" s="3" t="s">
        <v>53</v>
      </c>
      <c r="N279" s="3" t="s">
        <v>54</v>
      </c>
      <c r="O279" s="3" t="s">
        <v>42</v>
      </c>
      <c r="P279" s="30">
        <v>51853.84</v>
      </c>
      <c r="Q279" s="3" t="s">
        <v>351</v>
      </c>
      <c r="R279" s="3">
        <v>8</v>
      </c>
      <c r="S279" s="3">
        <v>398</v>
      </c>
      <c r="T279" s="3">
        <v>28</v>
      </c>
      <c r="U279" s="3" t="s">
        <v>86</v>
      </c>
      <c r="V279" s="18" t="s">
        <v>33</v>
      </c>
    </row>
    <row r="280" spans="1:22" ht="15" customHeight="1" x14ac:dyDescent="0.25">
      <c r="A280" s="15" t="s">
        <v>687</v>
      </c>
      <c r="B280" s="1" t="s">
        <v>688</v>
      </c>
      <c r="C280">
        <v>21</v>
      </c>
      <c r="D280" s="1" t="s">
        <v>47</v>
      </c>
      <c r="E280" s="1" t="s">
        <v>23</v>
      </c>
      <c r="F280" s="1" t="s">
        <v>76</v>
      </c>
      <c r="G280" s="1" t="s">
        <v>50</v>
      </c>
      <c r="H280" s="1" t="s">
        <v>26</v>
      </c>
      <c r="I280" s="7">
        <v>45353</v>
      </c>
      <c r="J280" s="7">
        <v>45507</v>
      </c>
      <c r="K280" s="1">
        <v>6</v>
      </c>
      <c r="L280" s="1" t="s">
        <v>89</v>
      </c>
      <c r="M280" s="1" t="s">
        <v>90</v>
      </c>
      <c r="N280" s="1" t="s">
        <v>126</v>
      </c>
      <c r="O280" s="1" t="s">
        <v>42</v>
      </c>
      <c r="P280" s="29">
        <v>31747.040000000001</v>
      </c>
      <c r="Q280" s="1" t="s">
        <v>279</v>
      </c>
      <c r="R280" s="1">
        <v>9</v>
      </c>
      <c r="S280" s="1">
        <v>340</v>
      </c>
      <c r="T280" s="1">
        <v>20.100000000000001</v>
      </c>
      <c r="U280" s="1" t="s">
        <v>44</v>
      </c>
      <c r="V280" s="17" t="s">
        <v>33</v>
      </c>
    </row>
    <row r="281" spans="1:22" ht="15" customHeight="1" x14ac:dyDescent="0.25">
      <c r="A281" s="16" t="s">
        <v>689</v>
      </c>
      <c r="B281" s="3" t="s">
        <v>690</v>
      </c>
      <c r="C281">
        <v>76</v>
      </c>
      <c r="D281" s="3" t="s">
        <v>36</v>
      </c>
      <c r="E281" s="3" t="s">
        <v>48</v>
      </c>
      <c r="F281" s="3" t="s">
        <v>70</v>
      </c>
      <c r="G281" s="3" t="s">
        <v>131</v>
      </c>
      <c r="H281" s="3" t="s">
        <v>26</v>
      </c>
      <c r="I281" s="8">
        <v>43777</v>
      </c>
      <c r="J281" s="8">
        <v>43785</v>
      </c>
      <c r="K281" s="3">
        <v>8</v>
      </c>
      <c r="L281" s="3" t="s">
        <v>27</v>
      </c>
      <c r="M281" s="3" t="s">
        <v>28</v>
      </c>
      <c r="N281" s="3" t="s">
        <v>147</v>
      </c>
      <c r="O281" s="3" t="s">
        <v>30</v>
      </c>
      <c r="P281" s="30">
        <v>33738.75</v>
      </c>
      <c r="Q281" s="3" t="s">
        <v>291</v>
      </c>
      <c r="R281" s="3">
        <v>6</v>
      </c>
      <c r="S281" s="3">
        <v>308</v>
      </c>
      <c r="T281" s="3">
        <v>27.9</v>
      </c>
      <c r="U281" s="3" t="s">
        <v>44</v>
      </c>
      <c r="V281" s="18" t="s">
        <v>33</v>
      </c>
    </row>
    <row r="282" spans="1:22" ht="15" customHeight="1" x14ac:dyDescent="0.25">
      <c r="A282" s="15" t="s">
        <v>691</v>
      </c>
      <c r="B282" s="1" t="s">
        <v>692</v>
      </c>
      <c r="C282">
        <v>59</v>
      </c>
      <c r="D282" s="1" t="s">
        <v>59</v>
      </c>
      <c r="E282" s="1" t="s">
        <v>23</v>
      </c>
      <c r="F282" s="1" t="s">
        <v>99</v>
      </c>
      <c r="G282" s="1" t="s">
        <v>163</v>
      </c>
      <c r="H282" s="1" t="s">
        <v>26</v>
      </c>
      <c r="I282" s="6">
        <v>44946</v>
      </c>
      <c r="J282" s="7">
        <v>44952</v>
      </c>
      <c r="K282" s="1">
        <v>6</v>
      </c>
      <c r="L282" s="1" t="s">
        <v>231</v>
      </c>
      <c r="M282" s="1" t="s">
        <v>53</v>
      </c>
      <c r="N282" s="1" t="s">
        <v>164</v>
      </c>
      <c r="O282" s="1" t="s">
        <v>30</v>
      </c>
      <c r="P282" s="29">
        <v>33823.69</v>
      </c>
      <c r="Q282" s="1" t="s">
        <v>62</v>
      </c>
      <c r="R282" s="1">
        <v>5</v>
      </c>
      <c r="S282" s="1">
        <v>147</v>
      </c>
      <c r="T282" s="1">
        <v>25</v>
      </c>
      <c r="U282" s="1" t="s">
        <v>32</v>
      </c>
      <c r="V282" s="17" t="s">
        <v>33</v>
      </c>
    </row>
    <row r="283" spans="1:22" ht="15" customHeight="1" x14ac:dyDescent="0.25">
      <c r="A283" s="16" t="s">
        <v>693</v>
      </c>
      <c r="B283" s="3" t="s">
        <v>694</v>
      </c>
      <c r="C283">
        <v>48</v>
      </c>
      <c r="D283" s="3" t="s">
        <v>98</v>
      </c>
      <c r="E283" s="3" t="s">
        <v>23</v>
      </c>
      <c r="F283" s="3" t="s">
        <v>37</v>
      </c>
      <c r="G283" s="3" t="s">
        <v>131</v>
      </c>
      <c r="H283" s="3" t="s">
        <v>26</v>
      </c>
      <c r="I283" s="8">
        <v>44058</v>
      </c>
      <c r="J283" s="8">
        <v>44066</v>
      </c>
      <c r="K283" s="3">
        <v>8</v>
      </c>
      <c r="L283" s="3" t="s">
        <v>52</v>
      </c>
      <c r="M283" s="3" t="s">
        <v>53</v>
      </c>
      <c r="N283" s="3" t="s">
        <v>157</v>
      </c>
      <c r="O283" s="3" t="s">
        <v>104</v>
      </c>
      <c r="P283" s="30">
        <v>20456.32</v>
      </c>
      <c r="Q283" s="3" t="s">
        <v>695</v>
      </c>
      <c r="R283" s="3">
        <v>7</v>
      </c>
      <c r="S283" s="3">
        <v>374</v>
      </c>
      <c r="T283" s="3">
        <v>38.299999999999997</v>
      </c>
      <c r="U283" s="3" t="s">
        <v>44</v>
      </c>
      <c r="V283" s="18" t="s">
        <v>33</v>
      </c>
    </row>
    <row r="284" spans="1:22" ht="15" customHeight="1" x14ac:dyDescent="0.25">
      <c r="A284" s="15" t="s">
        <v>696</v>
      </c>
      <c r="B284" s="1" t="s">
        <v>697</v>
      </c>
      <c r="C284">
        <v>67</v>
      </c>
      <c r="D284" s="1" t="s">
        <v>82</v>
      </c>
      <c r="E284" s="1" t="s">
        <v>48</v>
      </c>
      <c r="F284" s="1" t="s">
        <v>70</v>
      </c>
      <c r="G284" s="1" t="s">
        <v>38</v>
      </c>
      <c r="H284" s="1" t="s">
        <v>26</v>
      </c>
      <c r="I284" s="6">
        <v>44956</v>
      </c>
      <c r="J284" s="7">
        <v>44987</v>
      </c>
      <c r="K284" s="1">
        <v>4</v>
      </c>
      <c r="L284" s="1" t="s">
        <v>231</v>
      </c>
      <c r="M284" s="1" t="s">
        <v>53</v>
      </c>
      <c r="N284" s="1" t="s">
        <v>173</v>
      </c>
      <c r="O284" s="1" t="s">
        <v>66</v>
      </c>
      <c r="P284" s="29">
        <v>41529.29</v>
      </c>
      <c r="Q284" s="1" t="s">
        <v>174</v>
      </c>
      <c r="R284" s="1">
        <v>6</v>
      </c>
      <c r="S284" s="1">
        <v>452</v>
      </c>
      <c r="T284" s="1">
        <v>26.6</v>
      </c>
      <c r="U284" s="1" t="s">
        <v>44</v>
      </c>
      <c r="V284" s="17" t="s">
        <v>45</v>
      </c>
    </row>
    <row r="285" spans="1:22" ht="15" customHeight="1" x14ac:dyDescent="0.25">
      <c r="A285" s="16" t="s">
        <v>698</v>
      </c>
      <c r="B285" s="3" t="s">
        <v>699</v>
      </c>
      <c r="C285">
        <v>78</v>
      </c>
      <c r="D285" s="3" t="s">
        <v>36</v>
      </c>
      <c r="E285" s="3" t="s">
        <v>48</v>
      </c>
      <c r="F285" s="3" t="s">
        <v>76</v>
      </c>
      <c r="G285" s="3" t="s">
        <v>60</v>
      </c>
      <c r="H285" s="3" t="s">
        <v>78</v>
      </c>
      <c r="I285" s="6">
        <v>43874</v>
      </c>
      <c r="J285" s="8">
        <v>43877</v>
      </c>
      <c r="K285" s="3">
        <v>3</v>
      </c>
      <c r="L285" s="3" t="s">
        <v>52</v>
      </c>
      <c r="M285" s="3" t="s">
        <v>53</v>
      </c>
      <c r="N285" s="3" t="s">
        <v>103</v>
      </c>
      <c r="O285" s="3" t="s">
        <v>66</v>
      </c>
      <c r="P285" s="30">
        <v>116129.94</v>
      </c>
      <c r="Q285" s="3" t="s">
        <v>511</v>
      </c>
      <c r="R285" s="3">
        <v>6</v>
      </c>
      <c r="S285" s="3">
        <v>460</v>
      </c>
      <c r="T285" s="3">
        <v>19.100000000000001</v>
      </c>
      <c r="U285" s="3" t="s">
        <v>44</v>
      </c>
      <c r="V285" s="18" t="s">
        <v>33</v>
      </c>
    </row>
    <row r="286" spans="1:22" ht="15" customHeight="1" x14ac:dyDescent="0.25">
      <c r="A286" s="15" t="s">
        <v>700</v>
      </c>
      <c r="B286" s="1" t="s">
        <v>701</v>
      </c>
      <c r="C286">
        <v>59</v>
      </c>
      <c r="D286" s="1" t="s">
        <v>59</v>
      </c>
      <c r="E286" s="1" t="s">
        <v>48</v>
      </c>
      <c r="F286" s="1" t="s">
        <v>37</v>
      </c>
      <c r="G286" s="1" t="s">
        <v>50</v>
      </c>
      <c r="H286" s="1" t="s">
        <v>26</v>
      </c>
      <c r="I286" s="6">
        <v>43573</v>
      </c>
      <c r="J286" s="7">
        <v>43580</v>
      </c>
      <c r="K286" s="1">
        <v>7</v>
      </c>
      <c r="L286" s="1" t="s">
        <v>102</v>
      </c>
      <c r="M286" s="1" t="s">
        <v>28</v>
      </c>
      <c r="N286" s="1" t="s">
        <v>54</v>
      </c>
      <c r="O286" s="1" t="s">
        <v>42</v>
      </c>
      <c r="P286" s="29">
        <v>128508.96</v>
      </c>
      <c r="Q286" s="1" t="s">
        <v>56</v>
      </c>
      <c r="R286" s="1">
        <v>6</v>
      </c>
      <c r="S286" s="1">
        <v>390</v>
      </c>
      <c r="T286" s="1">
        <v>29.7</v>
      </c>
      <c r="U286" s="1" t="s">
        <v>44</v>
      </c>
      <c r="V286" s="17" t="s">
        <v>33</v>
      </c>
    </row>
    <row r="287" spans="1:22" ht="15" customHeight="1" x14ac:dyDescent="0.25">
      <c r="A287" s="16" t="s">
        <v>702</v>
      </c>
      <c r="B287" s="3" t="s">
        <v>703</v>
      </c>
      <c r="C287">
        <v>83</v>
      </c>
      <c r="D287" s="3" t="s">
        <v>36</v>
      </c>
      <c r="E287" s="3" t="s">
        <v>48</v>
      </c>
      <c r="F287" s="3" t="s">
        <v>99</v>
      </c>
      <c r="G287" s="3" t="s">
        <v>50</v>
      </c>
      <c r="H287" s="3" t="s">
        <v>26</v>
      </c>
      <c r="I287" s="8">
        <v>43788</v>
      </c>
      <c r="J287" s="8">
        <v>43477</v>
      </c>
      <c r="K287" s="3">
        <v>12</v>
      </c>
      <c r="L287" s="3" t="s">
        <v>185</v>
      </c>
      <c r="M287" s="3" t="s">
        <v>186</v>
      </c>
      <c r="N287" s="3" t="s">
        <v>116</v>
      </c>
      <c r="O287" s="3" t="s">
        <v>30</v>
      </c>
      <c r="P287" s="30">
        <v>87624.67</v>
      </c>
      <c r="Q287" s="3" t="s">
        <v>623</v>
      </c>
      <c r="R287" s="3">
        <v>9</v>
      </c>
      <c r="S287" s="3">
        <v>310</v>
      </c>
      <c r="T287" s="3">
        <v>29.1</v>
      </c>
      <c r="U287" s="3" t="s">
        <v>32</v>
      </c>
      <c r="V287" s="18" t="s">
        <v>33</v>
      </c>
    </row>
    <row r="288" spans="1:22" ht="15" customHeight="1" x14ac:dyDescent="0.25">
      <c r="A288" s="15" t="s">
        <v>704</v>
      </c>
      <c r="B288" s="1" t="s">
        <v>705</v>
      </c>
      <c r="C288">
        <v>49</v>
      </c>
      <c r="D288" s="1" t="s">
        <v>98</v>
      </c>
      <c r="E288" s="1" t="s">
        <v>48</v>
      </c>
      <c r="F288" s="1" t="s">
        <v>155</v>
      </c>
      <c r="G288" s="1" t="s">
        <v>25</v>
      </c>
      <c r="H288" s="1" t="s">
        <v>51</v>
      </c>
      <c r="I288" s="6">
        <v>44946</v>
      </c>
      <c r="J288" s="7">
        <v>44959</v>
      </c>
      <c r="K288" s="1">
        <v>13</v>
      </c>
      <c r="L288" s="1" t="s">
        <v>89</v>
      </c>
      <c r="M288" s="1" t="s">
        <v>90</v>
      </c>
      <c r="N288" s="1" t="s">
        <v>248</v>
      </c>
      <c r="O288" s="1" t="s">
        <v>55</v>
      </c>
      <c r="P288" s="29">
        <v>48769.32</v>
      </c>
      <c r="Q288" s="1" t="s">
        <v>706</v>
      </c>
      <c r="R288" s="1">
        <v>12</v>
      </c>
      <c r="S288" s="1">
        <v>172</v>
      </c>
      <c r="T288" s="1">
        <v>30.6</v>
      </c>
      <c r="U288" s="1" t="s">
        <v>44</v>
      </c>
      <c r="V288" s="17" t="s">
        <v>33</v>
      </c>
    </row>
    <row r="289" spans="1:22" ht="15" customHeight="1" x14ac:dyDescent="0.25">
      <c r="A289" s="16" t="s">
        <v>707</v>
      </c>
      <c r="B289" s="3" t="s">
        <v>708</v>
      </c>
      <c r="C289">
        <v>64</v>
      </c>
      <c r="D289" s="3" t="s">
        <v>59</v>
      </c>
      <c r="E289" s="3" t="s">
        <v>48</v>
      </c>
      <c r="F289" s="3" t="s">
        <v>70</v>
      </c>
      <c r="G289" s="3" t="s">
        <v>131</v>
      </c>
      <c r="H289" s="3" t="s">
        <v>26</v>
      </c>
      <c r="I289" s="8">
        <v>44172</v>
      </c>
      <c r="J289" s="8">
        <v>44175</v>
      </c>
      <c r="K289" s="3">
        <v>3</v>
      </c>
      <c r="L289" s="3" t="s">
        <v>89</v>
      </c>
      <c r="M289" s="3" t="s">
        <v>90</v>
      </c>
      <c r="N289" s="3" t="s">
        <v>147</v>
      </c>
      <c r="O289" s="3" t="s">
        <v>66</v>
      </c>
      <c r="P289" s="30">
        <v>34491.61</v>
      </c>
      <c r="Q289" s="3" t="s">
        <v>134</v>
      </c>
      <c r="R289" s="3">
        <v>6</v>
      </c>
      <c r="S289" s="3">
        <v>322</v>
      </c>
      <c r="T289" s="3">
        <v>34.200000000000003</v>
      </c>
      <c r="U289" s="3" t="s">
        <v>32</v>
      </c>
      <c r="V289" s="18" t="s">
        <v>33</v>
      </c>
    </row>
    <row r="290" spans="1:22" ht="15" customHeight="1" x14ac:dyDescent="0.25">
      <c r="A290" s="15" t="s">
        <v>709</v>
      </c>
      <c r="B290" s="1" t="s">
        <v>710</v>
      </c>
      <c r="C290">
        <v>53</v>
      </c>
      <c r="D290" s="1" t="s">
        <v>98</v>
      </c>
      <c r="E290" s="1" t="s">
        <v>23</v>
      </c>
      <c r="F290" s="1" t="s">
        <v>49</v>
      </c>
      <c r="G290" s="1" t="s">
        <v>60</v>
      </c>
      <c r="H290" s="1" t="s">
        <v>78</v>
      </c>
      <c r="I290" s="6">
        <v>43906</v>
      </c>
      <c r="J290" s="7">
        <v>43912</v>
      </c>
      <c r="K290" s="1">
        <v>6</v>
      </c>
      <c r="L290" s="1" t="s">
        <v>132</v>
      </c>
      <c r="M290" s="1" t="s">
        <v>53</v>
      </c>
      <c r="N290" s="1" t="s">
        <v>210</v>
      </c>
      <c r="O290" s="1" t="s">
        <v>104</v>
      </c>
      <c r="P290" s="29">
        <v>11923.33</v>
      </c>
      <c r="Q290" s="1" t="s">
        <v>349</v>
      </c>
      <c r="R290" s="1">
        <v>5</v>
      </c>
      <c r="S290" s="1">
        <v>319</v>
      </c>
      <c r="T290" s="1">
        <v>33.5</v>
      </c>
      <c r="U290" s="1" t="s">
        <v>32</v>
      </c>
      <c r="V290" s="17" t="s">
        <v>33</v>
      </c>
    </row>
    <row r="291" spans="1:22" ht="15" customHeight="1" x14ac:dyDescent="0.25">
      <c r="A291" s="16" t="s">
        <v>711</v>
      </c>
      <c r="B291" s="2" t="s">
        <v>3583</v>
      </c>
      <c r="C291">
        <v>60</v>
      </c>
      <c r="D291" s="3" t="s">
        <v>59</v>
      </c>
      <c r="E291" s="3" t="s">
        <v>23</v>
      </c>
      <c r="F291" s="3" t="s">
        <v>70</v>
      </c>
      <c r="G291" s="3" t="s">
        <v>25</v>
      </c>
      <c r="H291" s="3" t="s">
        <v>51</v>
      </c>
      <c r="I291" s="6">
        <v>44477</v>
      </c>
      <c r="J291" s="8">
        <v>44431</v>
      </c>
      <c r="K291" s="3">
        <v>13</v>
      </c>
      <c r="L291" s="3" t="s">
        <v>39</v>
      </c>
      <c r="M291" s="3" t="s">
        <v>40</v>
      </c>
      <c r="N291" s="3" t="s">
        <v>29</v>
      </c>
      <c r="O291" s="3" t="s">
        <v>30</v>
      </c>
      <c r="P291" s="30">
        <v>48077.69</v>
      </c>
      <c r="Q291" s="3" t="s">
        <v>67</v>
      </c>
      <c r="R291" s="3">
        <v>9</v>
      </c>
      <c r="S291" s="3">
        <v>106</v>
      </c>
      <c r="T291" s="3">
        <v>16.7</v>
      </c>
      <c r="U291" s="3" t="s">
        <v>44</v>
      </c>
      <c r="V291" s="18" t="s">
        <v>33</v>
      </c>
    </row>
    <row r="292" spans="1:22" ht="15" customHeight="1" x14ac:dyDescent="0.25">
      <c r="A292" s="15" t="s">
        <v>712</v>
      </c>
      <c r="B292" s="1" t="s">
        <v>713</v>
      </c>
      <c r="C292">
        <v>40</v>
      </c>
      <c r="D292" s="1" t="s">
        <v>98</v>
      </c>
      <c r="E292" s="1" t="s">
        <v>48</v>
      </c>
      <c r="F292" s="1" t="s">
        <v>24</v>
      </c>
      <c r="G292" s="1" t="s">
        <v>38</v>
      </c>
      <c r="H292" s="1" t="s">
        <v>51</v>
      </c>
      <c r="I292" s="7">
        <v>43485</v>
      </c>
      <c r="J292" s="7">
        <v>43491</v>
      </c>
      <c r="K292" s="1">
        <v>6</v>
      </c>
      <c r="L292" s="1" t="s">
        <v>89</v>
      </c>
      <c r="M292" s="1" t="s">
        <v>90</v>
      </c>
      <c r="N292" s="1" t="s">
        <v>203</v>
      </c>
      <c r="O292" s="1" t="s">
        <v>30</v>
      </c>
      <c r="P292" s="29">
        <v>11821</v>
      </c>
      <c r="Q292" s="1" t="s">
        <v>437</v>
      </c>
      <c r="R292" s="1">
        <v>6</v>
      </c>
      <c r="S292" s="1">
        <v>150</v>
      </c>
      <c r="T292" s="1">
        <v>31.6</v>
      </c>
      <c r="U292" s="1" t="s">
        <v>32</v>
      </c>
      <c r="V292" s="17" t="s">
        <v>33</v>
      </c>
    </row>
    <row r="293" spans="1:22" ht="15" customHeight="1" x14ac:dyDescent="0.25">
      <c r="A293" s="16" t="s">
        <v>714</v>
      </c>
      <c r="B293" s="3" t="s">
        <v>715</v>
      </c>
      <c r="C293">
        <v>86</v>
      </c>
      <c r="D293" s="3" t="s">
        <v>36</v>
      </c>
      <c r="E293" s="3" t="s">
        <v>48</v>
      </c>
      <c r="F293" s="3" t="s">
        <v>24</v>
      </c>
      <c r="G293" s="3" t="s">
        <v>25</v>
      </c>
      <c r="H293" s="3" t="s">
        <v>78</v>
      </c>
      <c r="I293" s="8">
        <v>45250</v>
      </c>
      <c r="J293" s="8">
        <v>44938</v>
      </c>
      <c r="K293" s="3">
        <v>11</v>
      </c>
      <c r="L293" s="3" t="s">
        <v>122</v>
      </c>
      <c r="M293" s="3" t="s">
        <v>40</v>
      </c>
      <c r="N293" s="3" t="s">
        <v>29</v>
      </c>
      <c r="O293" s="3" t="s">
        <v>30</v>
      </c>
      <c r="P293" s="30">
        <v>72442.789999999994</v>
      </c>
      <c r="Q293" s="3" t="s">
        <v>31</v>
      </c>
      <c r="R293" s="3">
        <v>12</v>
      </c>
      <c r="S293" s="3">
        <v>187</v>
      </c>
      <c r="T293" s="4"/>
      <c r="U293" s="3" t="s">
        <v>44</v>
      </c>
      <c r="V293" s="18" t="s">
        <v>33</v>
      </c>
    </row>
    <row r="294" spans="1:22" ht="15" customHeight="1" x14ac:dyDescent="0.25">
      <c r="A294" s="15" t="s">
        <v>716</v>
      </c>
      <c r="B294" s="1" t="s">
        <v>717</v>
      </c>
      <c r="C294">
        <v>53</v>
      </c>
      <c r="D294" s="1" t="s">
        <v>98</v>
      </c>
      <c r="E294" s="1" t="s">
        <v>48</v>
      </c>
      <c r="F294" s="2" t="s">
        <v>155</v>
      </c>
      <c r="G294" s="1" t="s">
        <v>131</v>
      </c>
      <c r="H294" s="1" t="s">
        <v>51</v>
      </c>
      <c r="I294" s="7">
        <v>44615</v>
      </c>
      <c r="J294" s="7">
        <v>44618</v>
      </c>
      <c r="K294" s="1">
        <v>3</v>
      </c>
      <c r="L294" s="1" t="s">
        <v>185</v>
      </c>
      <c r="M294" s="1" t="s">
        <v>186</v>
      </c>
      <c r="N294" s="1" t="s">
        <v>147</v>
      </c>
      <c r="O294" s="1" t="s">
        <v>42</v>
      </c>
      <c r="P294" s="29">
        <v>9307.89</v>
      </c>
      <c r="Q294" s="1" t="s">
        <v>291</v>
      </c>
      <c r="R294" s="1">
        <v>7</v>
      </c>
      <c r="S294" s="1">
        <v>149</v>
      </c>
      <c r="T294" s="1">
        <v>27.4</v>
      </c>
      <c r="U294" s="1" t="s">
        <v>32</v>
      </c>
      <c r="V294" s="17" t="s">
        <v>33</v>
      </c>
    </row>
    <row r="295" spans="1:22" ht="15" customHeight="1" x14ac:dyDescent="0.25">
      <c r="A295" s="16" t="s">
        <v>719</v>
      </c>
      <c r="B295" s="3" t="s">
        <v>720</v>
      </c>
      <c r="C295">
        <v>60</v>
      </c>
      <c r="D295" s="3" t="s">
        <v>59</v>
      </c>
      <c r="E295" s="3" t="s">
        <v>48</v>
      </c>
      <c r="F295" s="3" t="s">
        <v>49</v>
      </c>
      <c r="G295" s="3" t="s">
        <v>25</v>
      </c>
      <c r="H295" s="3" t="s">
        <v>26</v>
      </c>
      <c r="I295" s="8">
        <v>44955</v>
      </c>
      <c r="J295" s="8">
        <v>45171</v>
      </c>
      <c r="K295" s="3">
        <v>11</v>
      </c>
      <c r="L295" s="3" t="s">
        <v>112</v>
      </c>
      <c r="M295" s="3" t="s">
        <v>40</v>
      </c>
      <c r="N295" s="3" t="s">
        <v>29</v>
      </c>
      <c r="O295" s="3" t="s">
        <v>55</v>
      </c>
      <c r="P295" s="30">
        <v>72879</v>
      </c>
      <c r="Q295" s="3" t="s">
        <v>269</v>
      </c>
      <c r="R295" s="3">
        <v>10</v>
      </c>
      <c r="S295" s="3">
        <v>114</v>
      </c>
      <c r="T295" s="3">
        <v>26.6</v>
      </c>
      <c r="U295" s="3" t="s">
        <v>32</v>
      </c>
      <c r="V295" s="18" t="s">
        <v>33</v>
      </c>
    </row>
    <row r="296" spans="1:22" ht="15" customHeight="1" x14ac:dyDescent="0.25">
      <c r="A296" s="15" t="s">
        <v>721</v>
      </c>
      <c r="B296" s="1" t="s">
        <v>722</v>
      </c>
      <c r="C296">
        <v>70</v>
      </c>
      <c r="D296" s="1" t="s">
        <v>82</v>
      </c>
      <c r="E296" s="1" t="s">
        <v>23</v>
      </c>
      <c r="F296" s="1" t="s">
        <v>49</v>
      </c>
      <c r="G296" s="1" t="s">
        <v>77</v>
      </c>
      <c r="H296" s="1" t="s">
        <v>26</v>
      </c>
      <c r="I296" s="6">
        <v>45610</v>
      </c>
      <c r="J296" s="7">
        <v>45621</v>
      </c>
      <c r="K296" s="1">
        <v>11</v>
      </c>
      <c r="L296" s="1" t="s">
        <v>27</v>
      </c>
      <c r="M296" s="1" t="s">
        <v>28</v>
      </c>
      <c r="N296" s="1" t="s">
        <v>79</v>
      </c>
      <c r="O296" s="1" t="s">
        <v>30</v>
      </c>
      <c r="P296" s="29">
        <v>80603</v>
      </c>
      <c r="Q296" s="1" t="s">
        <v>592</v>
      </c>
      <c r="R296" s="1">
        <v>10</v>
      </c>
      <c r="S296" s="1">
        <v>379</v>
      </c>
      <c r="T296" s="1">
        <v>31.5</v>
      </c>
      <c r="U296" s="1" t="s">
        <v>86</v>
      </c>
      <c r="V296" s="17" t="s">
        <v>45</v>
      </c>
    </row>
    <row r="297" spans="1:22" ht="15" customHeight="1" x14ac:dyDescent="0.25">
      <c r="A297" s="16" t="s">
        <v>723</v>
      </c>
      <c r="B297" s="3" t="s">
        <v>724</v>
      </c>
      <c r="C297">
        <v>83</v>
      </c>
      <c r="D297" s="3" t="s">
        <v>36</v>
      </c>
      <c r="E297" s="3" t="s">
        <v>23</v>
      </c>
      <c r="F297" s="3" t="s">
        <v>49</v>
      </c>
      <c r="G297" s="3" t="s">
        <v>77</v>
      </c>
      <c r="H297" s="3" t="s">
        <v>26</v>
      </c>
      <c r="I297" s="6">
        <v>45276</v>
      </c>
      <c r="J297" s="8">
        <v>45287</v>
      </c>
      <c r="K297" s="3">
        <v>11</v>
      </c>
      <c r="L297" s="3" t="s">
        <v>89</v>
      </c>
      <c r="M297" s="3" t="s">
        <v>90</v>
      </c>
      <c r="N297" s="3" t="s">
        <v>84</v>
      </c>
      <c r="O297" s="3" t="s">
        <v>42</v>
      </c>
      <c r="P297" s="30">
        <v>81532.800000000003</v>
      </c>
      <c r="Q297" s="3" t="s">
        <v>181</v>
      </c>
      <c r="R297" s="3">
        <v>10</v>
      </c>
      <c r="S297" s="3">
        <v>360</v>
      </c>
      <c r="T297" s="3">
        <v>27.7</v>
      </c>
      <c r="U297" s="3" t="s">
        <v>44</v>
      </c>
      <c r="V297" s="18" t="s">
        <v>45</v>
      </c>
    </row>
    <row r="298" spans="1:22" ht="15" customHeight="1" x14ac:dyDescent="0.25">
      <c r="A298" s="15" t="s">
        <v>725</v>
      </c>
      <c r="B298" s="1" t="s">
        <v>726</v>
      </c>
      <c r="C298">
        <v>84</v>
      </c>
      <c r="D298" s="1" t="s">
        <v>36</v>
      </c>
      <c r="E298" s="1" t="s">
        <v>48</v>
      </c>
      <c r="F298" s="1" t="s">
        <v>37</v>
      </c>
      <c r="G298" s="1" t="s">
        <v>77</v>
      </c>
      <c r="H298" s="1" t="s">
        <v>51</v>
      </c>
      <c r="I298" s="6">
        <v>45329</v>
      </c>
      <c r="J298" s="7">
        <v>45479</v>
      </c>
      <c r="K298" s="1">
        <v>4</v>
      </c>
      <c r="L298" s="1" t="s">
        <v>112</v>
      </c>
      <c r="M298" s="1" t="s">
        <v>40</v>
      </c>
      <c r="N298" s="1" t="s">
        <v>84</v>
      </c>
      <c r="O298" s="1" t="s">
        <v>42</v>
      </c>
      <c r="P298" s="29">
        <v>124685</v>
      </c>
      <c r="Q298" s="1" t="s">
        <v>109</v>
      </c>
      <c r="R298" s="1">
        <v>10</v>
      </c>
      <c r="S298" s="1">
        <v>194</v>
      </c>
      <c r="T298" s="1">
        <v>42</v>
      </c>
      <c r="U298" s="1" t="s">
        <v>44</v>
      </c>
      <c r="V298" s="17" t="s">
        <v>45</v>
      </c>
    </row>
    <row r="299" spans="1:22" ht="15" customHeight="1" x14ac:dyDescent="0.25">
      <c r="A299" s="16" t="s">
        <v>727</v>
      </c>
      <c r="B299" s="3" t="s">
        <v>728</v>
      </c>
      <c r="C299">
        <v>87</v>
      </c>
      <c r="D299" s="3" t="s">
        <v>36</v>
      </c>
      <c r="E299" s="3" t="s">
        <v>48</v>
      </c>
      <c r="F299" s="3" t="s">
        <v>49</v>
      </c>
      <c r="G299" s="3" t="s">
        <v>77</v>
      </c>
      <c r="H299" s="3" t="s">
        <v>26</v>
      </c>
      <c r="I299" s="8">
        <v>44894</v>
      </c>
      <c r="J299" s="8">
        <v>44904</v>
      </c>
      <c r="K299" s="3">
        <v>10</v>
      </c>
      <c r="L299" s="3" t="s">
        <v>132</v>
      </c>
      <c r="M299" s="3" t="s">
        <v>53</v>
      </c>
      <c r="N299" s="3" t="s">
        <v>79</v>
      </c>
      <c r="O299" s="3" t="s">
        <v>66</v>
      </c>
      <c r="P299" s="30">
        <v>74300.490000000005</v>
      </c>
      <c r="Q299" s="3" t="s">
        <v>80</v>
      </c>
      <c r="R299" s="3">
        <v>9</v>
      </c>
      <c r="S299" s="3">
        <v>318</v>
      </c>
      <c r="T299" s="3">
        <v>25.6</v>
      </c>
      <c r="U299" s="3" t="s">
        <v>44</v>
      </c>
      <c r="V299" s="18" t="s">
        <v>33</v>
      </c>
    </row>
    <row r="300" spans="1:22" ht="15" customHeight="1" x14ac:dyDescent="0.25">
      <c r="A300" s="15" t="s">
        <v>729</v>
      </c>
      <c r="B300" s="2" t="s">
        <v>368</v>
      </c>
      <c r="C300">
        <v>69</v>
      </c>
      <c r="D300" s="1" t="s">
        <v>82</v>
      </c>
      <c r="E300" s="1" t="s">
        <v>48</v>
      </c>
      <c r="F300" s="1" t="s">
        <v>83</v>
      </c>
      <c r="G300" s="1" t="s">
        <v>25</v>
      </c>
      <c r="H300" s="1" t="s">
        <v>26</v>
      </c>
      <c r="I300" s="7">
        <v>45466</v>
      </c>
      <c r="J300" s="7">
        <v>45480</v>
      </c>
      <c r="K300" s="1">
        <v>14</v>
      </c>
      <c r="L300" s="1" t="s">
        <v>122</v>
      </c>
      <c r="M300" s="1" t="s">
        <v>40</v>
      </c>
      <c r="N300" s="1" t="s">
        <v>65</v>
      </c>
      <c r="O300" s="1" t="s">
        <v>30</v>
      </c>
      <c r="P300" s="29">
        <v>85085.39</v>
      </c>
      <c r="Q300" s="1" t="s">
        <v>67</v>
      </c>
      <c r="R300" s="1">
        <v>12</v>
      </c>
      <c r="S300" s="1">
        <v>116</v>
      </c>
      <c r="T300" s="1">
        <v>29.8</v>
      </c>
      <c r="U300" s="1" t="s">
        <v>86</v>
      </c>
      <c r="V300" s="17" t="s">
        <v>33</v>
      </c>
    </row>
    <row r="301" spans="1:22" ht="15" customHeight="1" x14ac:dyDescent="0.25">
      <c r="A301" s="16" t="s">
        <v>730</v>
      </c>
      <c r="B301" s="3" t="s">
        <v>731</v>
      </c>
      <c r="C301">
        <v>56</v>
      </c>
      <c r="D301" s="3" t="s">
        <v>59</v>
      </c>
      <c r="E301" s="3" t="s">
        <v>48</v>
      </c>
      <c r="F301" s="3" t="s">
        <v>49</v>
      </c>
      <c r="G301" s="3" t="s">
        <v>25</v>
      </c>
      <c r="H301" s="3" t="s">
        <v>78</v>
      </c>
      <c r="I301" s="8">
        <v>44036</v>
      </c>
      <c r="J301" s="8">
        <v>43990</v>
      </c>
      <c r="K301" s="3">
        <v>13</v>
      </c>
      <c r="L301" s="3" t="s">
        <v>52</v>
      </c>
      <c r="M301" s="3" t="s">
        <v>53</v>
      </c>
      <c r="N301" s="3" t="s">
        <v>29</v>
      </c>
      <c r="O301" s="3" t="s">
        <v>104</v>
      </c>
      <c r="P301" s="30">
        <v>51973</v>
      </c>
      <c r="Q301" s="3" t="s">
        <v>198</v>
      </c>
      <c r="R301" s="3">
        <v>10</v>
      </c>
      <c r="S301" s="3">
        <v>357</v>
      </c>
      <c r="T301" s="3">
        <v>20.3</v>
      </c>
      <c r="U301" s="3" t="s">
        <v>44</v>
      </c>
      <c r="V301" s="18" t="s">
        <v>33</v>
      </c>
    </row>
    <row r="302" spans="1:22" ht="15" customHeight="1" x14ac:dyDescent="0.25">
      <c r="A302" s="15" t="s">
        <v>732</v>
      </c>
      <c r="B302" s="2" t="s">
        <v>2103</v>
      </c>
      <c r="C302">
        <v>61</v>
      </c>
      <c r="D302" s="1" t="s">
        <v>59</v>
      </c>
      <c r="E302" s="1" t="s">
        <v>23</v>
      </c>
      <c r="F302" s="1" t="s">
        <v>49</v>
      </c>
      <c r="G302" s="1" t="s">
        <v>38</v>
      </c>
      <c r="H302" s="1" t="s">
        <v>26</v>
      </c>
      <c r="I302" s="6">
        <v>45563</v>
      </c>
      <c r="J302" s="7">
        <v>45361</v>
      </c>
      <c r="K302" s="1">
        <v>5</v>
      </c>
      <c r="L302" s="1" t="s">
        <v>112</v>
      </c>
      <c r="M302" s="1" t="s">
        <v>40</v>
      </c>
      <c r="N302" s="1" t="s">
        <v>203</v>
      </c>
      <c r="O302" s="1" t="s">
        <v>42</v>
      </c>
      <c r="P302" s="29">
        <v>38768.81</v>
      </c>
      <c r="Q302" s="1" t="s">
        <v>119</v>
      </c>
      <c r="R302" s="1">
        <v>6</v>
      </c>
      <c r="S302" s="1">
        <v>248</v>
      </c>
      <c r="T302" s="4"/>
      <c r="U302" s="1" t="s">
        <v>32</v>
      </c>
      <c r="V302" s="17" t="s">
        <v>33</v>
      </c>
    </row>
    <row r="303" spans="1:22" ht="15" customHeight="1" x14ac:dyDescent="0.25">
      <c r="A303" s="16" t="s">
        <v>733</v>
      </c>
      <c r="B303" s="3" t="s">
        <v>734</v>
      </c>
      <c r="C303">
        <v>73</v>
      </c>
      <c r="D303" s="3" t="s">
        <v>82</v>
      </c>
      <c r="E303" s="3" t="s">
        <v>48</v>
      </c>
      <c r="F303" s="3" t="s">
        <v>76</v>
      </c>
      <c r="G303" s="3" t="s">
        <v>77</v>
      </c>
      <c r="H303" s="3" t="s">
        <v>26</v>
      </c>
      <c r="I303" s="8">
        <v>44099</v>
      </c>
      <c r="J303" s="8">
        <v>44107</v>
      </c>
      <c r="K303" s="3">
        <v>8</v>
      </c>
      <c r="L303" s="3" t="s">
        <v>112</v>
      </c>
      <c r="M303" s="3" t="s">
        <v>40</v>
      </c>
      <c r="N303" s="3" t="s">
        <v>84</v>
      </c>
      <c r="O303" s="3" t="s">
        <v>42</v>
      </c>
      <c r="P303" s="30">
        <v>121048</v>
      </c>
      <c r="Q303" s="3" t="s">
        <v>123</v>
      </c>
      <c r="R303" s="3">
        <v>9</v>
      </c>
      <c r="S303" s="3">
        <v>361</v>
      </c>
      <c r="T303" s="4"/>
      <c r="U303" s="3" t="s">
        <v>44</v>
      </c>
      <c r="V303" s="18" t="s">
        <v>45</v>
      </c>
    </row>
    <row r="304" spans="1:22" ht="15" customHeight="1" x14ac:dyDescent="0.25">
      <c r="A304" s="15" t="s">
        <v>735</v>
      </c>
      <c r="B304" s="1" t="s">
        <v>736</v>
      </c>
      <c r="C304">
        <v>89</v>
      </c>
      <c r="D304" s="1" t="s">
        <v>36</v>
      </c>
      <c r="E304" s="1" t="s">
        <v>48</v>
      </c>
      <c r="F304" s="1" t="s">
        <v>155</v>
      </c>
      <c r="G304" s="1" t="s">
        <v>25</v>
      </c>
      <c r="H304" s="1" t="s">
        <v>51</v>
      </c>
      <c r="I304" s="6">
        <v>44165</v>
      </c>
      <c r="J304" s="7">
        <v>44177</v>
      </c>
      <c r="K304" s="1">
        <v>12</v>
      </c>
      <c r="L304" s="1" t="s">
        <v>122</v>
      </c>
      <c r="M304" s="1" t="s">
        <v>40</v>
      </c>
      <c r="N304" s="1" t="s">
        <v>65</v>
      </c>
      <c r="O304" s="1" t="s">
        <v>30</v>
      </c>
      <c r="P304" s="29">
        <v>27472.49</v>
      </c>
      <c r="Q304" s="1" t="s">
        <v>249</v>
      </c>
      <c r="R304" s="1">
        <v>12</v>
      </c>
      <c r="S304" s="1">
        <v>101</v>
      </c>
      <c r="T304" s="1">
        <v>26.4</v>
      </c>
      <c r="U304" s="1" t="s">
        <v>44</v>
      </c>
      <c r="V304" s="17" t="s">
        <v>33</v>
      </c>
    </row>
    <row r="305" spans="1:22" ht="15" customHeight="1" x14ac:dyDescent="0.25">
      <c r="A305" s="16" t="s">
        <v>737</v>
      </c>
      <c r="B305" s="3" t="s">
        <v>738</v>
      </c>
      <c r="C305">
        <v>60</v>
      </c>
      <c r="D305" s="3" t="s">
        <v>59</v>
      </c>
      <c r="E305" s="3" t="s">
        <v>48</v>
      </c>
      <c r="F305" s="3" t="s">
        <v>70</v>
      </c>
      <c r="G305" s="3" t="s">
        <v>25</v>
      </c>
      <c r="H305" s="3" t="s">
        <v>51</v>
      </c>
      <c r="I305" s="8">
        <v>44894</v>
      </c>
      <c r="J305" s="8">
        <v>44911</v>
      </c>
      <c r="K305" s="3">
        <v>17</v>
      </c>
      <c r="L305" s="3" t="s">
        <v>112</v>
      </c>
      <c r="M305" s="3" t="s">
        <v>40</v>
      </c>
      <c r="N305" s="3" t="s">
        <v>248</v>
      </c>
      <c r="O305" s="3" t="s">
        <v>104</v>
      </c>
      <c r="P305" s="30">
        <v>30757.08</v>
      </c>
      <c r="Q305" s="3" t="s">
        <v>310</v>
      </c>
      <c r="R305" s="3">
        <v>10</v>
      </c>
      <c r="S305" s="3">
        <v>161</v>
      </c>
      <c r="T305" s="3">
        <v>21</v>
      </c>
      <c r="U305" s="3" t="s">
        <v>44</v>
      </c>
      <c r="V305" s="18" t="s">
        <v>33</v>
      </c>
    </row>
    <row r="306" spans="1:22" ht="15" customHeight="1" x14ac:dyDescent="0.25">
      <c r="A306" s="15" t="s">
        <v>739</v>
      </c>
      <c r="B306" s="1" t="s">
        <v>740</v>
      </c>
      <c r="C306">
        <v>91</v>
      </c>
      <c r="D306" s="1" t="s">
        <v>36</v>
      </c>
      <c r="E306" s="1" t="s">
        <v>23</v>
      </c>
      <c r="F306" s="1" t="s">
        <v>70</v>
      </c>
      <c r="G306" s="1" t="s">
        <v>25</v>
      </c>
      <c r="H306" s="1" t="s">
        <v>26</v>
      </c>
      <c r="I306" s="7">
        <v>43586</v>
      </c>
      <c r="J306" s="7">
        <v>43602</v>
      </c>
      <c r="K306" s="1">
        <v>16</v>
      </c>
      <c r="L306" s="1" t="s">
        <v>39</v>
      </c>
      <c r="M306" s="1" t="s">
        <v>40</v>
      </c>
      <c r="N306" s="1" t="s">
        <v>65</v>
      </c>
      <c r="O306" s="1" t="s">
        <v>42</v>
      </c>
      <c r="P306" s="29">
        <v>134889.72</v>
      </c>
      <c r="Q306" s="1" t="s">
        <v>322</v>
      </c>
      <c r="R306" s="1">
        <v>12</v>
      </c>
      <c r="S306" s="1">
        <v>158</v>
      </c>
      <c r="T306" s="1">
        <v>28.2</v>
      </c>
      <c r="U306" s="1" t="s">
        <v>32</v>
      </c>
      <c r="V306" s="17" t="s">
        <v>45</v>
      </c>
    </row>
    <row r="307" spans="1:22" ht="15" customHeight="1" x14ac:dyDescent="0.25">
      <c r="A307" s="16" t="s">
        <v>741</v>
      </c>
      <c r="B307" s="3" t="s">
        <v>742</v>
      </c>
      <c r="C307">
        <v>65</v>
      </c>
      <c r="D307" s="3" t="s">
        <v>82</v>
      </c>
      <c r="E307" s="3" t="s">
        <v>48</v>
      </c>
      <c r="F307" s="3" t="s">
        <v>49</v>
      </c>
      <c r="G307" s="3" t="s">
        <v>131</v>
      </c>
      <c r="H307" s="3" t="s">
        <v>51</v>
      </c>
      <c r="I307" s="8">
        <v>44887</v>
      </c>
      <c r="J307" s="8">
        <v>44891</v>
      </c>
      <c r="K307" s="3">
        <v>4</v>
      </c>
      <c r="L307" s="3" t="s">
        <v>102</v>
      </c>
      <c r="M307" s="3" t="s">
        <v>28</v>
      </c>
      <c r="N307" s="3" t="s">
        <v>157</v>
      </c>
      <c r="O307" s="3" t="s">
        <v>30</v>
      </c>
      <c r="P307" s="30">
        <v>11133.82</v>
      </c>
      <c r="Q307" s="3" t="s">
        <v>158</v>
      </c>
      <c r="R307" s="3">
        <v>6</v>
      </c>
      <c r="S307" s="3">
        <v>193</v>
      </c>
      <c r="T307" s="3">
        <v>24.8</v>
      </c>
      <c r="U307" s="3" t="s">
        <v>44</v>
      </c>
      <c r="V307" s="18" t="s">
        <v>45</v>
      </c>
    </row>
    <row r="308" spans="1:22" ht="15" customHeight="1" x14ac:dyDescent="0.25">
      <c r="A308" s="15" t="s">
        <v>743</v>
      </c>
      <c r="B308" s="1" t="s">
        <v>744</v>
      </c>
      <c r="C308">
        <v>50</v>
      </c>
      <c r="D308" s="1" t="s">
        <v>98</v>
      </c>
      <c r="E308" s="1" t="s">
        <v>23</v>
      </c>
      <c r="F308" s="1" t="s">
        <v>99</v>
      </c>
      <c r="G308" s="1" t="s">
        <v>77</v>
      </c>
      <c r="H308" s="1" t="s">
        <v>51</v>
      </c>
      <c r="I308" s="7">
        <v>43786</v>
      </c>
      <c r="J308" s="7">
        <v>43791</v>
      </c>
      <c r="K308" s="1">
        <v>5</v>
      </c>
      <c r="L308" s="1" t="s">
        <v>112</v>
      </c>
      <c r="M308" s="1" t="s">
        <v>40</v>
      </c>
      <c r="N308" s="1" t="s">
        <v>94</v>
      </c>
      <c r="O308" s="1" t="s">
        <v>55</v>
      </c>
      <c r="P308" s="29">
        <v>40733.32</v>
      </c>
      <c r="Q308" s="1" t="s">
        <v>100</v>
      </c>
      <c r="R308" s="1">
        <v>10</v>
      </c>
      <c r="S308" s="1">
        <v>166</v>
      </c>
      <c r="T308" s="1">
        <v>30.1</v>
      </c>
      <c r="U308" s="1" t="s">
        <v>86</v>
      </c>
      <c r="V308" s="17" t="s">
        <v>33</v>
      </c>
    </row>
    <row r="309" spans="1:22" ht="15" customHeight="1" x14ac:dyDescent="0.25">
      <c r="A309" s="16" t="s">
        <v>745</v>
      </c>
      <c r="B309" s="2" t="s">
        <v>3584</v>
      </c>
      <c r="C309">
        <v>66</v>
      </c>
      <c r="D309" s="3" t="s">
        <v>82</v>
      </c>
      <c r="E309" s="3" t="s">
        <v>23</v>
      </c>
      <c r="F309" s="3" t="s">
        <v>83</v>
      </c>
      <c r="G309" s="3" t="s">
        <v>77</v>
      </c>
      <c r="H309" s="3" t="s">
        <v>78</v>
      </c>
      <c r="I309" s="8">
        <v>45226</v>
      </c>
      <c r="J309" s="8">
        <v>45246</v>
      </c>
      <c r="K309" s="3">
        <v>20</v>
      </c>
      <c r="L309" s="3" t="s">
        <v>39</v>
      </c>
      <c r="M309" s="3" t="s">
        <v>40</v>
      </c>
      <c r="N309" s="3" t="s">
        <v>79</v>
      </c>
      <c r="O309" s="3" t="s">
        <v>104</v>
      </c>
      <c r="P309" s="30">
        <v>53600</v>
      </c>
      <c r="Q309" s="3" t="s">
        <v>100</v>
      </c>
      <c r="R309" s="3">
        <v>6</v>
      </c>
      <c r="S309" s="3">
        <v>216</v>
      </c>
      <c r="T309" s="3">
        <v>25.1</v>
      </c>
      <c r="U309" s="3" t="s">
        <v>44</v>
      </c>
      <c r="V309" s="18" t="s">
        <v>45</v>
      </c>
    </row>
    <row r="310" spans="1:22" ht="15" customHeight="1" x14ac:dyDescent="0.25">
      <c r="A310" s="15" t="s">
        <v>746</v>
      </c>
      <c r="B310" s="1" t="s">
        <v>747</v>
      </c>
      <c r="C310">
        <v>61</v>
      </c>
      <c r="D310" s="1" t="s">
        <v>59</v>
      </c>
      <c r="E310" s="1" t="s">
        <v>48</v>
      </c>
      <c r="F310" s="1" t="s">
        <v>155</v>
      </c>
      <c r="G310" s="1" t="s">
        <v>665</v>
      </c>
      <c r="H310" s="1" t="s">
        <v>26</v>
      </c>
      <c r="I310" s="7">
        <v>45214</v>
      </c>
      <c r="J310" s="7">
        <v>45223</v>
      </c>
      <c r="K310" s="1">
        <v>9</v>
      </c>
      <c r="L310" s="1" t="s">
        <v>102</v>
      </c>
      <c r="M310" s="1" t="s">
        <v>28</v>
      </c>
      <c r="N310" s="1" t="s">
        <v>54</v>
      </c>
      <c r="O310" s="1" t="s">
        <v>42</v>
      </c>
      <c r="P310" s="29">
        <v>59453.14</v>
      </c>
      <c r="Q310" s="1" t="s">
        <v>623</v>
      </c>
      <c r="R310" s="1">
        <v>9</v>
      </c>
      <c r="S310" s="1">
        <v>392</v>
      </c>
      <c r="T310" s="1">
        <v>27.7</v>
      </c>
      <c r="U310" s="1" t="s">
        <v>44</v>
      </c>
      <c r="V310" s="17" t="s">
        <v>33</v>
      </c>
    </row>
    <row r="311" spans="1:22" ht="15" customHeight="1" x14ac:dyDescent="0.25">
      <c r="A311" s="16" t="s">
        <v>748</v>
      </c>
      <c r="B311" s="3" t="s">
        <v>749</v>
      </c>
      <c r="C311">
        <v>60</v>
      </c>
      <c r="D311" s="3" t="s">
        <v>59</v>
      </c>
      <c r="E311" s="3" t="s">
        <v>23</v>
      </c>
      <c r="F311" s="3" t="s">
        <v>49</v>
      </c>
      <c r="G311" s="3" t="s">
        <v>38</v>
      </c>
      <c r="H311" s="3" t="s">
        <v>26</v>
      </c>
      <c r="I311" s="8">
        <v>44490</v>
      </c>
      <c r="J311" s="8">
        <v>44499</v>
      </c>
      <c r="K311" s="3">
        <v>9</v>
      </c>
      <c r="L311" s="3" t="s">
        <v>102</v>
      </c>
      <c r="M311" s="3" t="s">
        <v>28</v>
      </c>
      <c r="N311" s="3" t="s">
        <v>41</v>
      </c>
      <c r="O311" s="3" t="s">
        <v>104</v>
      </c>
      <c r="P311" s="30">
        <v>30498.67</v>
      </c>
      <c r="Q311" s="3" t="s">
        <v>236</v>
      </c>
      <c r="R311" s="3">
        <v>6</v>
      </c>
      <c r="S311" s="3">
        <v>461</v>
      </c>
      <c r="T311" s="3">
        <v>37.799999999999997</v>
      </c>
      <c r="U311" s="3" t="s">
        <v>44</v>
      </c>
      <c r="V311" s="18" t="s">
        <v>33</v>
      </c>
    </row>
    <row r="312" spans="1:22" ht="15" customHeight="1" x14ac:dyDescent="0.25">
      <c r="A312" s="15" t="s">
        <v>750</v>
      </c>
      <c r="B312" s="1" t="s">
        <v>751</v>
      </c>
      <c r="C312">
        <v>91</v>
      </c>
      <c r="D312" s="1" t="s">
        <v>36</v>
      </c>
      <c r="E312" s="1" t="s">
        <v>23</v>
      </c>
      <c r="F312" s="2" t="s">
        <v>3714</v>
      </c>
      <c r="G312" s="1" t="s">
        <v>71</v>
      </c>
      <c r="H312" s="1" t="s">
        <v>51</v>
      </c>
      <c r="I312" s="7">
        <v>45324</v>
      </c>
      <c r="J312" s="7">
        <v>45445</v>
      </c>
      <c r="K312" s="1">
        <v>4</v>
      </c>
      <c r="L312" s="1" t="s">
        <v>112</v>
      </c>
      <c r="M312" s="1" t="s">
        <v>40</v>
      </c>
      <c r="N312" s="1" t="s">
        <v>312</v>
      </c>
      <c r="O312" s="1" t="s">
        <v>30</v>
      </c>
      <c r="P312" s="29">
        <v>12815.68</v>
      </c>
      <c r="Q312" s="1" t="s">
        <v>178</v>
      </c>
      <c r="R312" s="1">
        <v>4</v>
      </c>
      <c r="S312" s="1">
        <v>103</v>
      </c>
      <c r="T312" s="4"/>
      <c r="U312" s="1" t="s">
        <v>44</v>
      </c>
      <c r="V312" s="17" t="s">
        <v>45</v>
      </c>
    </row>
    <row r="313" spans="1:22" ht="15" customHeight="1" x14ac:dyDescent="0.25">
      <c r="A313" s="16" t="s">
        <v>752</v>
      </c>
      <c r="B313" s="3" t="s">
        <v>753</v>
      </c>
      <c r="C313">
        <v>53</v>
      </c>
      <c r="D313" s="3" t="s">
        <v>98</v>
      </c>
      <c r="E313" s="3" t="s">
        <v>23</v>
      </c>
      <c r="F313" s="3" t="s">
        <v>83</v>
      </c>
      <c r="G313" s="3" t="s">
        <v>50</v>
      </c>
      <c r="H313" s="3" t="s">
        <v>51</v>
      </c>
      <c r="I313" s="6">
        <v>43699</v>
      </c>
      <c r="J313" s="8">
        <v>43505</v>
      </c>
      <c r="K313" s="3">
        <v>11</v>
      </c>
      <c r="L313" s="3" t="s">
        <v>52</v>
      </c>
      <c r="M313" s="3" t="s">
        <v>53</v>
      </c>
      <c r="N313" s="3" t="s">
        <v>54</v>
      </c>
      <c r="O313" s="3" t="s">
        <v>104</v>
      </c>
      <c r="P313" s="30">
        <v>34008.22</v>
      </c>
      <c r="Q313" s="3" t="s">
        <v>144</v>
      </c>
      <c r="R313" s="3">
        <v>7</v>
      </c>
      <c r="S313" s="3">
        <v>135</v>
      </c>
      <c r="T313" s="3">
        <v>25.2</v>
      </c>
      <c r="U313" s="3" t="s">
        <v>44</v>
      </c>
      <c r="V313" s="18" t="s">
        <v>33</v>
      </c>
    </row>
    <row r="314" spans="1:22" ht="15" customHeight="1" x14ac:dyDescent="0.25">
      <c r="A314" s="15" t="s">
        <v>754</v>
      </c>
      <c r="B314" s="1" t="s">
        <v>755</v>
      </c>
      <c r="C314">
        <v>70</v>
      </c>
      <c r="D314" s="1" t="s">
        <v>82</v>
      </c>
      <c r="E314" s="1" t="s">
        <v>48</v>
      </c>
      <c r="F314" s="1" t="s">
        <v>24</v>
      </c>
      <c r="G314" s="1" t="s">
        <v>131</v>
      </c>
      <c r="H314" s="1" t="s">
        <v>78</v>
      </c>
      <c r="I314" s="7">
        <v>43975</v>
      </c>
      <c r="J314" s="7">
        <v>43979</v>
      </c>
      <c r="K314" s="1">
        <v>4</v>
      </c>
      <c r="L314" s="1" t="s">
        <v>89</v>
      </c>
      <c r="M314" s="1" t="s">
        <v>90</v>
      </c>
      <c r="N314" s="1" t="s">
        <v>147</v>
      </c>
      <c r="O314" s="1" t="s">
        <v>42</v>
      </c>
      <c r="P314" s="29">
        <v>17189.14</v>
      </c>
      <c r="Q314" s="1" t="s">
        <v>152</v>
      </c>
      <c r="R314" s="1">
        <v>4</v>
      </c>
      <c r="S314" s="1">
        <v>192</v>
      </c>
      <c r="T314" s="1">
        <v>31.7</v>
      </c>
      <c r="U314" s="1" t="s">
        <v>44</v>
      </c>
      <c r="V314" s="17" t="s">
        <v>45</v>
      </c>
    </row>
    <row r="315" spans="1:22" ht="15" customHeight="1" x14ac:dyDescent="0.25">
      <c r="A315" s="16" t="s">
        <v>756</v>
      </c>
      <c r="B315" s="3" t="s">
        <v>757</v>
      </c>
      <c r="C315">
        <v>40</v>
      </c>
      <c r="D315" s="3" t="s">
        <v>98</v>
      </c>
      <c r="E315" s="3" t="s">
        <v>23</v>
      </c>
      <c r="F315" s="3" t="s">
        <v>83</v>
      </c>
      <c r="G315" s="3" t="s">
        <v>38</v>
      </c>
      <c r="H315" s="3" t="s">
        <v>51</v>
      </c>
      <c r="I315" s="8">
        <v>44765</v>
      </c>
      <c r="J315" s="8">
        <v>44769</v>
      </c>
      <c r="K315" s="3">
        <v>4</v>
      </c>
      <c r="L315" s="3" t="s">
        <v>122</v>
      </c>
      <c r="M315" s="3" t="s">
        <v>40</v>
      </c>
      <c r="N315" s="3" t="s">
        <v>41</v>
      </c>
      <c r="O315" s="3" t="s">
        <v>30</v>
      </c>
      <c r="P315" s="30">
        <v>14902.86</v>
      </c>
      <c r="Q315" s="3" t="s">
        <v>43</v>
      </c>
      <c r="R315" s="3">
        <v>7</v>
      </c>
      <c r="S315" s="3">
        <v>187</v>
      </c>
      <c r="T315" s="4"/>
      <c r="U315" s="3" t="s">
        <v>44</v>
      </c>
      <c r="V315" s="18" t="s">
        <v>45</v>
      </c>
    </row>
    <row r="316" spans="1:22" ht="15" customHeight="1" x14ac:dyDescent="0.25">
      <c r="A316" s="15" t="s">
        <v>758</v>
      </c>
      <c r="B316" s="1" t="s">
        <v>759</v>
      </c>
      <c r="C316">
        <v>60</v>
      </c>
      <c r="D316" s="1" t="s">
        <v>59</v>
      </c>
      <c r="E316" s="1" t="s">
        <v>23</v>
      </c>
      <c r="F316" s="1" t="s">
        <v>49</v>
      </c>
      <c r="G316" s="1" t="s">
        <v>77</v>
      </c>
      <c r="H316" s="1" t="s">
        <v>26</v>
      </c>
      <c r="I316" s="6">
        <v>43570</v>
      </c>
      <c r="J316" s="7">
        <v>43576</v>
      </c>
      <c r="K316" s="1">
        <v>6</v>
      </c>
      <c r="L316" s="1" t="s">
        <v>89</v>
      </c>
      <c r="M316" s="1" t="s">
        <v>90</v>
      </c>
      <c r="N316" s="1" t="s">
        <v>84</v>
      </c>
      <c r="O316" s="1" t="s">
        <v>42</v>
      </c>
      <c r="P316" s="29">
        <v>176889.62</v>
      </c>
      <c r="Q316" s="1" t="s">
        <v>181</v>
      </c>
      <c r="R316" s="1">
        <v>10</v>
      </c>
      <c r="S316" s="1">
        <v>373</v>
      </c>
      <c r="T316" s="1">
        <v>29.9</v>
      </c>
      <c r="U316" s="1" t="s">
        <v>86</v>
      </c>
      <c r="V316" s="17" t="s">
        <v>45</v>
      </c>
    </row>
    <row r="317" spans="1:22" ht="15" customHeight="1" x14ac:dyDescent="0.25">
      <c r="A317" s="16" t="s">
        <v>760</v>
      </c>
      <c r="B317" s="3" t="s">
        <v>761</v>
      </c>
      <c r="C317">
        <v>76</v>
      </c>
      <c r="D317" s="3" t="s">
        <v>36</v>
      </c>
      <c r="E317" s="3" t="s">
        <v>23</v>
      </c>
      <c r="F317" s="3" t="s">
        <v>83</v>
      </c>
      <c r="G317" s="3" t="s">
        <v>77</v>
      </c>
      <c r="H317" s="3" t="s">
        <v>78</v>
      </c>
      <c r="I317" s="8">
        <v>44948</v>
      </c>
      <c r="J317" s="8">
        <v>44956</v>
      </c>
      <c r="K317" s="3">
        <v>8</v>
      </c>
      <c r="L317" s="3" t="s">
        <v>89</v>
      </c>
      <c r="M317" s="3" t="s">
        <v>90</v>
      </c>
      <c r="N317" s="3" t="s">
        <v>79</v>
      </c>
      <c r="O317" s="3" t="s">
        <v>30</v>
      </c>
      <c r="P317" s="30">
        <v>70445.34</v>
      </c>
      <c r="Q317" s="3" t="s">
        <v>109</v>
      </c>
      <c r="R317" s="3">
        <v>9</v>
      </c>
      <c r="S317" s="3">
        <v>164</v>
      </c>
      <c r="T317" s="3">
        <v>31.2</v>
      </c>
      <c r="U317" s="3" t="s">
        <v>44</v>
      </c>
      <c r="V317" s="18" t="s">
        <v>33</v>
      </c>
    </row>
    <row r="318" spans="1:22" ht="15" customHeight="1" x14ac:dyDescent="0.25">
      <c r="A318" s="15" t="s">
        <v>762</v>
      </c>
      <c r="B318" s="1" t="s">
        <v>763</v>
      </c>
      <c r="C318">
        <v>74</v>
      </c>
      <c r="D318" s="1" t="s">
        <v>82</v>
      </c>
      <c r="E318" s="1" t="s">
        <v>23</v>
      </c>
      <c r="F318" s="1" t="s">
        <v>49</v>
      </c>
      <c r="G318" s="1" t="s">
        <v>163</v>
      </c>
      <c r="H318" s="1" t="s">
        <v>26</v>
      </c>
      <c r="I318" s="6">
        <v>45490</v>
      </c>
      <c r="J318" s="10"/>
      <c r="K318" s="1"/>
      <c r="L318" s="1" t="s">
        <v>185</v>
      </c>
      <c r="M318" s="1" t="s">
        <v>186</v>
      </c>
      <c r="N318" s="1" t="s">
        <v>346</v>
      </c>
      <c r="O318" s="1" t="s">
        <v>104</v>
      </c>
      <c r="P318" s="29">
        <v>31778.69</v>
      </c>
      <c r="Q318" s="1" t="s">
        <v>234</v>
      </c>
      <c r="R318" s="1">
        <v>3</v>
      </c>
      <c r="S318" s="1">
        <v>298</v>
      </c>
      <c r="T318" s="1">
        <v>32.5</v>
      </c>
      <c r="U318" s="1" t="s">
        <v>32</v>
      </c>
      <c r="V318" s="17" t="s">
        <v>45</v>
      </c>
    </row>
    <row r="319" spans="1:22" ht="15" customHeight="1" x14ac:dyDescent="0.25">
      <c r="A319" s="16" t="s">
        <v>764</v>
      </c>
      <c r="B319" s="3" t="s">
        <v>765</v>
      </c>
      <c r="C319">
        <v>69</v>
      </c>
      <c r="D319" s="3" t="s">
        <v>82</v>
      </c>
      <c r="E319" s="3" t="s">
        <v>23</v>
      </c>
      <c r="F319" s="3" t="s">
        <v>76</v>
      </c>
      <c r="G319" s="3" t="s">
        <v>38</v>
      </c>
      <c r="H319" s="3" t="s">
        <v>78</v>
      </c>
      <c r="I319" s="8">
        <v>45304</v>
      </c>
      <c r="J319" s="8">
        <v>45309</v>
      </c>
      <c r="K319" s="3">
        <v>5</v>
      </c>
      <c r="L319" s="3" t="s">
        <v>185</v>
      </c>
      <c r="M319" s="3" t="s">
        <v>186</v>
      </c>
      <c r="N319" s="3" t="s">
        <v>41</v>
      </c>
      <c r="O319" s="3" t="s">
        <v>66</v>
      </c>
      <c r="P319" s="30">
        <v>24407.53</v>
      </c>
      <c r="Q319" s="3" t="s">
        <v>43</v>
      </c>
      <c r="R319" s="3">
        <v>8</v>
      </c>
      <c r="S319" s="3">
        <v>190</v>
      </c>
      <c r="T319" s="3">
        <v>19.600000000000001</v>
      </c>
      <c r="U319" s="3" t="s">
        <v>44</v>
      </c>
      <c r="V319" s="18" t="s">
        <v>45</v>
      </c>
    </row>
    <row r="320" spans="1:22" ht="15" customHeight="1" x14ac:dyDescent="0.25">
      <c r="A320" s="15" t="s">
        <v>766</v>
      </c>
      <c r="B320" s="1" t="s">
        <v>761</v>
      </c>
      <c r="C320">
        <v>60</v>
      </c>
      <c r="D320" s="1" t="s">
        <v>59</v>
      </c>
      <c r="E320" s="1" t="s">
        <v>23</v>
      </c>
      <c r="F320" s="1" t="s">
        <v>99</v>
      </c>
      <c r="G320" s="1" t="s">
        <v>77</v>
      </c>
      <c r="H320" s="1" t="s">
        <v>51</v>
      </c>
      <c r="I320" s="7">
        <v>43637</v>
      </c>
      <c r="J320" s="7">
        <v>43657</v>
      </c>
      <c r="K320" s="1">
        <v>20</v>
      </c>
      <c r="L320" s="1" t="s">
        <v>102</v>
      </c>
      <c r="M320" s="1" t="s">
        <v>28</v>
      </c>
      <c r="N320" s="1" t="s">
        <v>84</v>
      </c>
      <c r="O320" s="1" t="s">
        <v>30</v>
      </c>
      <c r="P320" s="29">
        <v>42325</v>
      </c>
      <c r="Q320" s="1" t="s">
        <v>100</v>
      </c>
      <c r="R320" s="1">
        <v>10</v>
      </c>
      <c r="S320" s="1">
        <v>185</v>
      </c>
      <c r="T320" s="1">
        <v>26.4</v>
      </c>
      <c r="U320" s="1" t="s">
        <v>44</v>
      </c>
      <c r="V320" s="17" t="s">
        <v>33</v>
      </c>
    </row>
    <row r="321" spans="1:22" ht="15" customHeight="1" x14ac:dyDescent="0.25">
      <c r="A321" s="16" t="s">
        <v>767</v>
      </c>
      <c r="B321" s="3" t="s">
        <v>768</v>
      </c>
      <c r="C321">
        <v>54</v>
      </c>
      <c r="D321" s="3" t="s">
        <v>98</v>
      </c>
      <c r="E321" s="3" t="s">
        <v>48</v>
      </c>
      <c r="F321" s="3" t="s">
        <v>37</v>
      </c>
      <c r="G321" s="3" t="s">
        <v>38</v>
      </c>
      <c r="H321" s="3" t="s">
        <v>51</v>
      </c>
      <c r="I321" s="8">
        <v>44620</v>
      </c>
      <c r="J321" s="8">
        <v>44627</v>
      </c>
      <c r="K321" s="3">
        <v>7</v>
      </c>
      <c r="L321" s="3" t="s">
        <v>122</v>
      </c>
      <c r="M321" s="3" t="s">
        <v>40</v>
      </c>
      <c r="N321" s="3" t="s">
        <v>173</v>
      </c>
      <c r="O321" s="3" t="s">
        <v>104</v>
      </c>
      <c r="P321" s="30">
        <v>10381.77</v>
      </c>
      <c r="Q321" s="3" t="s">
        <v>43</v>
      </c>
      <c r="R321" s="3">
        <v>8</v>
      </c>
      <c r="S321" s="3">
        <v>185</v>
      </c>
      <c r="T321" s="3">
        <v>38.200000000000003</v>
      </c>
      <c r="U321" s="3" t="s">
        <v>44</v>
      </c>
      <c r="V321" s="18" t="s">
        <v>33</v>
      </c>
    </row>
    <row r="322" spans="1:22" ht="15" customHeight="1" x14ac:dyDescent="0.25">
      <c r="A322" s="15" t="s">
        <v>769</v>
      </c>
      <c r="B322" s="1" t="s">
        <v>770</v>
      </c>
      <c r="C322">
        <v>70</v>
      </c>
      <c r="D322" s="1" t="s">
        <v>82</v>
      </c>
      <c r="E322" s="1" t="s">
        <v>23</v>
      </c>
      <c r="F322" s="1" t="s">
        <v>76</v>
      </c>
      <c r="G322" s="1" t="s">
        <v>50</v>
      </c>
      <c r="H322" s="1" t="s">
        <v>26</v>
      </c>
      <c r="I322" s="7">
        <v>43623</v>
      </c>
      <c r="J322" s="7">
        <v>43627</v>
      </c>
      <c r="K322" s="1">
        <v>4</v>
      </c>
      <c r="L322" s="1" t="s">
        <v>27</v>
      </c>
      <c r="M322" s="1" t="s">
        <v>28</v>
      </c>
      <c r="N322" s="1" t="s">
        <v>54</v>
      </c>
      <c r="O322" s="1" t="s">
        <v>42</v>
      </c>
      <c r="P322" s="29">
        <v>211546</v>
      </c>
      <c r="Q322" s="1" t="s">
        <v>279</v>
      </c>
      <c r="R322" s="1">
        <v>7</v>
      </c>
      <c r="S322" s="1">
        <v>393</v>
      </c>
      <c r="T322" s="1">
        <v>28.3</v>
      </c>
      <c r="U322" s="1" t="s">
        <v>44</v>
      </c>
      <c r="V322" s="17" t="s">
        <v>33</v>
      </c>
    </row>
    <row r="323" spans="1:22" ht="15" customHeight="1" x14ac:dyDescent="0.25">
      <c r="A323" s="16" t="s">
        <v>771</v>
      </c>
      <c r="B323" s="3" t="s">
        <v>772</v>
      </c>
      <c r="C323">
        <v>58</v>
      </c>
      <c r="D323" s="3" t="s">
        <v>59</v>
      </c>
      <c r="E323" s="3" t="s">
        <v>23</v>
      </c>
      <c r="F323" s="3" t="s">
        <v>83</v>
      </c>
      <c r="G323" s="3" t="s">
        <v>77</v>
      </c>
      <c r="H323" s="3" t="s">
        <v>26</v>
      </c>
      <c r="I323" s="8">
        <v>44427</v>
      </c>
      <c r="J323" s="8">
        <v>44437</v>
      </c>
      <c r="K323" s="3">
        <v>10</v>
      </c>
      <c r="L323" s="3" t="s">
        <v>231</v>
      </c>
      <c r="M323" s="3" t="s">
        <v>53</v>
      </c>
      <c r="N323" s="3" t="s">
        <v>79</v>
      </c>
      <c r="O323" s="3" t="s">
        <v>42</v>
      </c>
      <c r="P323" s="30">
        <v>65161.83</v>
      </c>
      <c r="Q323" s="3" t="s">
        <v>181</v>
      </c>
      <c r="R323" s="3">
        <v>9</v>
      </c>
      <c r="S323" s="3">
        <v>357</v>
      </c>
      <c r="T323" s="3">
        <v>37.700000000000003</v>
      </c>
      <c r="U323" s="3" t="s">
        <v>44</v>
      </c>
      <c r="V323" s="18" t="s">
        <v>33</v>
      </c>
    </row>
    <row r="324" spans="1:22" ht="15" customHeight="1" x14ac:dyDescent="0.25">
      <c r="A324" s="15" t="s">
        <v>773</v>
      </c>
      <c r="B324" s="1" t="s">
        <v>774</v>
      </c>
      <c r="C324">
        <v>56</v>
      </c>
      <c r="D324" s="1" t="s">
        <v>59</v>
      </c>
      <c r="E324" s="1" t="s">
        <v>23</v>
      </c>
      <c r="F324" s="1" t="s">
        <v>83</v>
      </c>
      <c r="G324" s="1" t="s">
        <v>38</v>
      </c>
      <c r="H324" s="1" t="s">
        <v>51</v>
      </c>
      <c r="I324" s="7">
        <v>44427</v>
      </c>
      <c r="J324" s="7">
        <v>44430</v>
      </c>
      <c r="K324" s="1">
        <v>3</v>
      </c>
      <c r="L324" s="1" t="s">
        <v>132</v>
      </c>
      <c r="M324" s="1" t="s">
        <v>53</v>
      </c>
      <c r="N324" s="1" t="s">
        <v>203</v>
      </c>
      <c r="O324" s="1" t="s">
        <v>55</v>
      </c>
      <c r="P324" s="29">
        <v>16978.29</v>
      </c>
      <c r="Q324" s="1" t="s">
        <v>437</v>
      </c>
      <c r="R324" s="1">
        <v>8</v>
      </c>
      <c r="S324" s="1">
        <v>139</v>
      </c>
      <c r="T324" s="1">
        <v>19.3</v>
      </c>
      <c r="U324" s="1" t="s">
        <v>44</v>
      </c>
      <c r="V324" s="17" t="s">
        <v>33</v>
      </c>
    </row>
    <row r="325" spans="1:22" ht="15" customHeight="1" x14ac:dyDescent="0.25">
      <c r="A325" s="16" t="s">
        <v>775</v>
      </c>
      <c r="B325" s="3" t="s">
        <v>776</v>
      </c>
      <c r="C325">
        <v>66</v>
      </c>
      <c r="D325" s="3" t="s">
        <v>82</v>
      </c>
      <c r="E325" s="3" t="s">
        <v>48</v>
      </c>
      <c r="F325" s="3" t="s">
        <v>70</v>
      </c>
      <c r="G325" s="3" t="s">
        <v>417</v>
      </c>
      <c r="H325" s="3" t="s">
        <v>26</v>
      </c>
      <c r="I325" s="8">
        <v>44831</v>
      </c>
      <c r="J325" s="8">
        <v>44836</v>
      </c>
      <c r="K325" s="3">
        <v>5</v>
      </c>
      <c r="L325" s="3" t="s">
        <v>122</v>
      </c>
      <c r="M325" s="3" t="s">
        <v>40</v>
      </c>
      <c r="N325" s="3" t="s">
        <v>173</v>
      </c>
      <c r="O325" s="3" t="s">
        <v>66</v>
      </c>
      <c r="P325" s="30">
        <v>40720.959999999999</v>
      </c>
      <c r="Q325" s="3" t="s">
        <v>236</v>
      </c>
      <c r="R325" s="3">
        <v>5</v>
      </c>
      <c r="S325" s="3">
        <v>227</v>
      </c>
      <c r="T325" s="3">
        <v>27.5</v>
      </c>
      <c r="U325" s="3" t="s">
        <v>44</v>
      </c>
      <c r="V325" s="18" t="s">
        <v>45</v>
      </c>
    </row>
    <row r="326" spans="1:22" ht="15" customHeight="1" x14ac:dyDescent="0.25">
      <c r="A326" s="15" t="s">
        <v>777</v>
      </c>
      <c r="B326" s="1" t="s">
        <v>778</v>
      </c>
      <c r="C326">
        <v>47</v>
      </c>
      <c r="D326" s="1" t="s">
        <v>98</v>
      </c>
      <c r="E326" s="1" t="s">
        <v>48</v>
      </c>
      <c r="F326" s="1" t="s">
        <v>70</v>
      </c>
      <c r="G326" s="1" t="s">
        <v>60</v>
      </c>
      <c r="H326" s="1" t="s">
        <v>26</v>
      </c>
      <c r="I326" s="6">
        <v>44581</v>
      </c>
      <c r="J326" s="7">
        <v>44601</v>
      </c>
      <c r="K326" s="1">
        <v>20</v>
      </c>
      <c r="L326" s="1" t="s">
        <v>122</v>
      </c>
      <c r="M326" s="1" t="s">
        <v>40</v>
      </c>
      <c r="N326" s="1" t="s">
        <v>103</v>
      </c>
      <c r="O326" s="1" t="s">
        <v>30</v>
      </c>
      <c r="P326" s="29">
        <v>22347.95</v>
      </c>
      <c r="Q326" s="1" t="s">
        <v>62</v>
      </c>
      <c r="R326" s="1">
        <v>6</v>
      </c>
      <c r="S326" s="1">
        <v>259</v>
      </c>
      <c r="T326" s="1">
        <v>30.6</v>
      </c>
      <c r="U326" s="1" t="s">
        <v>32</v>
      </c>
      <c r="V326" s="17" t="s">
        <v>45</v>
      </c>
    </row>
    <row r="327" spans="1:22" ht="15" customHeight="1" x14ac:dyDescent="0.25">
      <c r="A327" s="16" t="s">
        <v>779</v>
      </c>
      <c r="B327" s="3" t="s">
        <v>780</v>
      </c>
      <c r="C327">
        <v>56</v>
      </c>
      <c r="D327" s="3" t="s">
        <v>59</v>
      </c>
      <c r="E327" s="3" t="s">
        <v>23</v>
      </c>
      <c r="F327" s="3" t="s">
        <v>99</v>
      </c>
      <c r="G327" s="3" t="s">
        <v>131</v>
      </c>
      <c r="H327" s="3" t="s">
        <v>26</v>
      </c>
      <c r="I327" s="8">
        <v>45277</v>
      </c>
      <c r="J327" s="8">
        <v>45285</v>
      </c>
      <c r="K327" s="3">
        <v>8</v>
      </c>
      <c r="L327" s="3" t="s">
        <v>185</v>
      </c>
      <c r="M327" s="3" t="s">
        <v>186</v>
      </c>
      <c r="N327" s="3" t="s">
        <v>157</v>
      </c>
      <c r="O327" s="3" t="s">
        <v>30</v>
      </c>
      <c r="P327" s="30">
        <v>28745.97</v>
      </c>
      <c r="Q327" s="3" t="s">
        <v>266</v>
      </c>
      <c r="R327" s="3">
        <v>7</v>
      </c>
      <c r="S327" s="3">
        <v>310</v>
      </c>
      <c r="T327" s="3">
        <v>27.3</v>
      </c>
      <c r="U327" s="3" t="s">
        <v>44</v>
      </c>
      <c r="V327" s="18" t="s">
        <v>33</v>
      </c>
    </row>
    <row r="328" spans="1:22" ht="15" customHeight="1" x14ac:dyDescent="0.25">
      <c r="A328" s="15" t="s">
        <v>781</v>
      </c>
      <c r="B328" s="1" t="s">
        <v>218</v>
      </c>
      <c r="C328">
        <v>39</v>
      </c>
      <c r="D328" s="1" t="s">
        <v>98</v>
      </c>
      <c r="E328" s="1" t="s">
        <v>23</v>
      </c>
      <c r="F328" s="1" t="s">
        <v>49</v>
      </c>
      <c r="G328" s="1" t="s">
        <v>417</v>
      </c>
      <c r="H328" s="1" t="s">
        <v>26</v>
      </c>
      <c r="I328" s="7">
        <v>44741</v>
      </c>
      <c r="J328" s="7">
        <v>44753</v>
      </c>
      <c r="K328" s="1">
        <v>12</v>
      </c>
      <c r="L328" s="1" t="s">
        <v>52</v>
      </c>
      <c r="M328" s="1" t="s">
        <v>53</v>
      </c>
      <c r="N328" s="1" t="s">
        <v>41</v>
      </c>
      <c r="O328" s="1" t="s">
        <v>42</v>
      </c>
      <c r="P328" s="29">
        <v>35086.51</v>
      </c>
      <c r="Q328" s="1" t="s">
        <v>119</v>
      </c>
      <c r="R328" s="1">
        <v>8</v>
      </c>
      <c r="S328" s="1">
        <v>458</v>
      </c>
      <c r="T328" s="1">
        <v>27.9</v>
      </c>
      <c r="U328" s="1" t="s">
        <v>44</v>
      </c>
      <c r="V328" s="17" t="s">
        <v>33</v>
      </c>
    </row>
    <row r="329" spans="1:22" ht="15" customHeight="1" x14ac:dyDescent="0.25">
      <c r="A329" s="16" t="s">
        <v>782</v>
      </c>
      <c r="B329" s="3" t="s">
        <v>783</v>
      </c>
      <c r="C329">
        <v>41</v>
      </c>
      <c r="D329" s="3" t="s">
        <v>98</v>
      </c>
      <c r="E329" s="3" t="s">
        <v>23</v>
      </c>
      <c r="F329" s="3" t="s">
        <v>24</v>
      </c>
      <c r="G329" s="3" t="s">
        <v>38</v>
      </c>
      <c r="H329" s="3" t="s">
        <v>51</v>
      </c>
      <c r="I329" s="8">
        <v>45178</v>
      </c>
      <c r="J329" s="8">
        <v>45182</v>
      </c>
      <c r="K329" s="3">
        <v>4</v>
      </c>
      <c r="L329" s="3" t="s">
        <v>132</v>
      </c>
      <c r="M329" s="3" t="s">
        <v>53</v>
      </c>
      <c r="N329" s="3" t="s">
        <v>41</v>
      </c>
      <c r="O329" s="3" t="s">
        <v>30</v>
      </c>
      <c r="P329" s="30">
        <v>13395.75</v>
      </c>
      <c r="Q329" s="3" t="s">
        <v>567</v>
      </c>
      <c r="R329" s="3">
        <v>6</v>
      </c>
      <c r="S329" s="3">
        <v>160</v>
      </c>
      <c r="T329" s="3">
        <v>38.5</v>
      </c>
      <c r="U329" s="3" t="s">
        <v>44</v>
      </c>
      <c r="V329" s="18" t="s">
        <v>33</v>
      </c>
    </row>
    <row r="330" spans="1:22" ht="15" customHeight="1" x14ac:dyDescent="0.25">
      <c r="A330" s="15" t="s">
        <v>784</v>
      </c>
      <c r="B330" s="1" t="s">
        <v>785</v>
      </c>
      <c r="C330">
        <v>79</v>
      </c>
      <c r="D330" s="1" t="s">
        <v>36</v>
      </c>
      <c r="E330" s="1" t="s">
        <v>23</v>
      </c>
      <c r="F330" s="1" t="s">
        <v>70</v>
      </c>
      <c r="G330" s="1" t="s">
        <v>163</v>
      </c>
      <c r="H330" s="1" t="s">
        <v>51</v>
      </c>
      <c r="I330" s="6">
        <v>44379</v>
      </c>
      <c r="J330" s="7">
        <v>44237</v>
      </c>
      <c r="K330" s="1">
        <v>3</v>
      </c>
      <c r="L330" s="1" t="s">
        <v>112</v>
      </c>
      <c r="M330" s="1" t="s">
        <v>40</v>
      </c>
      <c r="N330" s="1" t="s">
        <v>213</v>
      </c>
      <c r="O330" s="1" t="s">
        <v>30</v>
      </c>
      <c r="P330" s="29">
        <v>29038.7</v>
      </c>
      <c r="Q330" s="1" t="s">
        <v>257</v>
      </c>
      <c r="R330" s="1">
        <v>5</v>
      </c>
      <c r="S330" s="1">
        <v>147</v>
      </c>
      <c r="T330" s="1">
        <v>28.4</v>
      </c>
      <c r="U330" s="1" t="s">
        <v>32</v>
      </c>
      <c r="V330" s="17" t="s">
        <v>45</v>
      </c>
    </row>
    <row r="331" spans="1:22" ht="15" customHeight="1" x14ac:dyDescent="0.25">
      <c r="A331" s="16" t="s">
        <v>786</v>
      </c>
      <c r="B331" s="3" t="s">
        <v>787</v>
      </c>
      <c r="C331">
        <v>66</v>
      </c>
      <c r="D331" s="3" t="s">
        <v>82</v>
      </c>
      <c r="E331" s="3" t="s">
        <v>48</v>
      </c>
      <c r="F331" s="3" t="s">
        <v>37</v>
      </c>
      <c r="G331" s="3" t="s">
        <v>25</v>
      </c>
      <c r="H331" s="3" t="s">
        <v>51</v>
      </c>
      <c r="I331" s="8">
        <v>45034</v>
      </c>
      <c r="J331" s="8">
        <v>45040</v>
      </c>
      <c r="K331" s="3">
        <v>6</v>
      </c>
      <c r="L331" s="3" t="s">
        <v>89</v>
      </c>
      <c r="M331" s="3" t="s">
        <v>90</v>
      </c>
      <c r="N331" s="3" t="s">
        <v>29</v>
      </c>
      <c r="O331" s="3" t="s">
        <v>42</v>
      </c>
      <c r="P331" s="30">
        <v>28286.69</v>
      </c>
      <c r="Q331" s="3" t="s">
        <v>310</v>
      </c>
      <c r="R331" s="3">
        <v>11</v>
      </c>
      <c r="S331" s="3">
        <v>141</v>
      </c>
      <c r="T331" s="3">
        <v>17.600000000000001</v>
      </c>
      <c r="U331" s="3" t="s">
        <v>44</v>
      </c>
      <c r="V331" s="18" t="s">
        <v>33</v>
      </c>
    </row>
    <row r="332" spans="1:22" ht="15" customHeight="1" x14ac:dyDescent="0.25">
      <c r="A332" s="15" t="s">
        <v>788</v>
      </c>
      <c r="B332" s="1" t="s">
        <v>789</v>
      </c>
      <c r="C332">
        <v>62</v>
      </c>
      <c r="D332" s="1" t="s">
        <v>59</v>
      </c>
      <c r="E332" s="1" t="s">
        <v>23</v>
      </c>
      <c r="F332" s="1" t="s">
        <v>70</v>
      </c>
      <c r="G332" s="1" t="s">
        <v>50</v>
      </c>
      <c r="H332" s="1" t="s">
        <v>26</v>
      </c>
      <c r="I332" s="6">
        <v>44742</v>
      </c>
      <c r="J332" s="7">
        <v>44756</v>
      </c>
      <c r="K332" s="1">
        <v>14</v>
      </c>
      <c r="L332" s="1" t="s">
        <v>102</v>
      </c>
      <c r="M332" s="1" t="s">
        <v>28</v>
      </c>
      <c r="N332" s="1" t="s">
        <v>54</v>
      </c>
      <c r="O332" s="1" t="s">
        <v>104</v>
      </c>
      <c r="P332" s="29">
        <v>24640.98</v>
      </c>
      <c r="Q332" s="1" t="s">
        <v>85</v>
      </c>
      <c r="R332" s="1">
        <v>9</v>
      </c>
      <c r="S332" s="1">
        <v>303</v>
      </c>
      <c r="T332" s="1">
        <v>16.899999999999999</v>
      </c>
      <c r="U332" s="1" t="s">
        <v>86</v>
      </c>
      <c r="V332" s="17" t="s">
        <v>33</v>
      </c>
    </row>
    <row r="333" spans="1:22" ht="15" customHeight="1" x14ac:dyDescent="0.25">
      <c r="A333" s="16" t="s">
        <v>790</v>
      </c>
      <c r="B333" s="3" t="s">
        <v>791</v>
      </c>
      <c r="C333">
        <v>64</v>
      </c>
      <c r="D333" s="3" t="s">
        <v>59</v>
      </c>
      <c r="E333" s="3" t="s">
        <v>48</v>
      </c>
      <c r="F333" s="3" t="s">
        <v>155</v>
      </c>
      <c r="G333" s="3" t="s">
        <v>131</v>
      </c>
      <c r="H333" s="3" t="s">
        <v>26</v>
      </c>
      <c r="I333" s="8">
        <v>44751</v>
      </c>
      <c r="J333" s="8">
        <v>44817</v>
      </c>
      <c r="K333" s="3">
        <v>6</v>
      </c>
      <c r="L333" s="3" t="s">
        <v>122</v>
      </c>
      <c r="M333" s="3" t="s">
        <v>40</v>
      </c>
      <c r="N333" s="3" t="s">
        <v>133</v>
      </c>
      <c r="O333" s="3" t="s">
        <v>30</v>
      </c>
      <c r="P333" s="30">
        <v>54655</v>
      </c>
      <c r="Q333" s="3" t="s">
        <v>148</v>
      </c>
      <c r="R333" s="3">
        <v>7</v>
      </c>
      <c r="S333" s="3">
        <v>391</v>
      </c>
      <c r="T333" s="3">
        <v>34.700000000000003</v>
      </c>
      <c r="U333" s="3" t="s">
        <v>86</v>
      </c>
      <c r="V333" s="18" t="s">
        <v>33</v>
      </c>
    </row>
    <row r="334" spans="1:22" ht="15" customHeight="1" x14ac:dyDescent="0.25">
      <c r="A334" s="15" t="s">
        <v>792</v>
      </c>
      <c r="B334" s="2" t="s">
        <v>3585</v>
      </c>
      <c r="C334">
        <v>63</v>
      </c>
      <c r="D334" s="1" t="s">
        <v>59</v>
      </c>
      <c r="E334" s="1" t="s">
        <v>48</v>
      </c>
      <c r="F334" s="1" t="s">
        <v>37</v>
      </c>
      <c r="G334" s="1" t="s">
        <v>38</v>
      </c>
      <c r="H334" s="1" t="s">
        <v>78</v>
      </c>
      <c r="I334" s="7">
        <v>43628</v>
      </c>
      <c r="J334" s="7">
        <v>43809</v>
      </c>
      <c r="K334" s="1">
        <v>4</v>
      </c>
      <c r="L334" s="1" t="s">
        <v>112</v>
      </c>
      <c r="M334" s="1" t="s">
        <v>40</v>
      </c>
      <c r="N334" s="1" t="s">
        <v>173</v>
      </c>
      <c r="O334" s="1" t="s">
        <v>42</v>
      </c>
      <c r="P334" s="29">
        <v>11647.1</v>
      </c>
      <c r="Q334" s="1" t="s">
        <v>236</v>
      </c>
      <c r="R334" s="1">
        <v>8</v>
      </c>
      <c r="S334" s="1">
        <v>469</v>
      </c>
      <c r="T334" s="1">
        <v>26.4</v>
      </c>
      <c r="U334" s="1" t="s">
        <v>32</v>
      </c>
      <c r="V334" s="17" t="s">
        <v>33</v>
      </c>
    </row>
    <row r="335" spans="1:22" ht="15" customHeight="1" x14ac:dyDescent="0.25">
      <c r="A335" s="16" t="s">
        <v>793</v>
      </c>
      <c r="B335" s="3" t="s">
        <v>794</v>
      </c>
      <c r="C335">
        <v>76</v>
      </c>
      <c r="D335" s="3" t="s">
        <v>36</v>
      </c>
      <c r="E335" s="3" t="s">
        <v>23</v>
      </c>
      <c r="F335" s="3" t="s">
        <v>49</v>
      </c>
      <c r="G335" s="3" t="s">
        <v>38</v>
      </c>
      <c r="H335" s="3" t="s">
        <v>51</v>
      </c>
      <c r="I335" s="8">
        <v>45024</v>
      </c>
      <c r="J335" s="8">
        <v>45146</v>
      </c>
      <c r="K335" s="3">
        <v>4</v>
      </c>
      <c r="L335" s="3" t="s">
        <v>185</v>
      </c>
      <c r="M335" s="3" t="s">
        <v>186</v>
      </c>
      <c r="N335" s="3" t="s">
        <v>173</v>
      </c>
      <c r="O335" s="3" t="s">
        <v>30</v>
      </c>
      <c r="P335" s="30">
        <v>14377.25</v>
      </c>
      <c r="Q335" s="3" t="s">
        <v>119</v>
      </c>
      <c r="R335" s="3">
        <v>7</v>
      </c>
      <c r="S335" s="3">
        <v>180</v>
      </c>
      <c r="T335" s="3">
        <v>22.2</v>
      </c>
      <c r="U335" s="3" t="s">
        <v>44</v>
      </c>
      <c r="V335" s="18" t="s">
        <v>33</v>
      </c>
    </row>
    <row r="336" spans="1:22" ht="15" customHeight="1" x14ac:dyDescent="0.25">
      <c r="A336" s="15" t="s">
        <v>795</v>
      </c>
      <c r="B336" s="1" t="s">
        <v>796</v>
      </c>
      <c r="C336">
        <v>56</v>
      </c>
      <c r="D336" s="1" t="s">
        <v>59</v>
      </c>
      <c r="E336" s="1" t="s">
        <v>48</v>
      </c>
      <c r="F336" s="1" t="s">
        <v>76</v>
      </c>
      <c r="G336" s="1" t="s">
        <v>77</v>
      </c>
      <c r="H336" s="1" t="s">
        <v>26</v>
      </c>
      <c r="I336" s="7">
        <v>44641</v>
      </c>
      <c r="J336" s="7">
        <v>44648</v>
      </c>
      <c r="K336" s="1">
        <v>7</v>
      </c>
      <c r="L336" s="1" t="s">
        <v>231</v>
      </c>
      <c r="M336" s="1" t="s">
        <v>53</v>
      </c>
      <c r="N336" s="1" t="s">
        <v>94</v>
      </c>
      <c r="O336" s="1" t="s">
        <v>42</v>
      </c>
      <c r="P336" s="29">
        <v>123379.15</v>
      </c>
      <c r="Q336" s="1" t="s">
        <v>80</v>
      </c>
      <c r="R336" s="1">
        <v>10</v>
      </c>
      <c r="S336" s="1">
        <v>304</v>
      </c>
      <c r="T336" s="1">
        <v>25.7</v>
      </c>
      <c r="U336" s="1" t="s">
        <v>44</v>
      </c>
      <c r="V336" s="17" t="s">
        <v>33</v>
      </c>
    </row>
    <row r="337" spans="1:22" ht="15" customHeight="1" x14ac:dyDescent="0.25">
      <c r="A337" s="16" t="s">
        <v>797</v>
      </c>
      <c r="B337" s="3" t="s">
        <v>798</v>
      </c>
      <c r="C337">
        <v>88</v>
      </c>
      <c r="D337" s="3" t="s">
        <v>36</v>
      </c>
      <c r="E337" s="3" t="s">
        <v>23</v>
      </c>
      <c r="F337" s="3" t="s">
        <v>49</v>
      </c>
      <c r="G337" s="3" t="s">
        <v>25</v>
      </c>
      <c r="H337" s="3" t="s">
        <v>51</v>
      </c>
      <c r="I337" s="8">
        <v>45568</v>
      </c>
      <c r="J337" s="8">
        <v>45578</v>
      </c>
      <c r="K337" s="3">
        <v>10</v>
      </c>
      <c r="L337" s="3" t="s">
        <v>27</v>
      </c>
      <c r="M337" s="3" t="s">
        <v>28</v>
      </c>
      <c r="N337" s="3" t="s">
        <v>65</v>
      </c>
      <c r="O337" s="3" t="s">
        <v>42</v>
      </c>
      <c r="P337" s="30">
        <v>93087</v>
      </c>
      <c r="Q337" s="3" t="s">
        <v>706</v>
      </c>
      <c r="R337" s="3">
        <v>11</v>
      </c>
      <c r="S337" s="3">
        <v>160</v>
      </c>
      <c r="T337" s="3">
        <v>20</v>
      </c>
      <c r="U337" s="3" t="s">
        <v>44</v>
      </c>
      <c r="V337" s="18" t="s">
        <v>33</v>
      </c>
    </row>
    <row r="338" spans="1:22" ht="15" customHeight="1" x14ac:dyDescent="0.25">
      <c r="A338" s="15" t="s">
        <v>799</v>
      </c>
      <c r="B338" s="1" t="s">
        <v>800</v>
      </c>
      <c r="C338">
        <v>62</v>
      </c>
      <c r="D338" s="1" t="s">
        <v>59</v>
      </c>
      <c r="E338" s="1" t="s">
        <v>48</v>
      </c>
      <c r="F338" s="1" t="s">
        <v>83</v>
      </c>
      <c r="G338" s="1" t="s">
        <v>71</v>
      </c>
      <c r="H338" s="1" t="s">
        <v>78</v>
      </c>
      <c r="I338" s="7">
        <v>45405</v>
      </c>
      <c r="J338" s="7">
        <v>45408</v>
      </c>
      <c r="K338" s="1">
        <v>3</v>
      </c>
      <c r="L338" s="1" t="s">
        <v>132</v>
      </c>
      <c r="M338" s="1" t="s">
        <v>53</v>
      </c>
      <c r="N338" s="1" t="s">
        <v>177</v>
      </c>
      <c r="O338" s="1" t="s">
        <v>42</v>
      </c>
      <c r="P338" s="29">
        <v>25442.57</v>
      </c>
      <c r="Q338" s="1" t="s">
        <v>374</v>
      </c>
      <c r="R338" s="1">
        <v>5</v>
      </c>
      <c r="S338" s="1">
        <v>484</v>
      </c>
      <c r="T338" s="1">
        <v>31.8</v>
      </c>
      <c r="U338" s="1" t="s">
        <v>86</v>
      </c>
      <c r="V338" s="17" t="s">
        <v>33</v>
      </c>
    </row>
    <row r="339" spans="1:22" ht="15" customHeight="1" x14ac:dyDescent="0.25">
      <c r="A339" s="16" t="s">
        <v>801</v>
      </c>
      <c r="B339" s="3" t="s">
        <v>802</v>
      </c>
      <c r="C339">
        <v>22</v>
      </c>
      <c r="D339" s="3" t="s">
        <v>47</v>
      </c>
      <c r="E339" s="3" t="s">
        <v>48</v>
      </c>
      <c r="F339" s="3" t="s">
        <v>83</v>
      </c>
      <c r="G339" s="3" t="s">
        <v>77</v>
      </c>
      <c r="H339" s="3" t="s">
        <v>26</v>
      </c>
      <c r="I339" s="6">
        <v>44222</v>
      </c>
      <c r="J339" s="8">
        <v>44257</v>
      </c>
      <c r="K339" s="3">
        <v>8</v>
      </c>
      <c r="L339" s="3" t="s">
        <v>122</v>
      </c>
      <c r="M339" s="3" t="s">
        <v>40</v>
      </c>
      <c r="N339" s="3" t="s">
        <v>94</v>
      </c>
      <c r="O339" s="3" t="s">
        <v>42</v>
      </c>
      <c r="P339" s="30">
        <v>31158.92</v>
      </c>
      <c r="Q339" s="3" t="s">
        <v>85</v>
      </c>
      <c r="R339" s="3">
        <v>9</v>
      </c>
      <c r="S339" s="3">
        <v>359</v>
      </c>
      <c r="T339" s="3">
        <v>35.799999999999997</v>
      </c>
      <c r="U339" s="3" t="s">
        <v>44</v>
      </c>
      <c r="V339" s="18" t="s">
        <v>33</v>
      </c>
    </row>
    <row r="340" spans="1:22" ht="15" customHeight="1" x14ac:dyDescent="0.25">
      <c r="A340" s="15" t="s">
        <v>803</v>
      </c>
      <c r="B340" s="1" t="s">
        <v>804</v>
      </c>
      <c r="C340">
        <v>67</v>
      </c>
      <c r="D340" s="1" t="s">
        <v>82</v>
      </c>
      <c r="E340" s="1" t="s">
        <v>23</v>
      </c>
      <c r="F340" s="1" t="s">
        <v>24</v>
      </c>
      <c r="G340" s="1" t="s">
        <v>77</v>
      </c>
      <c r="H340" s="1" t="s">
        <v>26</v>
      </c>
      <c r="I340" s="7">
        <v>43576</v>
      </c>
      <c r="J340" s="7">
        <v>43583</v>
      </c>
      <c r="K340" s="1">
        <v>7</v>
      </c>
      <c r="L340" s="1" t="s">
        <v>102</v>
      </c>
      <c r="M340" s="1" t="s">
        <v>28</v>
      </c>
      <c r="N340" s="1" t="s">
        <v>84</v>
      </c>
      <c r="O340" s="1" t="s">
        <v>42</v>
      </c>
      <c r="P340" s="29">
        <v>185573.78</v>
      </c>
      <c r="Q340" s="1" t="s">
        <v>123</v>
      </c>
      <c r="R340" s="1">
        <v>8</v>
      </c>
      <c r="S340" s="1">
        <v>336</v>
      </c>
      <c r="T340" s="1">
        <v>31.5</v>
      </c>
      <c r="U340" s="1" t="s">
        <v>44</v>
      </c>
      <c r="V340" s="17" t="s">
        <v>45</v>
      </c>
    </row>
    <row r="341" spans="1:22" ht="15" customHeight="1" x14ac:dyDescent="0.25">
      <c r="A341" s="16" t="s">
        <v>805</v>
      </c>
      <c r="B341" s="3" t="s">
        <v>806</v>
      </c>
      <c r="C341">
        <v>80</v>
      </c>
      <c r="D341" s="3" t="s">
        <v>36</v>
      </c>
      <c r="E341" s="3" t="s">
        <v>23</v>
      </c>
      <c r="F341" s="3" t="s">
        <v>76</v>
      </c>
      <c r="G341" s="3" t="s">
        <v>131</v>
      </c>
      <c r="H341" s="3" t="s">
        <v>51</v>
      </c>
      <c r="I341" s="8">
        <v>43516</v>
      </c>
      <c r="J341" s="8">
        <v>43520</v>
      </c>
      <c r="K341" s="3">
        <v>4</v>
      </c>
      <c r="L341" s="3" t="s">
        <v>185</v>
      </c>
      <c r="M341" s="3" t="s">
        <v>186</v>
      </c>
      <c r="N341" s="3" t="s">
        <v>147</v>
      </c>
      <c r="O341" s="3" t="s">
        <v>104</v>
      </c>
      <c r="P341" s="30">
        <v>23409.77</v>
      </c>
      <c r="Q341" s="3" t="s">
        <v>291</v>
      </c>
      <c r="R341" s="3">
        <v>7</v>
      </c>
      <c r="S341" s="3">
        <v>191</v>
      </c>
      <c r="T341" s="3">
        <v>29.4</v>
      </c>
      <c r="U341" s="3" t="s">
        <v>32</v>
      </c>
      <c r="V341" s="18" t="s">
        <v>33</v>
      </c>
    </row>
    <row r="342" spans="1:22" ht="15" customHeight="1" x14ac:dyDescent="0.25">
      <c r="A342" s="15" t="s">
        <v>807</v>
      </c>
      <c r="B342" s="2" t="s">
        <v>3586</v>
      </c>
      <c r="C342">
        <v>92</v>
      </c>
      <c r="D342" s="1" t="s">
        <v>36</v>
      </c>
      <c r="E342" s="1" t="s">
        <v>48</v>
      </c>
      <c r="F342" s="1" t="s">
        <v>155</v>
      </c>
      <c r="G342" s="1" t="s">
        <v>50</v>
      </c>
      <c r="H342" s="1" t="s">
        <v>51</v>
      </c>
      <c r="I342" s="7">
        <v>45329</v>
      </c>
      <c r="J342" s="7">
        <v>45337</v>
      </c>
      <c r="K342" s="1">
        <v>8</v>
      </c>
      <c r="L342" s="1" t="s">
        <v>52</v>
      </c>
      <c r="M342" s="1" t="s">
        <v>53</v>
      </c>
      <c r="N342" s="1" t="s">
        <v>116</v>
      </c>
      <c r="O342" s="1" t="s">
        <v>30</v>
      </c>
      <c r="P342" s="29">
        <v>31635.71</v>
      </c>
      <c r="Q342" s="1" t="s">
        <v>279</v>
      </c>
      <c r="R342" s="1">
        <v>9</v>
      </c>
      <c r="S342" s="1">
        <v>193</v>
      </c>
      <c r="T342" s="1">
        <v>25</v>
      </c>
      <c r="U342" s="1" t="s">
        <v>44</v>
      </c>
      <c r="V342" s="17" t="s">
        <v>45</v>
      </c>
    </row>
    <row r="343" spans="1:22" ht="15" customHeight="1" x14ac:dyDescent="0.25">
      <c r="A343" s="16" t="s">
        <v>808</v>
      </c>
      <c r="B343" s="3" t="s">
        <v>809</v>
      </c>
      <c r="C343">
        <v>22</v>
      </c>
      <c r="D343" s="3" t="s">
        <v>47</v>
      </c>
      <c r="E343" s="3" t="s">
        <v>48</v>
      </c>
      <c r="F343" s="3" t="s">
        <v>155</v>
      </c>
      <c r="G343" s="3" t="s">
        <v>77</v>
      </c>
      <c r="H343" s="3" t="s">
        <v>51</v>
      </c>
      <c r="I343" s="6">
        <v>45610</v>
      </c>
      <c r="J343" s="8">
        <v>45617</v>
      </c>
      <c r="K343" s="3">
        <v>7</v>
      </c>
      <c r="L343" s="3" t="s">
        <v>132</v>
      </c>
      <c r="M343" s="3" t="s">
        <v>53</v>
      </c>
      <c r="N343" s="3" t="s">
        <v>94</v>
      </c>
      <c r="O343" s="3" t="s">
        <v>42</v>
      </c>
      <c r="P343" s="30">
        <v>67759</v>
      </c>
      <c r="Q343" s="3" t="s">
        <v>85</v>
      </c>
      <c r="R343" s="3">
        <v>7</v>
      </c>
      <c r="S343" s="3">
        <v>183</v>
      </c>
      <c r="T343" s="3">
        <v>30</v>
      </c>
      <c r="U343" s="3" t="s">
        <v>86</v>
      </c>
      <c r="V343" s="18" t="s">
        <v>33</v>
      </c>
    </row>
    <row r="344" spans="1:22" ht="15" customHeight="1" x14ac:dyDescent="0.25">
      <c r="A344" s="15" t="s">
        <v>810</v>
      </c>
      <c r="B344" s="1" t="s">
        <v>811</v>
      </c>
      <c r="C344">
        <v>74</v>
      </c>
      <c r="D344" s="1" t="s">
        <v>82</v>
      </c>
      <c r="E344" s="1" t="s">
        <v>23</v>
      </c>
      <c r="F344" s="1" t="s">
        <v>24</v>
      </c>
      <c r="G344" s="1" t="s">
        <v>60</v>
      </c>
      <c r="H344" s="1" t="s">
        <v>51</v>
      </c>
      <c r="I344" s="6">
        <v>45255</v>
      </c>
      <c r="J344" s="7">
        <v>45258</v>
      </c>
      <c r="K344" s="1">
        <v>3</v>
      </c>
      <c r="L344" s="1" t="s">
        <v>231</v>
      </c>
      <c r="M344" s="1" t="s">
        <v>53</v>
      </c>
      <c r="N344" s="1" t="s">
        <v>61</v>
      </c>
      <c r="O344" s="1" t="s">
        <v>42</v>
      </c>
      <c r="P344" s="29">
        <v>34216.85</v>
      </c>
      <c r="Q344" s="1" t="s">
        <v>511</v>
      </c>
      <c r="R344" s="1">
        <v>6</v>
      </c>
      <c r="S344" s="1">
        <v>102</v>
      </c>
      <c r="T344" s="1">
        <v>23.6</v>
      </c>
      <c r="U344" s="1" t="s">
        <v>32</v>
      </c>
      <c r="V344" s="17" t="s">
        <v>45</v>
      </c>
    </row>
    <row r="345" spans="1:22" ht="15" customHeight="1" x14ac:dyDescent="0.25">
      <c r="A345" s="16" t="s">
        <v>812</v>
      </c>
      <c r="B345" s="3" t="s">
        <v>813</v>
      </c>
      <c r="C345">
        <v>72</v>
      </c>
      <c r="D345" s="3" t="s">
        <v>82</v>
      </c>
      <c r="E345" s="3" t="s">
        <v>48</v>
      </c>
      <c r="F345" s="3" t="s">
        <v>24</v>
      </c>
      <c r="G345" s="3" t="s">
        <v>163</v>
      </c>
      <c r="H345" s="3" t="s">
        <v>51</v>
      </c>
      <c r="I345" s="6">
        <v>45286</v>
      </c>
      <c r="J345" s="8">
        <v>45290</v>
      </c>
      <c r="K345" s="3">
        <v>4</v>
      </c>
      <c r="L345" s="3" t="s">
        <v>27</v>
      </c>
      <c r="M345" s="3" t="s">
        <v>28</v>
      </c>
      <c r="N345" s="3" t="s">
        <v>213</v>
      </c>
      <c r="O345" s="3" t="s">
        <v>30</v>
      </c>
      <c r="P345" s="30">
        <v>22835.11</v>
      </c>
      <c r="Q345" s="3" t="s">
        <v>234</v>
      </c>
      <c r="R345" s="3">
        <v>4</v>
      </c>
      <c r="S345" s="3">
        <v>157</v>
      </c>
      <c r="T345" s="3">
        <v>25.8</v>
      </c>
      <c r="U345" s="3" t="s">
        <v>32</v>
      </c>
      <c r="V345" s="18" t="s">
        <v>33</v>
      </c>
    </row>
    <row r="346" spans="1:22" ht="15" customHeight="1" x14ac:dyDescent="0.25">
      <c r="A346" s="15" t="s">
        <v>814</v>
      </c>
      <c r="B346" s="1" t="s">
        <v>815</v>
      </c>
      <c r="C346">
        <v>61</v>
      </c>
      <c r="D346" s="1" t="s">
        <v>59</v>
      </c>
      <c r="E346" s="1" t="s">
        <v>23</v>
      </c>
      <c r="F346" s="1" t="s">
        <v>24</v>
      </c>
      <c r="G346" s="1" t="s">
        <v>77</v>
      </c>
      <c r="H346" s="1" t="s">
        <v>26</v>
      </c>
      <c r="I346" s="7">
        <v>43971</v>
      </c>
      <c r="J346" s="7">
        <v>43977</v>
      </c>
      <c r="K346" s="1">
        <v>6</v>
      </c>
      <c r="L346" s="1" t="s">
        <v>132</v>
      </c>
      <c r="M346" s="1" t="s">
        <v>53</v>
      </c>
      <c r="N346" s="1" t="s">
        <v>94</v>
      </c>
      <c r="O346" s="1" t="s">
        <v>66</v>
      </c>
      <c r="P346" s="29">
        <v>146467.38</v>
      </c>
      <c r="Q346" s="1" t="s">
        <v>592</v>
      </c>
      <c r="R346" s="1">
        <v>10</v>
      </c>
      <c r="S346" s="1">
        <v>351</v>
      </c>
      <c r="T346" s="1">
        <v>28.3</v>
      </c>
      <c r="U346" s="1" t="s">
        <v>44</v>
      </c>
      <c r="V346" s="17" t="s">
        <v>33</v>
      </c>
    </row>
    <row r="347" spans="1:22" ht="15" customHeight="1" x14ac:dyDescent="0.25">
      <c r="A347" s="16" t="s">
        <v>816</v>
      </c>
      <c r="B347" s="3" t="s">
        <v>639</v>
      </c>
      <c r="C347">
        <v>80</v>
      </c>
      <c r="D347" s="3" t="s">
        <v>36</v>
      </c>
      <c r="E347" s="3" t="s">
        <v>23</v>
      </c>
      <c r="F347" s="3" t="s">
        <v>76</v>
      </c>
      <c r="G347" s="3" t="s">
        <v>38</v>
      </c>
      <c r="H347" s="3" t="s">
        <v>26</v>
      </c>
      <c r="I347" s="6">
        <v>45178</v>
      </c>
      <c r="J347" s="8">
        <v>45186</v>
      </c>
      <c r="K347" s="3">
        <v>8</v>
      </c>
      <c r="L347" s="3" t="s">
        <v>132</v>
      </c>
      <c r="M347" s="3" t="s">
        <v>53</v>
      </c>
      <c r="N347" s="3" t="s">
        <v>41</v>
      </c>
      <c r="O347" s="3" t="s">
        <v>42</v>
      </c>
      <c r="P347" s="30">
        <v>42992.87</v>
      </c>
      <c r="Q347" s="3" t="s">
        <v>437</v>
      </c>
      <c r="R347" s="3">
        <v>8</v>
      </c>
      <c r="S347" s="3">
        <v>111</v>
      </c>
      <c r="T347" s="3">
        <v>30.4</v>
      </c>
      <c r="U347" s="3" t="s">
        <v>86</v>
      </c>
      <c r="V347" s="18" t="s">
        <v>33</v>
      </c>
    </row>
    <row r="348" spans="1:22" ht="15" customHeight="1" x14ac:dyDescent="0.25">
      <c r="A348" s="15" t="s">
        <v>817</v>
      </c>
      <c r="B348" s="1" t="s">
        <v>818</v>
      </c>
      <c r="C348">
        <v>80</v>
      </c>
      <c r="D348" s="1" t="s">
        <v>36</v>
      </c>
      <c r="E348" s="1" t="s">
        <v>48</v>
      </c>
      <c r="F348" s="2" t="s">
        <v>155</v>
      </c>
      <c r="G348" s="1" t="s">
        <v>25</v>
      </c>
      <c r="H348" s="1" t="s">
        <v>78</v>
      </c>
      <c r="I348" s="7">
        <v>44313</v>
      </c>
      <c r="J348" s="7">
        <v>44328</v>
      </c>
      <c r="K348" s="1">
        <v>15</v>
      </c>
      <c r="L348" s="1" t="s">
        <v>231</v>
      </c>
      <c r="M348" s="1" t="s">
        <v>53</v>
      </c>
      <c r="N348" s="1" t="s">
        <v>248</v>
      </c>
      <c r="O348" s="1" t="s">
        <v>30</v>
      </c>
      <c r="P348" s="29">
        <v>43208.25</v>
      </c>
      <c r="Q348" s="1" t="s">
        <v>269</v>
      </c>
      <c r="R348" s="1">
        <v>10</v>
      </c>
      <c r="S348" s="1">
        <v>446</v>
      </c>
      <c r="T348" s="1">
        <v>25.5</v>
      </c>
      <c r="U348" s="1" t="s">
        <v>86</v>
      </c>
      <c r="V348" s="17" t="s">
        <v>33</v>
      </c>
    </row>
    <row r="349" spans="1:22" ht="15" customHeight="1" x14ac:dyDescent="0.25">
      <c r="A349" s="16" t="s">
        <v>819</v>
      </c>
      <c r="B349" s="3" t="s">
        <v>820</v>
      </c>
      <c r="C349">
        <v>69</v>
      </c>
      <c r="D349" s="3" t="s">
        <v>82</v>
      </c>
      <c r="E349" s="3" t="s">
        <v>48</v>
      </c>
      <c r="F349" s="3" t="s">
        <v>49</v>
      </c>
      <c r="G349" s="3" t="s">
        <v>131</v>
      </c>
      <c r="H349" s="3" t="s">
        <v>26</v>
      </c>
      <c r="I349" s="6">
        <v>43505</v>
      </c>
      <c r="J349" s="8">
        <v>43714</v>
      </c>
      <c r="K349" s="3">
        <v>4</v>
      </c>
      <c r="L349" s="3" t="s">
        <v>52</v>
      </c>
      <c r="M349" s="3" t="s">
        <v>53</v>
      </c>
      <c r="N349" s="3" t="s">
        <v>147</v>
      </c>
      <c r="O349" s="3" t="s">
        <v>42</v>
      </c>
      <c r="P349" s="30">
        <v>55844.66</v>
      </c>
      <c r="Q349" s="3" t="s">
        <v>695</v>
      </c>
      <c r="R349" s="3">
        <v>4</v>
      </c>
      <c r="S349" s="3">
        <v>352</v>
      </c>
      <c r="T349" s="3">
        <v>26.7</v>
      </c>
      <c r="U349" s="3" t="s">
        <v>32</v>
      </c>
      <c r="V349" s="18" t="s">
        <v>45</v>
      </c>
    </row>
    <row r="350" spans="1:22" ht="15" customHeight="1" x14ac:dyDescent="0.25">
      <c r="A350" s="15" t="s">
        <v>821</v>
      </c>
      <c r="B350" s="1" t="s">
        <v>822</v>
      </c>
      <c r="C350">
        <v>45</v>
      </c>
      <c r="D350" s="1" t="s">
        <v>98</v>
      </c>
      <c r="E350" s="1" t="s">
        <v>48</v>
      </c>
      <c r="F350" s="1" t="s">
        <v>99</v>
      </c>
      <c r="G350" s="1" t="s">
        <v>38</v>
      </c>
      <c r="H350" s="1" t="s">
        <v>51</v>
      </c>
      <c r="I350" s="7">
        <v>45287</v>
      </c>
      <c r="J350" s="7">
        <v>45290</v>
      </c>
      <c r="K350" s="1">
        <v>3</v>
      </c>
      <c r="L350" s="1" t="s">
        <v>132</v>
      </c>
      <c r="M350" s="1" t="s">
        <v>53</v>
      </c>
      <c r="N350" s="1" t="s">
        <v>41</v>
      </c>
      <c r="O350" s="1" t="s">
        <v>42</v>
      </c>
      <c r="P350" s="29">
        <v>9158</v>
      </c>
      <c r="Q350" s="1" t="s">
        <v>174</v>
      </c>
      <c r="R350" s="1">
        <v>8</v>
      </c>
      <c r="S350" s="1">
        <v>186</v>
      </c>
      <c r="T350" s="1">
        <v>27.6</v>
      </c>
      <c r="U350" s="1" t="s">
        <v>32</v>
      </c>
      <c r="V350" s="17" t="s">
        <v>33</v>
      </c>
    </row>
    <row r="351" spans="1:22" ht="15" customHeight="1" x14ac:dyDescent="0.25">
      <c r="A351" s="16" t="s">
        <v>823</v>
      </c>
      <c r="B351" s="3" t="s">
        <v>824</v>
      </c>
      <c r="C351">
        <v>61</v>
      </c>
      <c r="D351" s="3" t="s">
        <v>59</v>
      </c>
      <c r="E351" s="3" t="s">
        <v>23</v>
      </c>
      <c r="F351" s="3" t="s">
        <v>76</v>
      </c>
      <c r="G351" s="3" t="s">
        <v>77</v>
      </c>
      <c r="H351" s="3" t="s">
        <v>26</v>
      </c>
      <c r="I351" s="8">
        <v>45582</v>
      </c>
      <c r="J351" s="8">
        <v>45594</v>
      </c>
      <c r="K351" s="3">
        <v>12</v>
      </c>
      <c r="L351" s="3" t="s">
        <v>52</v>
      </c>
      <c r="M351" s="3" t="s">
        <v>53</v>
      </c>
      <c r="N351" s="3" t="s">
        <v>84</v>
      </c>
      <c r="O351" s="3" t="s">
        <v>30</v>
      </c>
      <c r="P351" s="30">
        <v>59793.93</v>
      </c>
      <c r="Q351" s="3" t="s">
        <v>80</v>
      </c>
      <c r="R351" s="3">
        <v>9</v>
      </c>
      <c r="S351" s="3">
        <v>308</v>
      </c>
      <c r="T351" s="3">
        <v>36.299999999999997</v>
      </c>
      <c r="U351" s="3" t="s">
        <v>32</v>
      </c>
      <c r="V351" s="18" t="s">
        <v>33</v>
      </c>
    </row>
    <row r="352" spans="1:22" ht="15" customHeight="1" x14ac:dyDescent="0.25">
      <c r="A352" s="15" t="s">
        <v>825</v>
      </c>
      <c r="B352" s="1" t="s">
        <v>826</v>
      </c>
      <c r="C352">
        <v>66</v>
      </c>
      <c r="D352" s="1" t="s">
        <v>82</v>
      </c>
      <c r="E352" s="1" t="s">
        <v>48</v>
      </c>
      <c r="F352" s="1" t="s">
        <v>83</v>
      </c>
      <c r="G352" s="1" t="s">
        <v>131</v>
      </c>
      <c r="H352" s="1" t="s">
        <v>78</v>
      </c>
      <c r="I352" s="6">
        <v>44401</v>
      </c>
      <c r="J352" s="7">
        <v>44407</v>
      </c>
      <c r="K352" s="1">
        <v>6</v>
      </c>
      <c r="L352" s="1" t="s">
        <v>122</v>
      </c>
      <c r="M352" s="1" t="s">
        <v>40</v>
      </c>
      <c r="N352" s="1" t="s">
        <v>157</v>
      </c>
      <c r="O352" s="1" t="s">
        <v>55</v>
      </c>
      <c r="P352" s="29">
        <v>26173.77</v>
      </c>
      <c r="Q352" s="1" t="s">
        <v>158</v>
      </c>
      <c r="R352" s="1">
        <v>7</v>
      </c>
      <c r="S352" s="1">
        <v>193</v>
      </c>
      <c r="T352" s="1">
        <v>29.3</v>
      </c>
      <c r="U352" s="1" t="s">
        <v>32</v>
      </c>
      <c r="V352" s="17" t="s">
        <v>33</v>
      </c>
    </row>
    <row r="353" spans="1:22" ht="15" customHeight="1" x14ac:dyDescent="0.25">
      <c r="A353" s="16" t="s">
        <v>827</v>
      </c>
      <c r="B353" s="3" t="s">
        <v>828</v>
      </c>
      <c r="C353">
        <v>55</v>
      </c>
      <c r="D353" s="3" t="s">
        <v>59</v>
      </c>
      <c r="E353" s="3" t="s">
        <v>48</v>
      </c>
      <c r="F353" s="3" t="s">
        <v>76</v>
      </c>
      <c r="G353" s="3" t="s">
        <v>163</v>
      </c>
      <c r="H353" s="3" t="s">
        <v>78</v>
      </c>
      <c r="I353" s="6">
        <v>44008</v>
      </c>
      <c r="J353" s="8">
        <v>44011</v>
      </c>
      <c r="K353" s="3">
        <v>3</v>
      </c>
      <c r="L353" s="3" t="s">
        <v>231</v>
      </c>
      <c r="M353" s="3" t="s">
        <v>53</v>
      </c>
      <c r="N353" s="3" t="s">
        <v>164</v>
      </c>
      <c r="O353" s="3" t="s">
        <v>42</v>
      </c>
      <c r="P353" s="30">
        <v>36334.46</v>
      </c>
      <c r="Q353" s="3" t="s">
        <v>62</v>
      </c>
      <c r="R353" s="3">
        <v>2</v>
      </c>
      <c r="S353" s="3">
        <v>151</v>
      </c>
      <c r="T353" s="3">
        <v>25.4</v>
      </c>
      <c r="U353" s="3" t="s">
        <v>32</v>
      </c>
      <c r="V353" s="18" t="s">
        <v>33</v>
      </c>
    </row>
    <row r="354" spans="1:22" ht="15" customHeight="1" x14ac:dyDescent="0.25">
      <c r="A354" s="15" t="s">
        <v>829</v>
      </c>
      <c r="B354" s="1" t="s">
        <v>830</v>
      </c>
      <c r="C354">
        <v>66</v>
      </c>
      <c r="D354" s="1" t="s">
        <v>82</v>
      </c>
      <c r="E354" s="1" t="s">
        <v>48</v>
      </c>
      <c r="F354" s="1" t="s">
        <v>37</v>
      </c>
      <c r="G354" s="1" t="s">
        <v>587</v>
      </c>
      <c r="H354" s="1" t="s">
        <v>51</v>
      </c>
      <c r="I354" s="7">
        <v>45133</v>
      </c>
      <c r="J354" s="7">
        <v>45142</v>
      </c>
      <c r="K354" s="1">
        <v>9</v>
      </c>
      <c r="L354" s="1" t="s">
        <v>52</v>
      </c>
      <c r="M354" s="1" t="s">
        <v>53</v>
      </c>
      <c r="N354" s="1" t="s">
        <v>29</v>
      </c>
      <c r="O354" s="1" t="s">
        <v>42</v>
      </c>
      <c r="P354" s="29">
        <v>121698.66</v>
      </c>
      <c r="Q354" s="1" t="s">
        <v>105</v>
      </c>
      <c r="R354" s="1">
        <v>12</v>
      </c>
      <c r="S354" s="1">
        <v>165</v>
      </c>
      <c r="T354" s="1">
        <v>15.5</v>
      </c>
      <c r="U354" s="1" t="s">
        <v>44</v>
      </c>
      <c r="V354" s="17" t="s">
        <v>33</v>
      </c>
    </row>
    <row r="355" spans="1:22" ht="15" customHeight="1" x14ac:dyDescent="0.25">
      <c r="A355" s="16" t="s">
        <v>831</v>
      </c>
      <c r="B355" s="3" t="s">
        <v>130</v>
      </c>
      <c r="C355">
        <v>62</v>
      </c>
      <c r="D355" s="3" t="s">
        <v>59</v>
      </c>
      <c r="E355" s="3" t="s">
        <v>23</v>
      </c>
      <c r="F355" s="3" t="s">
        <v>76</v>
      </c>
      <c r="G355" s="3" t="s">
        <v>38</v>
      </c>
      <c r="H355" s="3" t="s">
        <v>51</v>
      </c>
      <c r="I355" s="6">
        <v>45638</v>
      </c>
      <c r="J355" s="8">
        <v>45643</v>
      </c>
      <c r="K355" s="3">
        <v>5</v>
      </c>
      <c r="L355" s="3" t="s">
        <v>231</v>
      </c>
      <c r="M355" s="3" t="s">
        <v>53</v>
      </c>
      <c r="N355" s="3" t="s">
        <v>41</v>
      </c>
      <c r="O355" s="3" t="s">
        <v>30</v>
      </c>
      <c r="P355" s="30">
        <v>7612.27</v>
      </c>
      <c r="Q355" s="3" t="s">
        <v>567</v>
      </c>
      <c r="R355" s="3">
        <v>8</v>
      </c>
      <c r="S355" s="3">
        <v>199</v>
      </c>
      <c r="T355" s="3">
        <v>37.799999999999997</v>
      </c>
      <c r="U355" s="3" t="s">
        <v>86</v>
      </c>
      <c r="V355" s="18" t="s">
        <v>33</v>
      </c>
    </row>
    <row r="356" spans="1:22" ht="15" customHeight="1" x14ac:dyDescent="0.25">
      <c r="A356" s="15" t="s">
        <v>832</v>
      </c>
      <c r="B356" s="1" t="s">
        <v>833</v>
      </c>
      <c r="C356">
        <v>86</v>
      </c>
      <c r="D356" s="1" t="s">
        <v>36</v>
      </c>
      <c r="E356" s="1" t="s">
        <v>23</v>
      </c>
      <c r="F356" s="1" t="s">
        <v>24</v>
      </c>
      <c r="G356" s="1" t="s">
        <v>60</v>
      </c>
      <c r="H356" s="1" t="s">
        <v>51</v>
      </c>
      <c r="I356" s="6">
        <v>45055</v>
      </c>
      <c r="J356" s="7">
        <v>45147</v>
      </c>
      <c r="K356" s="1">
        <v>3</v>
      </c>
      <c r="L356" s="1" t="s">
        <v>39</v>
      </c>
      <c r="M356" s="1" t="s">
        <v>40</v>
      </c>
      <c r="N356" s="1" t="s">
        <v>103</v>
      </c>
      <c r="O356" s="1" t="s">
        <v>104</v>
      </c>
      <c r="P356" s="29">
        <v>13100.43</v>
      </c>
      <c r="Q356" s="1" t="s">
        <v>62</v>
      </c>
      <c r="R356" s="1">
        <v>5</v>
      </c>
      <c r="S356" s="1">
        <v>125</v>
      </c>
      <c r="T356" s="1">
        <v>22.6</v>
      </c>
      <c r="U356" s="1" t="s">
        <v>32</v>
      </c>
      <c r="V356" s="17" t="s">
        <v>33</v>
      </c>
    </row>
    <row r="357" spans="1:22" ht="15" customHeight="1" x14ac:dyDescent="0.25">
      <c r="A357" s="16" t="s">
        <v>834</v>
      </c>
      <c r="B357" s="3" t="s">
        <v>835</v>
      </c>
      <c r="C357">
        <v>23</v>
      </c>
      <c r="D357" s="3" t="s">
        <v>47</v>
      </c>
      <c r="E357" s="3" t="s">
        <v>23</v>
      </c>
      <c r="F357" s="3" t="s">
        <v>70</v>
      </c>
      <c r="G357" s="3" t="s">
        <v>131</v>
      </c>
      <c r="H357" s="3" t="s">
        <v>78</v>
      </c>
      <c r="I357" s="8">
        <v>44489</v>
      </c>
      <c r="J357" s="8">
        <v>44493</v>
      </c>
      <c r="K357" s="3">
        <v>4</v>
      </c>
      <c r="L357" s="3" t="s">
        <v>122</v>
      </c>
      <c r="M357" s="3" t="s">
        <v>40</v>
      </c>
      <c r="N357" s="3" t="s">
        <v>133</v>
      </c>
      <c r="O357" s="3" t="s">
        <v>55</v>
      </c>
      <c r="P357" s="30">
        <v>6759.46</v>
      </c>
      <c r="Q357" s="3" t="s">
        <v>148</v>
      </c>
      <c r="R357" s="3">
        <v>4</v>
      </c>
      <c r="S357" s="3">
        <v>401</v>
      </c>
      <c r="T357" s="4"/>
      <c r="U357" s="3" t="s">
        <v>32</v>
      </c>
      <c r="V357" s="18" t="s">
        <v>33</v>
      </c>
    </row>
    <row r="358" spans="1:22" ht="15" customHeight="1" x14ac:dyDescent="0.25">
      <c r="A358" s="15" t="s">
        <v>836</v>
      </c>
      <c r="B358" s="2" t="s">
        <v>3587</v>
      </c>
      <c r="C358">
        <v>69</v>
      </c>
      <c r="D358" s="1" t="s">
        <v>82</v>
      </c>
      <c r="E358" s="1" t="s">
        <v>48</v>
      </c>
      <c r="F358" s="1" t="s">
        <v>70</v>
      </c>
      <c r="G358" s="1" t="s">
        <v>131</v>
      </c>
      <c r="H358" s="1" t="s">
        <v>51</v>
      </c>
      <c r="I358" s="6">
        <v>44945</v>
      </c>
      <c r="J358" s="7">
        <v>44951</v>
      </c>
      <c r="K358" s="1">
        <v>6</v>
      </c>
      <c r="L358" s="1" t="s">
        <v>185</v>
      </c>
      <c r="M358" s="1" t="s">
        <v>186</v>
      </c>
      <c r="N358" s="1" t="s">
        <v>147</v>
      </c>
      <c r="O358" s="1" t="s">
        <v>55</v>
      </c>
      <c r="P358" s="29">
        <v>21552.58</v>
      </c>
      <c r="Q358" s="1" t="s">
        <v>291</v>
      </c>
      <c r="R358" s="1">
        <v>6</v>
      </c>
      <c r="S358" s="1">
        <v>106</v>
      </c>
      <c r="T358" s="1">
        <v>30.3</v>
      </c>
      <c r="U358" s="1" t="s">
        <v>44</v>
      </c>
      <c r="V358" s="17" t="s">
        <v>33</v>
      </c>
    </row>
    <row r="359" spans="1:22" ht="15" customHeight="1" x14ac:dyDescent="0.25">
      <c r="A359" s="16" t="s">
        <v>837</v>
      </c>
      <c r="B359" s="3" t="s">
        <v>838</v>
      </c>
      <c r="C359">
        <v>65</v>
      </c>
      <c r="D359" s="3" t="s">
        <v>82</v>
      </c>
      <c r="E359" s="3" t="s">
        <v>48</v>
      </c>
      <c r="F359" s="3" t="s">
        <v>24</v>
      </c>
      <c r="G359" s="3" t="s">
        <v>562</v>
      </c>
      <c r="H359" s="3" t="s">
        <v>51</v>
      </c>
      <c r="I359" s="6">
        <v>43926</v>
      </c>
      <c r="J359" s="8">
        <v>43931</v>
      </c>
      <c r="K359" s="3">
        <v>5</v>
      </c>
      <c r="L359" s="3" t="s">
        <v>52</v>
      </c>
      <c r="M359" s="3" t="s">
        <v>53</v>
      </c>
      <c r="N359" s="3" t="s">
        <v>157</v>
      </c>
      <c r="O359" s="3" t="s">
        <v>30</v>
      </c>
      <c r="P359" s="30">
        <v>35002.370000000003</v>
      </c>
      <c r="Q359" s="3" t="s">
        <v>291</v>
      </c>
      <c r="R359" s="3">
        <v>7</v>
      </c>
      <c r="S359" s="3">
        <v>194</v>
      </c>
      <c r="T359" s="3">
        <v>34.5</v>
      </c>
      <c r="U359" s="3" t="s">
        <v>44</v>
      </c>
      <c r="V359" s="18" t="s">
        <v>33</v>
      </c>
    </row>
    <row r="360" spans="1:22" ht="15" customHeight="1" x14ac:dyDescent="0.25">
      <c r="A360" s="15" t="s">
        <v>839</v>
      </c>
      <c r="B360" s="1" t="s">
        <v>840</v>
      </c>
      <c r="C360">
        <v>14</v>
      </c>
      <c r="D360" s="1" t="s">
        <v>22</v>
      </c>
      <c r="E360" s="1" t="s">
        <v>23</v>
      </c>
      <c r="F360" s="1" t="s">
        <v>24</v>
      </c>
      <c r="G360" s="1" t="s">
        <v>25</v>
      </c>
      <c r="H360" s="1" t="s">
        <v>78</v>
      </c>
      <c r="I360" s="7">
        <v>45646</v>
      </c>
      <c r="J360" s="7">
        <v>45655</v>
      </c>
      <c r="K360" s="1">
        <v>9</v>
      </c>
      <c r="L360" s="1" t="s">
        <v>89</v>
      </c>
      <c r="M360" s="1" t="s">
        <v>90</v>
      </c>
      <c r="N360" s="1" t="s">
        <v>248</v>
      </c>
      <c r="O360" s="1" t="s">
        <v>55</v>
      </c>
      <c r="P360" s="29">
        <v>31426</v>
      </c>
      <c r="Q360" s="1" t="s">
        <v>269</v>
      </c>
      <c r="R360" s="1">
        <v>10</v>
      </c>
      <c r="S360" s="1">
        <v>206</v>
      </c>
      <c r="T360" s="4"/>
      <c r="U360" s="1" t="s">
        <v>86</v>
      </c>
      <c r="V360" s="17" t="s">
        <v>33</v>
      </c>
    </row>
    <row r="361" spans="1:22" ht="15" customHeight="1" x14ac:dyDescent="0.25">
      <c r="A361" s="16" t="s">
        <v>841</v>
      </c>
      <c r="B361" s="3" t="s">
        <v>842</v>
      </c>
      <c r="C361">
        <v>86</v>
      </c>
      <c r="D361" s="3" t="s">
        <v>36</v>
      </c>
      <c r="E361" s="3" t="s">
        <v>23</v>
      </c>
      <c r="F361" s="3" t="s">
        <v>24</v>
      </c>
      <c r="G361" s="3" t="s">
        <v>77</v>
      </c>
      <c r="H361" s="3" t="s">
        <v>78</v>
      </c>
      <c r="I361" s="8">
        <v>44849</v>
      </c>
      <c r="J361" s="8">
        <v>44859</v>
      </c>
      <c r="K361" s="3">
        <v>10</v>
      </c>
      <c r="L361" s="3" t="s">
        <v>102</v>
      </c>
      <c r="M361" s="3" t="s">
        <v>28</v>
      </c>
      <c r="N361" s="3" t="s">
        <v>79</v>
      </c>
      <c r="O361" s="3" t="s">
        <v>30</v>
      </c>
      <c r="P361" s="30">
        <v>70387.210000000006</v>
      </c>
      <c r="Q361" s="3" t="s">
        <v>123</v>
      </c>
      <c r="R361" s="3">
        <v>10</v>
      </c>
      <c r="S361" s="3">
        <v>207</v>
      </c>
      <c r="T361" s="3">
        <v>24.7</v>
      </c>
      <c r="U361" s="3" t="s">
        <v>44</v>
      </c>
      <c r="V361" s="18" t="s">
        <v>45</v>
      </c>
    </row>
    <row r="362" spans="1:22" ht="15" customHeight="1" x14ac:dyDescent="0.25">
      <c r="A362" s="15" t="s">
        <v>843</v>
      </c>
      <c r="B362" s="1" t="s">
        <v>844</v>
      </c>
      <c r="C362">
        <v>49</v>
      </c>
      <c r="D362" s="1" t="s">
        <v>98</v>
      </c>
      <c r="E362" s="1" t="s">
        <v>23</v>
      </c>
      <c r="F362" s="1" t="s">
        <v>70</v>
      </c>
      <c r="G362" s="1" t="s">
        <v>131</v>
      </c>
      <c r="H362" s="1" t="s">
        <v>78</v>
      </c>
      <c r="I362" s="7">
        <v>44697</v>
      </c>
      <c r="J362" s="7">
        <v>44700</v>
      </c>
      <c r="K362" s="1">
        <v>3</v>
      </c>
      <c r="L362" s="1" t="s">
        <v>185</v>
      </c>
      <c r="M362" s="1" t="s">
        <v>186</v>
      </c>
      <c r="N362" s="1" t="s">
        <v>147</v>
      </c>
      <c r="O362" s="1" t="s">
        <v>104</v>
      </c>
      <c r="P362" s="29">
        <v>13532.12</v>
      </c>
      <c r="Q362" s="1" t="s">
        <v>148</v>
      </c>
      <c r="R362" s="1">
        <v>4</v>
      </c>
      <c r="S362" s="1">
        <v>188</v>
      </c>
      <c r="T362" s="1">
        <v>33.9</v>
      </c>
      <c r="U362" s="1" t="s">
        <v>44</v>
      </c>
      <c r="V362" s="17" t="s">
        <v>33</v>
      </c>
    </row>
    <row r="363" spans="1:22" ht="15" customHeight="1" x14ac:dyDescent="0.25">
      <c r="A363" s="16" t="s">
        <v>845</v>
      </c>
      <c r="B363" s="2" t="s">
        <v>3588</v>
      </c>
      <c r="C363">
        <v>70</v>
      </c>
      <c r="D363" s="3" t="s">
        <v>82</v>
      </c>
      <c r="E363" s="3" t="s">
        <v>48</v>
      </c>
      <c r="F363" s="3" t="s">
        <v>37</v>
      </c>
      <c r="G363" s="3" t="s">
        <v>50</v>
      </c>
      <c r="H363" s="3" t="s">
        <v>78</v>
      </c>
      <c r="I363" s="8">
        <v>44552</v>
      </c>
      <c r="J363" s="10"/>
      <c r="K363" s="3"/>
      <c r="L363" s="3" t="s">
        <v>231</v>
      </c>
      <c r="M363" s="3" t="s">
        <v>53</v>
      </c>
      <c r="N363" s="3" t="s">
        <v>116</v>
      </c>
      <c r="O363" s="3" t="s">
        <v>30</v>
      </c>
      <c r="P363" s="30">
        <v>20698.97</v>
      </c>
      <c r="Q363" s="3" t="s">
        <v>144</v>
      </c>
      <c r="R363" s="3">
        <v>9</v>
      </c>
      <c r="S363" s="3">
        <v>214</v>
      </c>
      <c r="T363" s="3">
        <v>30</v>
      </c>
      <c r="U363" s="3" t="s">
        <v>44</v>
      </c>
      <c r="V363" s="18" t="s">
        <v>33</v>
      </c>
    </row>
    <row r="364" spans="1:22" ht="15" customHeight="1" x14ac:dyDescent="0.25">
      <c r="A364" s="15" t="s">
        <v>846</v>
      </c>
      <c r="B364" s="1" t="s">
        <v>847</v>
      </c>
      <c r="C364">
        <v>61</v>
      </c>
      <c r="D364" s="1" t="s">
        <v>59</v>
      </c>
      <c r="E364" s="1" t="s">
        <v>48</v>
      </c>
      <c r="F364" s="1" t="s">
        <v>49</v>
      </c>
      <c r="G364" s="1" t="s">
        <v>77</v>
      </c>
      <c r="H364" s="1" t="s">
        <v>26</v>
      </c>
      <c r="I364" s="7">
        <v>43991</v>
      </c>
      <c r="J364" s="7">
        <v>43999</v>
      </c>
      <c r="K364" s="1">
        <v>8</v>
      </c>
      <c r="L364" s="1" t="s">
        <v>52</v>
      </c>
      <c r="M364" s="1" t="s">
        <v>53</v>
      </c>
      <c r="N364" s="1" t="s">
        <v>79</v>
      </c>
      <c r="O364" s="1" t="s">
        <v>55</v>
      </c>
      <c r="P364" s="29">
        <v>83317.960000000006</v>
      </c>
      <c r="Q364" s="1" t="s">
        <v>91</v>
      </c>
      <c r="R364" s="1">
        <v>9</v>
      </c>
      <c r="S364" s="1">
        <v>313</v>
      </c>
      <c r="T364" s="1">
        <v>34.9</v>
      </c>
      <c r="U364" s="1" t="s">
        <v>44</v>
      </c>
      <c r="V364" s="17" t="s">
        <v>45</v>
      </c>
    </row>
    <row r="365" spans="1:22" ht="15" customHeight="1" x14ac:dyDescent="0.25">
      <c r="A365" s="16" t="s">
        <v>848</v>
      </c>
      <c r="B365" s="3" t="s">
        <v>849</v>
      </c>
      <c r="C365">
        <v>72</v>
      </c>
      <c r="D365" s="3" t="s">
        <v>82</v>
      </c>
      <c r="E365" s="3" t="s">
        <v>48</v>
      </c>
      <c r="F365" s="3" t="s">
        <v>70</v>
      </c>
      <c r="G365" s="3" t="s">
        <v>131</v>
      </c>
      <c r="H365" s="3" t="s">
        <v>26</v>
      </c>
      <c r="I365" s="6">
        <v>43606</v>
      </c>
      <c r="J365" s="8">
        <v>43502</v>
      </c>
      <c r="K365" s="3">
        <v>12</v>
      </c>
      <c r="L365" s="3" t="s">
        <v>89</v>
      </c>
      <c r="M365" s="3" t="s">
        <v>90</v>
      </c>
      <c r="N365" s="3" t="s">
        <v>133</v>
      </c>
      <c r="O365" s="3" t="s">
        <v>42</v>
      </c>
      <c r="P365" s="30">
        <v>56476.84</v>
      </c>
      <c r="Q365" s="3" t="s">
        <v>158</v>
      </c>
      <c r="R365" s="3">
        <v>7</v>
      </c>
      <c r="S365" s="3">
        <v>358</v>
      </c>
      <c r="T365" s="3">
        <v>27.8</v>
      </c>
      <c r="U365" s="3" t="s">
        <v>44</v>
      </c>
      <c r="V365" s="18" t="s">
        <v>33</v>
      </c>
    </row>
    <row r="366" spans="1:22" ht="15" customHeight="1" x14ac:dyDescent="0.25">
      <c r="A366" s="15" t="s">
        <v>850</v>
      </c>
      <c r="B366" s="1" t="s">
        <v>851</v>
      </c>
      <c r="C366">
        <v>70</v>
      </c>
      <c r="D366" s="1" t="s">
        <v>82</v>
      </c>
      <c r="E366" s="1" t="s">
        <v>23</v>
      </c>
      <c r="F366" s="1" t="s">
        <v>37</v>
      </c>
      <c r="G366" s="1" t="s">
        <v>131</v>
      </c>
      <c r="H366" s="1" t="s">
        <v>26</v>
      </c>
      <c r="I366" s="7">
        <v>45592</v>
      </c>
      <c r="J366" s="7">
        <v>45594</v>
      </c>
      <c r="K366" s="1">
        <v>2</v>
      </c>
      <c r="L366" s="1" t="s">
        <v>132</v>
      </c>
      <c r="M366" s="1" t="s">
        <v>53</v>
      </c>
      <c r="N366" s="1" t="s">
        <v>157</v>
      </c>
      <c r="O366" s="1" t="s">
        <v>42</v>
      </c>
      <c r="P366" s="29">
        <v>54216.66</v>
      </c>
      <c r="Q366" s="1" t="s">
        <v>266</v>
      </c>
      <c r="R366" s="1">
        <v>7</v>
      </c>
      <c r="S366" s="1">
        <v>324</v>
      </c>
      <c r="T366" s="1">
        <v>14</v>
      </c>
      <c r="U366" s="1" t="s">
        <v>86</v>
      </c>
      <c r="V366" s="17" t="s">
        <v>33</v>
      </c>
    </row>
    <row r="367" spans="1:22" ht="15" customHeight="1" x14ac:dyDescent="0.25">
      <c r="A367" s="16" t="s">
        <v>852</v>
      </c>
      <c r="B367" s="3" t="s">
        <v>853</v>
      </c>
      <c r="C367">
        <v>73</v>
      </c>
      <c r="D367" s="3" t="s">
        <v>82</v>
      </c>
      <c r="E367" s="3" t="s">
        <v>23</v>
      </c>
      <c r="F367" s="2" t="s">
        <v>99</v>
      </c>
      <c r="G367" s="3" t="s">
        <v>77</v>
      </c>
      <c r="H367" s="3" t="s">
        <v>26</v>
      </c>
      <c r="I367" s="8">
        <v>45640</v>
      </c>
      <c r="J367" s="8">
        <v>45651</v>
      </c>
      <c r="K367" s="3">
        <v>11</v>
      </c>
      <c r="L367" s="3" t="s">
        <v>27</v>
      </c>
      <c r="M367" s="3" t="s">
        <v>28</v>
      </c>
      <c r="N367" s="3" t="s">
        <v>79</v>
      </c>
      <c r="O367" s="3" t="s">
        <v>30</v>
      </c>
      <c r="P367" s="30">
        <v>153913.96</v>
      </c>
      <c r="Q367" s="3" t="s">
        <v>109</v>
      </c>
      <c r="R367" s="3">
        <v>10</v>
      </c>
      <c r="S367" s="3">
        <v>366</v>
      </c>
      <c r="T367" s="3">
        <v>25.7</v>
      </c>
      <c r="U367" s="3" t="s">
        <v>86</v>
      </c>
      <c r="V367" s="18" t="s">
        <v>33</v>
      </c>
    </row>
    <row r="368" spans="1:22" ht="15" customHeight="1" x14ac:dyDescent="0.25">
      <c r="A368" s="15" t="s">
        <v>855</v>
      </c>
      <c r="B368" s="1" t="s">
        <v>856</v>
      </c>
      <c r="C368">
        <v>75</v>
      </c>
      <c r="D368" s="1" t="s">
        <v>36</v>
      </c>
      <c r="E368" s="1" t="s">
        <v>23</v>
      </c>
      <c r="F368" s="1" t="s">
        <v>37</v>
      </c>
      <c r="G368" s="1" t="s">
        <v>77</v>
      </c>
      <c r="H368" s="1" t="s">
        <v>26</v>
      </c>
      <c r="I368" s="7">
        <v>44122</v>
      </c>
      <c r="J368" s="7">
        <v>44115</v>
      </c>
      <c r="K368" s="1">
        <v>23</v>
      </c>
      <c r="L368" s="1" t="s">
        <v>52</v>
      </c>
      <c r="M368" s="1" t="s">
        <v>53</v>
      </c>
      <c r="N368" s="1" t="s">
        <v>84</v>
      </c>
      <c r="O368" s="1" t="s">
        <v>42</v>
      </c>
      <c r="P368" s="29">
        <v>135913.01999999999</v>
      </c>
      <c r="Q368" s="1" t="s">
        <v>85</v>
      </c>
      <c r="R368" s="1">
        <v>10</v>
      </c>
      <c r="S368" s="1">
        <v>397</v>
      </c>
      <c r="T368" s="1">
        <v>27.7</v>
      </c>
      <c r="U368" s="1" t="s">
        <v>44</v>
      </c>
      <c r="V368" s="17" t="s">
        <v>33</v>
      </c>
    </row>
    <row r="369" spans="1:22" ht="15" customHeight="1" x14ac:dyDescent="0.25">
      <c r="A369" s="16" t="s">
        <v>857</v>
      </c>
      <c r="B369" s="3" t="s">
        <v>858</v>
      </c>
      <c r="C369">
        <v>74</v>
      </c>
      <c r="D369" s="3" t="s">
        <v>82</v>
      </c>
      <c r="E369" s="3" t="s">
        <v>23</v>
      </c>
      <c r="F369" s="3" t="s">
        <v>24</v>
      </c>
      <c r="G369" s="3" t="s">
        <v>38</v>
      </c>
      <c r="H369" s="3" t="s">
        <v>26</v>
      </c>
      <c r="I369" s="6">
        <v>44864</v>
      </c>
      <c r="J369" s="8">
        <v>44662</v>
      </c>
      <c r="K369" s="3">
        <v>5</v>
      </c>
      <c r="L369" s="3" t="s">
        <v>27</v>
      </c>
      <c r="M369" s="3" t="s">
        <v>28</v>
      </c>
      <c r="N369" s="3" t="s">
        <v>173</v>
      </c>
      <c r="O369" s="3" t="s">
        <v>42</v>
      </c>
      <c r="P369" s="30">
        <v>18499.849999999999</v>
      </c>
      <c r="Q369" s="3" t="s">
        <v>43</v>
      </c>
      <c r="R369" s="3">
        <v>7</v>
      </c>
      <c r="S369" s="3">
        <v>353</v>
      </c>
      <c r="T369" s="3">
        <v>30.9</v>
      </c>
      <c r="U369" s="3" t="s">
        <v>44</v>
      </c>
      <c r="V369" s="18" t="s">
        <v>33</v>
      </c>
    </row>
    <row r="370" spans="1:22" ht="15" customHeight="1" x14ac:dyDescent="0.25">
      <c r="A370" s="15" t="s">
        <v>859</v>
      </c>
      <c r="B370" s="1" t="s">
        <v>376</v>
      </c>
      <c r="C370">
        <v>83</v>
      </c>
      <c r="D370" s="1" t="s">
        <v>36</v>
      </c>
      <c r="E370" s="1" t="s">
        <v>48</v>
      </c>
      <c r="F370" s="1" t="s">
        <v>49</v>
      </c>
      <c r="G370" s="1" t="s">
        <v>25</v>
      </c>
      <c r="H370" s="1" t="s">
        <v>156</v>
      </c>
      <c r="I370" s="7">
        <v>43806</v>
      </c>
      <c r="J370" s="7">
        <v>43817</v>
      </c>
      <c r="K370" s="1">
        <v>11</v>
      </c>
      <c r="L370" s="1" t="s">
        <v>39</v>
      </c>
      <c r="M370" s="1" t="s">
        <v>40</v>
      </c>
      <c r="N370" s="1" t="s">
        <v>65</v>
      </c>
      <c r="O370" s="1" t="s">
        <v>104</v>
      </c>
      <c r="P370" s="29">
        <v>61312.12</v>
      </c>
      <c r="Q370" s="1" t="s">
        <v>269</v>
      </c>
      <c r="R370" s="1">
        <v>12</v>
      </c>
      <c r="S370" s="1">
        <v>222</v>
      </c>
      <c r="T370" s="1">
        <v>17.5</v>
      </c>
      <c r="U370" s="1" t="s">
        <v>44</v>
      </c>
      <c r="V370" s="17" t="s">
        <v>33</v>
      </c>
    </row>
    <row r="371" spans="1:22" ht="15" customHeight="1" x14ac:dyDescent="0.25">
      <c r="A371" s="16" t="s">
        <v>860</v>
      </c>
      <c r="B371" s="3" t="s">
        <v>861</v>
      </c>
      <c r="C371">
        <v>55</v>
      </c>
      <c r="D371" s="3" t="s">
        <v>59</v>
      </c>
      <c r="E371" s="3" t="s">
        <v>23</v>
      </c>
      <c r="F371" s="3" t="s">
        <v>155</v>
      </c>
      <c r="G371" s="3" t="s">
        <v>38</v>
      </c>
      <c r="H371" s="3" t="s">
        <v>78</v>
      </c>
      <c r="I371" s="8">
        <v>45234</v>
      </c>
      <c r="J371" s="8">
        <v>45210</v>
      </c>
      <c r="K371" s="3">
        <v>6</v>
      </c>
      <c r="L371" s="3" t="s">
        <v>27</v>
      </c>
      <c r="M371" s="3" t="s">
        <v>28</v>
      </c>
      <c r="N371" s="3" t="s">
        <v>173</v>
      </c>
      <c r="O371" s="3" t="s">
        <v>30</v>
      </c>
      <c r="P371" s="30">
        <v>28368.959999999999</v>
      </c>
      <c r="Q371" s="3" t="s">
        <v>174</v>
      </c>
      <c r="R371" s="3">
        <v>8</v>
      </c>
      <c r="S371" s="3">
        <v>425</v>
      </c>
      <c r="T371" s="3">
        <v>44</v>
      </c>
      <c r="U371" s="3" t="s">
        <v>44</v>
      </c>
      <c r="V371" s="18" t="s">
        <v>33</v>
      </c>
    </row>
    <row r="372" spans="1:22" ht="15" customHeight="1" x14ac:dyDescent="0.25">
      <c r="A372" s="15" t="s">
        <v>862</v>
      </c>
      <c r="B372" s="1" t="s">
        <v>863</v>
      </c>
      <c r="C372">
        <v>70</v>
      </c>
      <c r="D372" s="1" t="s">
        <v>82</v>
      </c>
      <c r="E372" s="1" t="s">
        <v>48</v>
      </c>
      <c r="F372" s="1" t="s">
        <v>37</v>
      </c>
      <c r="G372" s="1" t="s">
        <v>50</v>
      </c>
      <c r="H372" s="1" t="s">
        <v>51</v>
      </c>
      <c r="I372" s="7">
        <v>44398</v>
      </c>
      <c r="J372" s="7">
        <v>44404</v>
      </c>
      <c r="K372" s="1">
        <v>6</v>
      </c>
      <c r="L372" s="1" t="s">
        <v>185</v>
      </c>
      <c r="M372" s="1" t="s">
        <v>186</v>
      </c>
      <c r="N372" s="1" t="s">
        <v>116</v>
      </c>
      <c r="O372" s="1" t="s">
        <v>30</v>
      </c>
      <c r="P372" s="29">
        <v>43195.03</v>
      </c>
      <c r="Q372" s="1" t="s">
        <v>623</v>
      </c>
      <c r="R372" s="1">
        <v>9</v>
      </c>
      <c r="S372" s="1">
        <v>102</v>
      </c>
      <c r="T372" s="1">
        <v>19.8</v>
      </c>
      <c r="U372" s="1" t="s">
        <v>44</v>
      </c>
      <c r="V372" s="17" t="s">
        <v>33</v>
      </c>
    </row>
    <row r="373" spans="1:22" ht="15" customHeight="1" x14ac:dyDescent="0.25">
      <c r="A373" s="16" t="s">
        <v>864</v>
      </c>
      <c r="B373" s="3" t="s">
        <v>865</v>
      </c>
      <c r="C373">
        <v>73</v>
      </c>
      <c r="D373" s="3" t="s">
        <v>82</v>
      </c>
      <c r="E373" s="3" t="s">
        <v>23</v>
      </c>
      <c r="F373" s="3" t="s">
        <v>83</v>
      </c>
      <c r="G373" s="3" t="s">
        <v>163</v>
      </c>
      <c r="H373" s="3" t="s">
        <v>78</v>
      </c>
      <c r="I373" s="6">
        <v>45123</v>
      </c>
      <c r="J373" s="8">
        <v>45130</v>
      </c>
      <c r="K373" s="3">
        <v>7</v>
      </c>
      <c r="L373" s="3" t="s">
        <v>231</v>
      </c>
      <c r="M373" s="3" t="s">
        <v>53</v>
      </c>
      <c r="N373" s="3" t="s">
        <v>164</v>
      </c>
      <c r="O373" s="3" t="s">
        <v>30</v>
      </c>
      <c r="P373" s="30">
        <v>26760.52</v>
      </c>
      <c r="Q373" s="3" t="s">
        <v>62</v>
      </c>
      <c r="R373" s="3">
        <v>6</v>
      </c>
      <c r="S373" s="3">
        <v>225</v>
      </c>
      <c r="T373" s="3">
        <v>19.3</v>
      </c>
      <c r="U373" s="3" t="s">
        <v>32</v>
      </c>
      <c r="V373" s="18" t="s">
        <v>33</v>
      </c>
    </row>
    <row r="374" spans="1:22" ht="15" customHeight="1" x14ac:dyDescent="0.25">
      <c r="A374" s="15" t="s">
        <v>866</v>
      </c>
      <c r="B374" s="1" t="s">
        <v>867</v>
      </c>
      <c r="C374">
        <v>82</v>
      </c>
      <c r="D374" s="1" t="s">
        <v>36</v>
      </c>
      <c r="E374" s="1" t="s">
        <v>23</v>
      </c>
      <c r="F374" s="1" t="s">
        <v>24</v>
      </c>
      <c r="G374" s="1" t="s">
        <v>38</v>
      </c>
      <c r="H374" s="1" t="s">
        <v>78</v>
      </c>
      <c r="I374" s="6">
        <v>45328</v>
      </c>
      <c r="J374" s="7">
        <v>45451</v>
      </c>
      <c r="K374" s="1">
        <v>6</v>
      </c>
      <c r="L374" s="1" t="s">
        <v>231</v>
      </c>
      <c r="M374" s="1" t="s">
        <v>53</v>
      </c>
      <c r="N374" s="1" t="s">
        <v>203</v>
      </c>
      <c r="O374" s="1" t="s">
        <v>30</v>
      </c>
      <c r="P374" s="29">
        <v>30963.119999999999</v>
      </c>
      <c r="Q374" s="1" t="s">
        <v>437</v>
      </c>
      <c r="R374" s="1">
        <v>7</v>
      </c>
      <c r="S374" s="1">
        <v>263</v>
      </c>
      <c r="T374" s="1">
        <v>42.6</v>
      </c>
      <c r="U374" s="1" t="s">
        <v>32</v>
      </c>
      <c r="V374" s="17" t="s">
        <v>33</v>
      </c>
    </row>
    <row r="375" spans="1:22" ht="15" customHeight="1" x14ac:dyDescent="0.25">
      <c r="A375" s="16" t="s">
        <v>868</v>
      </c>
      <c r="B375" s="3" t="s">
        <v>869</v>
      </c>
      <c r="C375">
        <v>82</v>
      </c>
      <c r="D375" s="3" t="s">
        <v>36</v>
      </c>
      <c r="E375" s="3" t="s">
        <v>48</v>
      </c>
      <c r="F375" s="3" t="s">
        <v>76</v>
      </c>
      <c r="G375" s="3" t="s">
        <v>870</v>
      </c>
      <c r="H375" s="3" t="s">
        <v>26</v>
      </c>
      <c r="I375" s="8">
        <v>44399</v>
      </c>
      <c r="J375" s="8">
        <v>44408</v>
      </c>
      <c r="K375" s="3">
        <v>9</v>
      </c>
      <c r="L375" s="3" t="s">
        <v>27</v>
      </c>
      <c r="M375" s="3" t="s">
        <v>28</v>
      </c>
      <c r="N375" s="3" t="s">
        <v>133</v>
      </c>
      <c r="O375" s="3" t="s">
        <v>42</v>
      </c>
      <c r="P375" s="30">
        <v>44784</v>
      </c>
      <c r="Q375" s="3" t="s">
        <v>695</v>
      </c>
      <c r="R375" s="3">
        <v>5</v>
      </c>
      <c r="S375" s="3">
        <v>344</v>
      </c>
      <c r="T375" s="4"/>
      <c r="U375" s="3" t="s">
        <v>44</v>
      </c>
      <c r="V375" s="18" t="s">
        <v>33</v>
      </c>
    </row>
    <row r="376" spans="1:22" ht="15" customHeight="1" x14ac:dyDescent="0.25">
      <c r="A376" s="15" t="s">
        <v>871</v>
      </c>
      <c r="B376" s="1" t="s">
        <v>872</v>
      </c>
      <c r="C376">
        <v>83</v>
      </c>
      <c r="D376" s="1" t="s">
        <v>36</v>
      </c>
      <c r="E376" s="1" t="s">
        <v>48</v>
      </c>
      <c r="F376" s="1" t="s">
        <v>49</v>
      </c>
      <c r="G376" s="1" t="s">
        <v>131</v>
      </c>
      <c r="H376" s="1" t="s">
        <v>156</v>
      </c>
      <c r="I376" s="7">
        <v>44518</v>
      </c>
      <c r="J376" s="7">
        <v>44523</v>
      </c>
      <c r="K376" s="1">
        <v>5</v>
      </c>
      <c r="L376" s="1" t="s">
        <v>102</v>
      </c>
      <c r="M376" s="1" t="s">
        <v>28</v>
      </c>
      <c r="N376" s="1" t="s">
        <v>133</v>
      </c>
      <c r="O376" s="1" t="s">
        <v>42</v>
      </c>
      <c r="P376" s="29">
        <v>23230.14</v>
      </c>
      <c r="Q376" s="1" t="s">
        <v>152</v>
      </c>
      <c r="R376" s="1">
        <v>7</v>
      </c>
      <c r="S376" s="1">
        <v>414</v>
      </c>
      <c r="T376" s="1">
        <v>20.3</v>
      </c>
      <c r="U376" s="1" t="s">
        <v>44</v>
      </c>
      <c r="V376" s="17" t="s">
        <v>45</v>
      </c>
    </row>
    <row r="377" spans="1:22" ht="15" customHeight="1" x14ac:dyDescent="0.25">
      <c r="A377" s="16" t="s">
        <v>873</v>
      </c>
      <c r="B377" s="3" t="s">
        <v>874</v>
      </c>
      <c r="C377">
        <v>80</v>
      </c>
      <c r="D377" s="3" t="s">
        <v>36</v>
      </c>
      <c r="E377" s="3" t="s">
        <v>48</v>
      </c>
      <c r="F377" s="3" t="s">
        <v>83</v>
      </c>
      <c r="G377" s="3" t="s">
        <v>77</v>
      </c>
      <c r="H377" s="3" t="s">
        <v>26</v>
      </c>
      <c r="I377" s="8">
        <v>45052</v>
      </c>
      <c r="J377" s="8">
        <v>45070</v>
      </c>
      <c r="K377" s="3">
        <v>18</v>
      </c>
      <c r="L377" s="3" t="s">
        <v>185</v>
      </c>
      <c r="M377" s="3" t="s">
        <v>186</v>
      </c>
      <c r="N377" s="3" t="s">
        <v>94</v>
      </c>
      <c r="O377" s="3" t="s">
        <v>30</v>
      </c>
      <c r="P377" s="30">
        <v>117403.34</v>
      </c>
      <c r="Q377" s="3" t="s">
        <v>100</v>
      </c>
      <c r="R377" s="3">
        <v>10</v>
      </c>
      <c r="S377" s="3">
        <v>343</v>
      </c>
      <c r="T377" s="3">
        <v>35.799999999999997</v>
      </c>
      <c r="U377" s="3" t="s">
        <v>44</v>
      </c>
      <c r="V377" s="18" t="s">
        <v>45</v>
      </c>
    </row>
    <row r="378" spans="1:22" ht="15" customHeight="1" x14ac:dyDescent="0.25">
      <c r="A378" s="15" t="s">
        <v>875</v>
      </c>
      <c r="B378" s="2" t="s">
        <v>3589</v>
      </c>
      <c r="C378">
        <v>19</v>
      </c>
      <c r="D378" s="1" t="s">
        <v>47</v>
      </c>
      <c r="E378" s="1" t="s">
        <v>48</v>
      </c>
      <c r="F378" s="1" t="s">
        <v>49</v>
      </c>
      <c r="G378" s="1" t="s">
        <v>71</v>
      </c>
      <c r="H378" s="1" t="s">
        <v>26</v>
      </c>
      <c r="I378" s="7">
        <v>45001</v>
      </c>
      <c r="J378" s="7">
        <v>45004</v>
      </c>
      <c r="K378" s="1">
        <v>3</v>
      </c>
      <c r="L378" s="1" t="s">
        <v>27</v>
      </c>
      <c r="M378" s="1" t="s">
        <v>28</v>
      </c>
      <c r="N378" s="1" t="s">
        <v>312</v>
      </c>
      <c r="O378" s="1" t="s">
        <v>30</v>
      </c>
      <c r="P378" s="29">
        <v>13545.48</v>
      </c>
      <c r="Q378" s="1" t="s">
        <v>170</v>
      </c>
      <c r="R378" s="1">
        <v>5</v>
      </c>
      <c r="S378" s="1">
        <v>249</v>
      </c>
      <c r="T378" s="1">
        <v>19.100000000000001</v>
      </c>
      <c r="U378" s="1" t="s">
        <v>32</v>
      </c>
      <c r="V378" s="17" t="s">
        <v>33</v>
      </c>
    </row>
    <row r="379" spans="1:22" ht="15" customHeight="1" x14ac:dyDescent="0.25">
      <c r="A379" s="16" t="s">
        <v>876</v>
      </c>
      <c r="B379" s="3" t="s">
        <v>877</v>
      </c>
      <c r="C379">
        <v>24</v>
      </c>
      <c r="D379" s="3" t="s">
        <v>47</v>
      </c>
      <c r="E379" s="3" t="s">
        <v>23</v>
      </c>
      <c r="F379" s="3" t="s">
        <v>49</v>
      </c>
      <c r="G379" s="3" t="s">
        <v>77</v>
      </c>
      <c r="H379" s="3" t="s">
        <v>78</v>
      </c>
      <c r="I379" s="8">
        <v>43734</v>
      </c>
      <c r="J379" s="8">
        <v>43534</v>
      </c>
      <c r="K379" s="3">
        <v>7</v>
      </c>
      <c r="L379" s="3" t="s">
        <v>27</v>
      </c>
      <c r="M379" s="3" t="s">
        <v>28</v>
      </c>
      <c r="N379" s="3" t="s">
        <v>84</v>
      </c>
      <c r="O379" s="3" t="s">
        <v>55</v>
      </c>
      <c r="P379" s="30">
        <v>43434.04</v>
      </c>
      <c r="Q379" s="3" t="s">
        <v>80</v>
      </c>
      <c r="R379" s="3">
        <v>7</v>
      </c>
      <c r="S379" s="3">
        <v>264</v>
      </c>
      <c r="T379" s="3">
        <v>41.5</v>
      </c>
      <c r="U379" s="3" t="s">
        <v>32</v>
      </c>
      <c r="V379" s="18" t="s">
        <v>33</v>
      </c>
    </row>
    <row r="380" spans="1:22" ht="15" customHeight="1" x14ac:dyDescent="0.25">
      <c r="A380" s="15" t="s">
        <v>878</v>
      </c>
      <c r="B380" s="1" t="s">
        <v>879</v>
      </c>
      <c r="C380">
        <v>68</v>
      </c>
      <c r="D380" s="1" t="s">
        <v>82</v>
      </c>
      <c r="E380" s="1" t="s">
        <v>23</v>
      </c>
      <c r="F380" s="1" t="s">
        <v>37</v>
      </c>
      <c r="G380" s="1" t="s">
        <v>38</v>
      </c>
      <c r="H380" s="1" t="s">
        <v>51</v>
      </c>
      <c r="I380" s="6">
        <v>43567</v>
      </c>
      <c r="J380" s="7">
        <v>43806</v>
      </c>
      <c r="K380" s="1">
        <v>3</v>
      </c>
      <c r="L380" s="1" t="s">
        <v>89</v>
      </c>
      <c r="M380" s="1" t="s">
        <v>90</v>
      </c>
      <c r="N380" s="1" t="s">
        <v>173</v>
      </c>
      <c r="O380" s="1" t="s">
        <v>66</v>
      </c>
      <c r="P380" s="29">
        <v>24344.71</v>
      </c>
      <c r="Q380" s="1" t="s">
        <v>204</v>
      </c>
      <c r="R380" s="1">
        <v>8</v>
      </c>
      <c r="S380" s="1">
        <v>106</v>
      </c>
      <c r="T380" s="1">
        <v>36</v>
      </c>
      <c r="U380" s="1" t="s">
        <v>44</v>
      </c>
      <c r="V380" s="17" t="s">
        <v>45</v>
      </c>
    </row>
    <row r="381" spans="1:22" ht="15" customHeight="1" x14ac:dyDescent="0.25">
      <c r="A381" s="16" t="s">
        <v>880</v>
      </c>
      <c r="B381" s="3" t="s">
        <v>881</v>
      </c>
      <c r="C381">
        <v>76</v>
      </c>
      <c r="D381" s="3" t="s">
        <v>36</v>
      </c>
      <c r="E381" s="3" t="s">
        <v>48</v>
      </c>
      <c r="F381" s="3" t="s">
        <v>24</v>
      </c>
      <c r="G381" s="3" t="s">
        <v>77</v>
      </c>
      <c r="H381" s="3" t="s">
        <v>26</v>
      </c>
      <c r="I381" s="8">
        <v>44054</v>
      </c>
      <c r="J381" s="8">
        <v>44156</v>
      </c>
      <c r="K381" s="3">
        <v>13</v>
      </c>
      <c r="L381" s="3" t="s">
        <v>112</v>
      </c>
      <c r="M381" s="3" t="s">
        <v>40</v>
      </c>
      <c r="N381" s="3" t="s">
        <v>79</v>
      </c>
      <c r="O381" s="3" t="s">
        <v>104</v>
      </c>
      <c r="P381" s="30">
        <v>44547</v>
      </c>
      <c r="Q381" s="3" t="s">
        <v>123</v>
      </c>
      <c r="R381" s="3">
        <v>10</v>
      </c>
      <c r="S381" s="3">
        <v>347</v>
      </c>
      <c r="T381" s="3">
        <v>27.9</v>
      </c>
      <c r="U381" s="3" t="s">
        <v>86</v>
      </c>
      <c r="V381" s="18" t="s">
        <v>45</v>
      </c>
    </row>
    <row r="382" spans="1:22" ht="15" customHeight="1" x14ac:dyDescent="0.25">
      <c r="A382" s="15" t="s">
        <v>882</v>
      </c>
      <c r="B382" s="1" t="s">
        <v>883</v>
      </c>
      <c r="C382">
        <v>69</v>
      </c>
      <c r="D382" s="1" t="s">
        <v>82</v>
      </c>
      <c r="E382" s="1" t="s">
        <v>48</v>
      </c>
      <c r="F382" s="1" t="s">
        <v>83</v>
      </c>
      <c r="G382" s="1" t="s">
        <v>25</v>
      </c>
      <c r="H382" s="1" t="s">
        <v>78</v>
      </c>
      <c r="I382" s="7">
        <v>44582</v>
      </c>
      <c r="J382" s="7">
        <v>44622</v>
      </c>
      <c r="K382" s="1">
        <v>13</v>
      </c>
      <c r="L382" s="1" t="s">
        <v>89</v>
      </c>
      <c r="M382" s="1" t="s">
        <v>90</v>
      </c>
      <c r="N382" s="1" t="s">
        <v>65</v>
      </c>
      <c r="O382" s="1" t="s">
        <v>30</v>
      </c>
      <c r="P382" s="29">
        <v>20406.2</v>
      </c>
      <c r="Q382" s="1" t="s">
        <v>31</v>
      </c>
      <c r="R382" s="1">
        <v>10</v>
      </c>
      <c r="S382" s="1">
        <v>350</v>
      </c>
      <c r="T382" s="1">
        <v>20.6</v>
      </c>
      <c r="U382" s="1" t="s">
        <v>44</v>
      </c>
      <c r="V382" s="17" t="s">
        <v>33</v>
      </c>
    </row>
    <row r="383" spans="1:22" ht="15" customHeight="1" x14ac:dyDescent="0.25">
      <c r="A383" s="16" t="s">
        <v>884</v>
      </c>
      <c r="B383" s="3" t="s">
        <v>885</v>
      </c>
      <c r="C383">
        <v>87</v>
      </c>
      <c r="D383" s="3" t="s">
        <v>36</v>
      </c>
      <c r="E383" s="3" t="s">
        <v>23</v>
      </c>
      <c r="F383" s="3" t="s">
        <v>76</v>
      </c>
      <c r="G383" s="3" t="s">
        <v>163</v>
      </c>
      <c r="H383" s="3" t="s">
        <v>78</v>
      </c>
      <c r="I383" s="6">
        <v>44381</v>
      </c>
      <c r="J383" s="8">
        <v>44300</v>
      </c>
      <c r="K383" s="3">
        <v>7</v>
      </c>
      <c r="L383" s="3" t="s">
        <v>89</v>
      </c>
      <c r="M383" s="3" t="s">
        <v>90</v>
      </c>
      <c r="N383" s="3" t="s">
        <v>213</v>
      </c>
      <c r="O383" s="3" t="s">
        <v>30</v>
      </c>
      <c r="P383" s="30">
        <v>31529.62</v>
      </c>
      <c r="Q383" s="3" t="s">
        <v>259</v>
      </c>
      <c r="R383" s="3">
        <v>6</v>
      </c>
      <c r="S383" s="3">
        <v>405</v>
      </c>
      <c r="T383" s="3">
        <v>23.7</v>
      </c>
      <c r="U383" s="3" t="s">
        <v>32</v>
      </c>
      <c r="V383" s="18" t="s">
        <v>33</v>
      </c>
    </row>
    <row r="384" spans="1:22" ht="15" customHeight="1" x14ac:dyDescent="0.25">
      <c r="A384" s="15" t="s">
        <v>886</v>
      </c>
      <c r="B384" s="1" t="s">
        <v>887</v>
      </c>
      <c r="C384">
        <v>70</v>
      </c>
      <c r="D384" s="1" t="s">
        <v>82</v>
      </c>
      <c r="E384" s="1" t="s">
        <v>23</v>
      </c>
      <c r="F384" s="1" t="s">
        <v>24</v>
      </c>
      <c r="G384" s="1" t="s">
        <v>60</v>
      </c>
      <c r="H384" s="1" t="s">
        <v>26</v>
      </c>
      <c r="I384" s="7">
        <v>43697</v>
      </c>
      <c r="J384" s="7">
        <v>43701</v>
      </c>
      <c r="K384" s="1">
        <v>4</v>
      </c>
      <c r="L384" s="1" t="s">
        <v>89</v>
      </c>
      <c r="M384" s="1" t="s">
        <v>90</v>
      </c>
      <c r="N384" s="1" t="s">
        <v>103</v>
      </c>
      <c r="O384" s="1" t="s">
        <v>66</v>
      </c>
      <c r="P384" s="29">
        <v>49549.32</v>
      </c>
      <c r="Q384" s="1" t="s">
        <v>137</v>
      </c>
      <c r="R384" s="1">
        <v>6</v>
      </c>
      <c r="S384" s="1">
        <v>133</v>
      </c>
      <c r="T384" s="1">
        <v>19.100000000000001</v>
      </c>
      <c r="U384" s="1" t="s">
        <v>44</v>
      </c>
      <c r="V384" s="17" t="s">
        <v>33</v>
      </c>
    </row>
    <row r="385" spans="1:22" ht="15" customHeight="1" x14ac:dyDescent="0.25">
      <c r="A385" s="16" t="s">
        <v>888</v>
      </c>
      <c r="B385" s="3" t="s">
        <v>889</v>
      </c>
      <c r="C385">
        <v>86</v>
      </c>
      <c r="D385" s="3" t="s">
        <v>36</v>
      </c>
      <c r="E385" s="3" t="s">
        <v>23</v>
      </c>
      <c r="F385" s="3" t="s">
        <v>76</v>
      </c>
      <c r="G385" s="3" t="s">
        <v>77</v>
      </c>
      <c r="H385" s="3" t="s">
        <v>51</v>
      </c>
      <c r="I385" s="8">
        <v>45567</v>
      </c>
      <c r="J385" s="8">
        <v>45576</v>
      </c>
      <c r="K385" s="3">
        <v>9</v>
      </c>
      <c r="L385" s="3" t="s">
        <v>102</v>
      </c>
      <c r="M385" s="3" t="s">
        <v>28</v>
      </c>
      <c r="N385" s="3" t="s">
        <v>84</v>
      </c>
      <c r="O385" s="3" t="s">
        <v>30</v>
      </c>
      <c r="P385" s="30">
        <v>54761.91</v>
      </c>
      <c r="Q385" s="3" t="s">
        <v>80</v>
      </c>
      <c r="R385" s="3">
        <v>7</v>
      </c>
      <c r="S385" s="3">
        <v>146</v>
      </c>
      <c r="T385" s="3">
        <v>33.1</v>
      </c>
      <c r="U385" s="3" t="s">
        <v>44</v>
      </c>
      <c r="V385" s="18" t="s">
        <v>45</v>
      </c>
    </row>
    <row r="386" spans="1:22" ht="15" customHeight="1" x14ac:dyDescent="0.25">
      <c r="A386" s="15" t="s">
        <v>890</v>
      </c>
      <c r="B386" s="1" t="s">
        <v>891</v>
      </c>
      <c r="C386">
        <v>59</v>
      </c>
      <c r="D386" s="1" t="s">
        <v>59</v>
      </c>
      <c r="E386" s="1" t="s">
        <v>48</v>
      </c>
      <c r="F386" s="1" t="s">
        <v>83</v>
      </c>
      <c r="G386" s="1" t="s">
        <v>60</v>
      </c>
      <c r="H386" s="1" t="s">
        <v>78</v>
      </c>
      <c r="I386" s="6">
        <v>44395</v>
      </c>
      <c r="J386" s="7">
        <v>44401</v>
      </c>
      <c r="K386" s="1">
        <v>6</v>
      </c>
      <c r="L386" s="1" t="s">
        <v>89</v>
      </c>
      <c r="M386" s="1" t="s">
        <v>90</v>
      </c>
      <c r="N386" s="1" t="s">
        <v>103</v>
      </c>
      <c r="O386" s="1" t="s">
        <v>30</v>
      </c>
      <c r="P386" s="29">
        <v>15286.9</v>
      </c>
      <c r="Q386" s="1" t="s">
        <v>349</v>
      </c>
      <c r="R386" s="1">
        <v>6</v>
      </c>
      <c r="S386" s="1">
        <v>437</v>
      </c>
      <c r="T386" s="1">
        <v>26.3</v>
      </c>
      <c r="U386" s="1" t="s">
        <v>32</v>
      </c>
      <c r="V386" s="17" t="s">
        <v>33</v>
      </c>
    </row>
    <row r="387" spans="1:22" ht="15" customHeight="1" x14ac:dyDescent="0.25">
      <c r="A387" s="16" t="s">
        <v>892</v>
      </c>
      <c r="B387" s="3" t="s">
        <v>893</v>
      </c>
      <c r="C387">
        <v>70</v>
      </c>
      <c r="D387" s="3" t="s">
        <v>82</v>
      </c>
      <c r="E387" s="3" t="s">
        <v>48</v>
      </c>
      <c r="F387" s="3" t="s">
        <v>37</v>
      </c>
      <c r="G387" s="3" t="s">
        <v>71</v>
      </c>
      <c r="H387" s="3" t="s">
        <v>78</v>
      </c>
      <c r="I387" s="8">
        <v>45154</v>
      </c>
      <c r="J387" s="8">
        <v>45156</v>
      </c>
      <c r="K387" s="3">
        <v>2</v>
      </c>
      <c r="L387" s="3" t="s">
        <v>185</v>
      </c>
      <c r="M387" s="3" t="s">
        <v>186</v>
      </c>
      <c r="N387" s="3" t="s">
        <v>177</v>
      </c>
      <c r="O387" s="3" t="s">
        <v>42</v>
      </c>
      <c r="P387" s="30">
        <v>13971.7</v>
      </c>
      <c r="Q387" s="3" t="s">
        <v>170</v>
      </c>
      <c r="R387" s="3">
        <v>5</v>
      </c>
      <c r="S387" s="3">
        <v>201</v>
      </c>
      <c r="T387" s="3">
        <v>30</v>
      </c>
      <c r="U387" s="3" t="s">
        <v>32</v>
      </c>
      <c r="V387" s="18" t="s">
        <v>33</v>
      </c>
    </row>
    <row r="388" spans="1:22" ht="15" customHeight="1" x14ac:dyDescent="0.25">
      <c r="A388" s="15" t="s">
        <v>894</v>
      </c>
      <c r="B388" s="1" t="s">
        <v>505</v>
      </c>
      <c r="C388">
        <v>72</v>
      </c>
      <c r="D388" s="1" t="s">
        <v>82</v>
      </c>
      <c r="E388" s="1" t="s">
        <v>23</v>
      </c>
      <c r="F388" s="1" t="s">
        <v>99</v>
      </c>
      <c r="G388" s="1" t="s">
        <v>163</v>
      </c>
      <c r="H388" s="1" t="s">
        <v>26</v>
      </c>
      <c r="I388" s="6">
        <v>43682</v>
      </c>
      <c r="J388" s="7">
        <v>43686</v>
      </c>
      <c r="K388" s="1">
        <v>4</v>
      </c>
      <c r="L388" s="1" t="s">
        <v>185</v>
      </c>
      <c r="M388" s="1" t="s">
        <v>186</v>
      </c>
      <c r="N388" s="1" t="s">
        <v>346</v>
      </c>
      <c r="O388" s="1" t="s">
        <v>55</v>
      </c>
      <c r="P388" s="29">
        <v>81123</v>
      </c>
      <c r="Q388" s="1" t="s">
        <v>165</v>
      </c>
      <c r="R388" s="1">
        <v>4</v>
      </c>
      <c r="S388" s="1">
        <v>181</v>
      </c>
      <c r="T388" s="1">
        <v>29.7</v>
      </c>
      <c r="U388" s="1" t="s">
        <v>86</v>
      </c>
      <c r="V388" s="17" t="s">
        <v>33</v>
      </c>
    </row>
    <row r="389" spans="1:22" ht="15" customHeight="1" x14ac:dyDescent="0.25">
      <c r="A389" s="16" t="s">
        <v>895</v>
      </c>
      <c r="B389" s="3" t="s">
        <v>896</v>
      </c>
      <c r="C389">
        <v>67</v>
      </c>
      <c r="D389" s="3" t="s">
        <v>82</v>
      </c>
      <c r="E389" s="3" t="s">
        <v>48</v>
      </c>
      <c r="F389" s="3" t="s">
        <v>24</v>
      </c>
      <c r="G389" s="3" t="s">
        <v>38</v>
      </c>
      <c r="H389" s="3" t="s">
        <v>26</v>
      </c>
      <c r="I389" s="8">
        <v>45288</v>
      </c>
      <c r="J389" s="8">
        <v>45292</v>
      </c>
      <c r="K389" s="3">
        <v>4</v>
      </c>
      <c r="L389" s="3" t="s">
        <v>231</v>
      </c>
      <c r="M389" s="3" t="s">
        <v>53</v>
      </c>
      <c r="N389" s="3" t="s">
        <v>203</v>
      </c>
      <c r="O389" s="3" t="s">
        <v>66</v>
      </c>
      <c r="P389" s="30">
        <v>65597.19</v>
      </c>
      <c r="Q389" s="3" t="s">
        <v>567</v>
      </c>
      <c r="R389" s="3">
        <v>7</v>
      </c>
      <c r="S389" s="3">
        <v>289</v>
      </c>
      <c r="T389" s="3">
        <v>36</v>
      </c>
      <c r="U389" s="3" t="s">
        <v>44</v>
      </c>
      <c r="V389" s="18" t="s">
        <v>45</v>
      </c>
    </row>
    <row r="390" spans="1:22" ht="15" customHeight="1" x14ac:dyDescent="0.25">
      <c r="A390" s="15" t="s">
        <v>897</v>
      </c>
      <c r="B390" s="1" t="s">
        <v>898</v>
      </c>
      <c r="C390">
        <v>41</v>
      </c>
      <c r="D390" s="1" t="s">
        <v>98</v>
      </c>
      <c r="E390" s="1" t="s">
        <v>48</v>
      </c>
      <c r="F390" s="1" t="s">
        <v>76</v>
      </c>
      <c r="G390" s="1" t="s">
        <v>131</v>
      </c>
      <c r="H390" s="1" t="s">
        <v>51</v>
      </c>
      <c r="I390" s="7">
        <v>45177</v>
      </c>
      <c r="J390" s="7">
        <v>45185</v>
      </c>
      <c r="K390" s="1">
        <v>8</v>
      </c>
      <c r="L390" s="1" t="s">
        <v>185</v>
      </c>
      <c r="M390" s="1" t="s">
        <v>186</v>
      </c>
      <c r="N390" s="1" t="s">
        <v>147</v>
      </c>
      <c r="O390" s="1" t="s">
        <v>104</v>
      </c>
      <c r="P390" s="29">
        <v>10008.040000000001</v>
      </c>
      <c r="Q390" s="1" t="s">
        <v>291</v>
      </c>
      <c r="R390" s="1">
        <v>7</v>
      </c>
      <c r="S390" s="1">
        <v>170</v>
      </c>
      <c r="T390" s="1">
        <v>26.7</v>
      </c>
      <c r="U390" s="1" t="s">
        <v>44</v>
      </c>
      <c r="V390" s="17" t="s">
        <v>33</v>
      </c>
    </row>
    <row r="391" spans="1:22" ht="15" customHeight="1" x14ac:dyDescent="0.25">
      <c r="A391" s="16" t="s">
        <v>899</v>
      </c>
      <c r="B391" s="3" t="s">
        <v>780</v>
      </c>
      <c r="C391">
        <v>69</v>
      </c>
      <c r="D391" s="3" t="s">
        <v>82</v>
      </c>
      <c r="E391" s="3" t="s">
        <v>23</v>
      </c>
      <c r="F391" s="2" t="s">
        <v>155</v>
      </c>
      <c r="G391" s="3" t="s">
        <v>77</v>
      </c>
      <c r="H391" s="3" t="s">
        <v>51</v>
      </c>
      <c r="I391" s="8">
        <v>45204</v>
      </c>
      <c r="J391" s="8">
        <v>45210</v>
      </c>
      <c r="K391" s="3">
        <v>6</v>
      </c>
      <c r="L391" s="3" t="s">
        <v>89</v>
      </c>
      <c r="M391" s="3" t="s">
        <v>90</v>
      </c>
      <c r="N391" s="3" t="s">
        <v>84</v>
      </c>
      <c r="O391" s="3" t="s">
        <v>42</v>
      </c>
      <c r="P391" s="30">
        <v>79818.83</v>
      </c>
      <c r="Q391" s="3" t="s">
        <v>123</v>
      </c>
      <c r="R391" s="3">
        <v>10</v>
      </c>
      <c r="S391" s="3">
        <v>122</v>
      </c>
      <c r="T391" s="3">
        <v>43.5</v>
      </c>
      <c r="U391" s="3" t="s">
        <v>32</v>
      </c>
      <c r="V391" s="18" t="s">
        <v>33</v>
      </c>
    </row>
    <row r="392" spans="1:22" ht="15" customHeight="1" x14ac:dyDescent="0.25">
      <c r="A392" s="15" t="s">
        <v>900</v>
      </c>
      <c r="B392" s="2" t="s">
        <v>1134</v>
      </c>
      <c r="C392">
        <v>75</v>
      </c>
      <c r="D392" s="1" t="s">
        <v>36</v>
      </c>
      <c r="E392" s="1" t="s">
        <v>48</v>
      </c>
      <c r="F392" s="1" t="s">
        <v>24</v>
      </c>
      <c r="G392" s="1" t="s">
        <v>50</v>
      </c>
      <c r="H392" s="1" t="s">
        <v>26</v>
      </c>
      <c r="I392" s="6">
        <v>44821</v>
      </c>
      <c r="J392" s="7">
        <v>44832</v>
      </c>
      <c r="K392" s="1">
        <v>11</v>
      </c>
      <c r="L392" s="1" t="s">
        <v>52</v>
      </c>
      <c r="M392" s="1" t="s">
        <v>53</v>
      </c>
      <c r="N392" s="1" t="s">
        <v>54</v>
      </c>
      <c r="O392" s="1" t="s">
        <v>42</v>
      </c>
      <c r="P392" s="29">
        <v>109343</v>
      </c>
      <c r="Q392" s="1" t="s">
        <v>351</v>
      </c>
      <c r="R392" s="1">
        <v>9</v>
      </c>
      <c r="S392" s="1">
        <v>360</v>
      </c>
      <c r="T392" s="4"/>
      <c r="U392" s="1" t="s">
        <v>44</v>
      </c>
      <c r="V392" s="17" t="s">
        <v>33</v>
      </c>
    </row>
    <row r="393" spans="1:22" ht="15" customHeight="1" x14ac:dyDescent="0.25">
      <c r="A393" s="16" t="s">
        <v>901</v>
      </c>
      <c r="B393" s="3" t="s">
        <v>902</v>
      </c>
      <c r="C393">
        <v>64</v>
      </c>
      <c r="D393" s="3" t="s">
        <v>59</v>
      </c>
      <c r="E393" s="3" t="s">
        <v>48</v>
      </c>
      <c r="F393" s="3" t="s">
        <v>83</v>
      </c>
      <c r="G393" s="3" t="s">
        <v>163</v>
      </c>
      <c r="H393" s="3" t="s">
        <v>51</v>
      </c>
      <c r="I393" s="8">
        <v>44241</v>
      </c>
      <c r="J393" s="8">
        <v>44247</v>
      </c>
      <c r="K393" s="3">
        <v>6</v>
      </c>
      <c r="L393" s="3" t="s">
        <v>122</v>
      </c>
      <c r="M393" s="3" t="s">
        <v>40</v>
      </c>
      <c r="N393" s="3" t="s">
        <v>213</v>
      </c>
      <c r="O393" s="3" t="s">
        <v>30</v>
      </c>
      <c r="P393" s="30">
        <v>16982.919999999998</v>
      </c>
      <c r="Q393" s="3" t="s">
        <v>165</v>
      </c>
      <c r="R393" s="3">
        <v>6</v>
      </c>
      <c r="S393" s="3">
        <v>194</v>
      </c>
      <c r="T393" s="3">
        <v>34.299999999999997</v>
      </c>
      <c r="U393" s="3" t="s">
        <v>32</v>
      </c>
      <c r="V393" s="18" t="s">
        <v>33</v>
      </c>
    </row>
    <row r="394" spans="1:22" ht="15" customHeight="1" x14ac:dyDescent="0.25">
      <c r="A394" s="15" t="s">
        <v>903</v>
      </c>
      <c r="B394" s="1" t="s">
        <v>772</v>
      </c>
      <c r="C394">
        <v>57</v>
      </c>
      <c r="D394" s="1" t="s">
        <v>59</v>
      </c>
      <c r="E394" s="1" t="s">
        <v>23</v>
      </c>
      <c r="F394" s="1" t="s">
        <v>24</v>
      </c>
      <c r="G394" s="1" t="s">
        <v>163</v>
      </c>
      <c r="H394" s="1" t="s">
        <v>26</v>
      </c>
      <c r="I394" s="7">
        <v>45292</v>
      </c>
      <c r="J394" s="7">
        <v>45294</v>
      </c>
      <c r="K394" s="1">
        <v>2</v>
      </c>
      <c r="L394" s="1" t="s">
        <v>122</v>
      </c>
      <c r="M394" s="1" t="s">
        <v>40</v>
      </c>
      <c r="N394" s="1" t="s">
        <v>346</v>
      </c>
      <c r="O394" s="1" t="s">
        <v>42</v>
      </c>
      <c r="P394" s="29">
        <v>57009.42</v>
      </c>
      <c r="Q394" s="1" t="s">
        <v>62</v>
      </c>
      <c r="R394" s="1">
        <v>4</v>
      </c>
      <c r="S394" s="1">
        <v>197</v>
      </c>
      <c r="T394" s="1">
        <v>21.2</v>
      </c>
      <c r="U394" s="1" t="s">
        <v>32</v>
      </c>
      <c r="V394" s="17" t="s">
        <v>33</v>
      </c>
    </row>
    <row r="395" spans="1:22" ht="15" customHeight="1" x14ac:dyDescent="0.25">
      <c r="A395" s="16" t="s">
        <v>904</v>
      </c>
      <c r="B395" s="3" t="s">
        <v>905</v>
      </c>
      <c r="C395">
        <v>85</v>
      </c>
      <c r="D395" s="3" t="s">
        <v>36</v>
      </c>
      <c r="E395" s="3" t="s">
        <v>48</v>
      </c>
      <c r="F395" s="3" t="s">
        <v>70</v>
      </c>
      <c r="G395" s="3" t="s">
        <v>38</v>
      </c>
      <c r="H395" s="3" t="s">
        <v>78</v>
      </c>
      <c r="I395" s="8">
        <v>45184</v>
      </c>
      <c r="J395" s="8">
        <v>45190</v>
      </c>
      <c r="K395" s="3">
        <v>6</v>
      </c>
      <c r="L395" s="3" t="s">
        <v>132</v>
      </c>
      <c r="M395" s="3" t="s">
        <v>53</v>
      </c>
      <c r="N395" s="3" t="s">
        <v>41</v>
      </c>
      <c r="O395" s="3" t="s">
        <v>104</v>
      </c>
      <c r="P395" s="30">
        <v>12367.95</v>
      </c>
      <c r="Q395" s="3" t="s">
        <v>567</v>
      </c>
      <c r="R395" s="3">
        <v>8</v>
      </c>
      <c r="S395" s="3">
        <v>272</v>
      </c>
      <c r="T395" s="3">
        <v>17</v>
      </c>
      <c r="U395" s="3" t="s">
        <v>44</v>
      </c>
      <c r="V395" s="18" t="s">
        <v>45</v>
      </c>
    </row>
    <row r="396" spans="1:22" ht="15" customHeight="1" x14ac:dyDescent="0.25">
      <c r="A396" s="15" t="s">
        <v>906</v>
      </c>
      <c r="B396" s="1" t="s">
        <v>907</v>
      </c>
      <c r="C396">
        <v>83</v>
      </c>
      <c r="D396" s="1" t="s">
        <v>36</v>
      </c>
      <c r="E396" s="1" t="s">
        <v>23</v>
      </c>
      <c r="F396" s="1" t="s">
        <v>70</v>
      </c>
      <c r="G396" s="1" t="s">
        <v>50</v>
      </c>
      <c r="H396" s="1" t="s">
        <v>26</v>
      </c>
      <c r="I396" s="6">
        <v>43505</v>
      </c>
      <c r="J396" s="7">
        <v>43720</v>
      </c>
      <c r="K396" s="1">
        <v>10</v>
      </c>
      <c r="L396" s="1" t="s">
        <v>102</v>
      </c>
      <c r="M396" s="1" t="s">
        <v>28</v>
      </c>
      <c r="N396" s="1" t="s">
        <v>126</v>
      </c>
      <c r="O396" s="1" t="s">
        <v>104</v>
      </c>
      <c r="P396" s="29">
        <v>35798.14</v>
      </c>
      <c r="Q396" s="1" t="s">
        <v>623</v>
      </c>
      <c r="R396" s="1">
        <v>8</v>
      </c>
      <c r="S396" s="1">
        <v>316</v>
      </c>
      <c r="T396" s="1">
        <v>24.5</v>
      </c>
      <c r="U396" s="1" t="s">
        <v>44</v>
      </c>
      <c r="V396" s="17" t="s">
        <v>45</v>
      </c>
    </row>
    <row r="397" spans="1:22" ht="15" customHeight="1" x14ac:dyDescent="0.25">
      <c r="A397" s="16" t="s">
        <v>908</v>
      </c>
      <c r="B397" s="3" t="s">
        <v>909</v>
      </c>
      <c r="C397">
        <v>53</v>
      </c>
      <c r="D397" s="3" t="s">
        <v>98</v>
      </c>
      <c r="E397" s="3" t="s">
        <v>48</v>
      </c>
      <c r="F397" s="3" t="s">
        <v>83</v>
      </c>
      <c r="G397" s="3" t="s">
        <v>163</v>
      </c>
      <c r="H397" s="3" t="s">
        <v>51</v>
      </c>
      <c r="I397" s="6">
        <v>44658</v>
      </c>
      <c r="J397" s="8">
        <v>44754</v>
      </c>
      <c r="K397" s="3">
        <v>8</v>
      </c>
      <c r="L397" s="3" t="s">
        <v>102</v>
      </c>
      <c r="M397" s="3" t="s">
        <v>28</v>
      </c>
      <c r="N397" s="3" t="s">
        <v>164</v>
      </c>
      <c r="O397" s="3" t="s">
        <v>30</v>
      </c>
      <c r="P397" s="30">
        <v>15352.68</v>
      </c>
      <c r="Q397" s="3" t="s">
        <v>62</v>
      </c>
      <c r="R397" s="3">
        <v>4</v>
      </c>
      <c r="S397" s="3">
        <v>162</v>
      </c>
      <c r="T397" s="3">
        <v>16.399999999999999</v>
      </c>
      <c r="U397" s="3" t="s">
        <v>32</v>
      </c>
      <c r="V397" s="18" t="s">
        <v>33</v>
      </c>
    </row>
    <row r="398" spans="1:22" ht="15" customHeight="1" x14ac:dyDescent="0.25">
      <c r="A398" s="15" t="s">
        <v>910</v>
      </c>
      <c r="B398" s="1" t="s">
        <v>627</v>
      </c>
      <c r="C398">
        <v>57</v>
      </c>
      <c r="D398" s="1" t="s">
        <v>59</v>
      </c>
      <c r="E398" s="1" t="s">
        <v>48</v>
      </c>
      <c r="F398" s="1" t="s">
        <v>83</v>
      </c>
      <c r="G398" s="1" t="s">
        <v>71</v>
      </c>
      <c r="H398" s="1" t="s">
        <v>78</v>
      </c>
      <c r="I398" s="7">
        <v>43506</v>
      </c>
      <c r="J398" s="7">
        <v>43565</v>
      </c>
      <c r="K398" s="1">
        <v>2</v>
      </c>
      <c r="L398" s="1" t="s">
        <v>52</v>
      </c>
      <c r="M398" s="1" t="s">
        <v>53</v>
      </c>
      <c r="N398" s="1" t="s">
        <v>177</v>
      </c>
      <c r="O398" s="1" t="s">
        <v>55</v>
      </c>
      <c r="P398" s="29">
        <v>10657.16</v>
      </c>
      <c r="Q398" s="1" t="s">
        <v>503</v>
      </c>
      <c r="R398" s="1">
        <v>4</v>
      </c>
      <c r="S398" s="1">
        <v>196</v>
      </c>
      <c r="T398" s="1">
        <v>25.2</v>
      </c>
      <c r="U398" s="1" t="s">
        <v>32</v>
      </c>
      <c r="V398" s="17" t="s">
        <v>33</v>
      </c>
    </row>
    <row r="399" spans="1:22" ht="15" customHeight="1" x14ac:dyDescent="0.25">
      <c r="A399" s="16" t="s">
        <v>911</v>
      </c>
      <c r="B399" s="3" t="s">
        <v>912</v>
      </c>
      <c r="C399">
        <v>68</v>
      </c>
      <c r="D399" s="3" t="s">
        <v>82</v>
      </c>
      <c r="E399" s="3" t="s">
        <v>23</v>
      </c>
      <c r="F399" s="3" t="s">
        <v>24</v>
      </c>
      <c r="G399" s="3" t="s">
        <v>163</v>
      </c>
      <c r="H399" s="3" t="s">
        <v>26</v>
      </c>
      <c r="I399" s="8">
        <v>44535</v>
      </c>
      <c r="J399" s="10"/>
      <c r="K399" s="3"/>
      <c r="L399" s="3" t="s">
        <v>102</v>
      </c>
      <c r="M399" s="3" t="s">
        <v>28</v>
      </c>
      <c r="N399" s="3" t="s">
        <v>213</v>
      </c>
      <c r="O399" s="3" t="s">
        <v>104</v>
      </c>
      <c r="P399" s="30">
        <v>46683.21</v>
      </c>
      <c r="Q399" s="3" t="s">
        <v>234</v>
      </c>
      <c r="R399" s="3">
        <v>6</v>
      </c>
      <c r="S399" s="3">
        <v>333</v>
      </c>
      <c r="T399" s="3">
        <v>14</v>
      </c>
      <c r="U399" s="3" t="s">
        <v>32</v>
      </c>
      <c r="V399" s="18" t="s">
        <v>33</v>
      </c>
    </row>
    <row r="400" spans="1:22" ht="15" customHeight="1" x14ac:dyDescent="0.25">
      <c r="A400" s="15" t="s">
        <v>913</v>
      </c>
      <c r="B400" s="2" t="s">
        <v>3590</v>
      </c>
      <c r="C400">
        <v>39</v>
      </c>
      <c r="D400" s="1" t="s">
        <v>98</v>
      </c>
      <c r="E400" s="1" t="s">
        <v>23</v>
      </c>
      <c r="F400" s="1" t="s">
        <v>49</v>
      </c>
      <c r="G400" s="1" t="s">
        <v>38</v>
      </c>
      <c r="H400" s="1" t="s">
        <v>51</v>
      </c>
      <c r="I400" s="7">
        <v>45002</v>
      </c>
      <c r="J400" s="7">
        <v>45006</v>
      </c>
      <c r="K400" s="1">
        <v>4</v>
      </c>
      <c r="L400" s="1" t="s">
        <v>39</v>
      </c>
      <c r="M400" s="1" t="s">
        <v>40</v>
      </c>
      <c r="N400" s="1" t="s">
        <v>173</v>
      </c>
      <c r="O400" s="1" t="s">
        <v>42</v>
      </c>
      <c r="P400" s="29">
        <v>10613.71</v>
      </c>
      <c r="Q400" s="1" t="s">
        <v>204</v>
      </c>
      <c r="R400" s="1">
        <v>7</v>
      </c>
      <c r="S400" s="1">
        <v>130</v>
      </c>
      <c r="T400" s="1">
        <v>15.8</v>
      </c>
      <c r="U400" s="1" t="s">
        <v>32</v>
      </c>
      <c r="V400" s="17" t="s">
        <v>33</v>
      </c>
    </row>
    <row r="401" spans="1:22" ht="15" customHeight="1" x14ac:dyDescent="0.25">
      <c r="A401" s="16" t="s">
        <v>914</v>
      </c>
      <c r="B401" s="3" t="s">
        <v>915</v>
      </c>
      <c r="C401">
        <v>56</v>
      </c>
      <c r="D401" s="3" t="s">
        <v>59</v>
      </c>
      <c r="E401" s="3" t="s">
        <v>23</v>
      </c>
      <c r="F401" s="3" t="s">
        <v>37</v>
      </c>
      <c r="G401" s="3" t="s">
        <v>77</v>
      </c>
      <c r="H401" s="3" t="s">
        <v>26</v>
      </c>
      <c r="I401" s="6">
        <v>43763</v>
      </c>
      <c r="J401" s="8">
        <v>43777</v>
      </c>
      <c r="K401" s="3">
        <v>14</v>
      </c>
      <c r="L401" s="3" t="s">
        <v>102</v>
      </c>
      <c r="M401" s="3" t="s">
        <v>28</v>
      </c>
      <c r="N401" s="3" t="s">
        <v>79</v>
      </c>
      <c r="O401" s="3" t="s">
        <v>42</v>
      </c>
      <c r="P401" s="30">
        <v>112084</v>
      </c>
      <c r="Q401" s="3" t="s">
        <v>95</v>
      </c>
      <c r="R401" s="3">
        <v>10</v>
      </c>
      <c r="S401" s="3">
        <v>381</v>
      </c>
      <c r="T401" s="3">
        <v>27.1</v>
      </c>
      <c r="U401" s="3" t="s">
        <v>44</v>
      </c>
      <c r="V401" s="18" t="s">
        <v>33</v>
      </c>
    </row>
    <row r="402" spans="1:22" ht="15" customHeight="1" x14ac:dyDescent="0.25">
      <c r="A402" s="15" t="s">
        <v>916</v>
      </c>
      <c r="B402" s="1" t="s">
        <v>917</v>
      </c>
      <c r="C402">
        <v>71</v>
      </c>
      <c r="D402" s="1" t="s">
        <v>82</v>
      </c>
      <c r="E402" s="1" t="s">
        <v>48</v>
      </c>
      <c r="F402" s="1" t="s">
        <v>99</v>
      </c>
      <c r="G402" s="1" t="s">
        <v>38</v>
      </c>
      <c r="H402" s="1" t="s">
        <v>51</v>
      </c>
      <c r="I402" s="7">
        <v>43796</v>
      </c>
      <c r="J402" s="7">
        <v>43508</v>
      </c>
      <c r="K402" s="1">
        <v>5</v>
      </c>
      <c r="L402" s="1" t="s">
        <v>231</v>
      </c>
      <c r="M402" s="1" t="s">
        <v>53</v>
      </c>
      <c r="N402" s="1" t="s">
        <v>41</v>
      </c>
      <c r="O402" s="1" t="s">
        <v>30</v>
      </c>
      <c r="P402" s="29">
        <v>19113.66</v>
      </c>
      <c r="Q402" s="1" t="s">
        <v>305</v>
      </c>
      <c r="R402" s="1">
        <v>7</v>
      </c>
      <c r="S402" s="1">
        <v>133</v>
      </c>
      <c r="T402" s="1">
        <v>20.6</v>
      </c>
      <c r="U402" s="1" t="s">
        <v>44</v>
      </c>
      <c r="V402" s="17" t="s">
        <v>33</v>
      </c>
    </row>
    <row r="403" spans="1:22" ht="15" customHeight="1" x14ac:dyDescent="0.25">
      <c r="A403" s="16" t="s">
        <v>918</v>
      </c>
      <c r="B403" s="3" t="s">
        <v>919</v>
      </c>
      <c r="C403">
        <v>91</v>
      </c>
      <c r="D403" s="3" t="s">
        <v>36</v>
      </c>
      <c r="E403" s="3" t="s">
        <v>48</v>
      </c>
      <c r="F403" s="3" t="s">
        <v>155</v>
      </c>
      <c r="G403" s="3" t="s">
        <v>38</v>
      </c>
      <c r="H403" s="3" t="s">
        <v>78</v>
      </c>
      <c r="I403" s="6">
        <v>44285</v>
      </c>
      <c r="J403" s="8">
        <v>44293</v>
      </c>
      <c r="K403" s="3">
        <v>8</v>
      </c>
      <c r="L403" s="3" t="s">
        <v>102</v>
      </c>
      <c r="M403" s="3" t="s">
        <v>28</v>
      </c>
      <c r="N403" s="3" t="s">
        <v>203</v>
      </c>
      <c r="O403" s="3" t="s">
        <v>55</v>
      </c>
      <c r="P403" s="30">
        <v>27747.8</v>
      </c>
      <c r="Q403" s="3" t="s">
        <v>236</v>
      </c>
      <c r="R403" s="3">
        <v>7</v>
      </c>
      <c r="S403" s="3">
        <v>192</v>
      </c>
      <c r="T403" s="3">
        <v>37.6</v>
      </c>
      <c r="U403" s="3" t="s">
        <v>44</v>
      </c>
      <c r="V403" s="18" t="s">
        <v>33</v>
      </c>
    </row>
    <row r="404" spans="1:22" ht="15" customHeight="1" x14ac:dyDescent="0.25">
      <c r="A404" s="15" t="s">
        <v>920</v>
      </c>
      <c r="B404" s="1" t="s">
        <v>921</v>
      </c>
      <c r="C404">
        <v>61</v>
      </c>
      <c r="D404" s="1" t="s">
        <v>59</v>
      </c>
      <c r="E404" s="1" t="s">
        <v>48</v>
      </c>
      <c r="F404" s="1" t="s">
        <v>24</v>
      </c>
      <c r="G404" s="1" t="s">
        <v>131</v>
      </c>
      <c r="H404" s="1" t="s">
        <v>78</v>
      </c>
      <c r="I404" s="7">
        <v>43800</v>
      </c>
      <c r="J404" s="7">
        <v>43812</v>
      </c>
      <c r="K404" s="1">
        <v>12</v>
      </c>
      <c r="L404" s="1" t="s">
        <v>52</v>
      </c>
      <c r="M404" s="1" t="s">
        <v>53</v>
      </c>
      <c r="N404" s="1" t="s">
        <v>147</v>
      </c>
      <c r="O404" s="1" t="s">
        <v>30</v>
      </c>
      <c r="P404" s="29">
        <v>14410.58</v>
      </c>
      <c r="Q404" s="1" t="s">
        <v>266</v>
      </c>
      <c r="R404" s="1">
        <v>4</v>
      </c>
      <c r="S404" s="1">
        <v>434</v>
      </c>
      <c r="T404" s="1">
        <v>18.8</v>
      </c>
      <c r="U404" s="1" t="s">
        <v>44</v>
      </c>
      <c r="V404" s="17" t="s">
        <v>33</v>
      </c>
    </row>
    <row r="405" spans="1:22" ht="15" customHeight="1" x14ac:dyDescent="0.25">
      <c r="A405" s="16" t="s">
        <v>922</v>
      </c>
      <c r="B405" s="3" t="s">
        <v>366</v>
      </c>
      <c r="C405">
        <v>41</v>
      </c>
      <c r="D405" s="3" t="s">
        <v>98</v>
      </c>
      <c r="E405" s="3" t="s">
        <v>23</v>
      </c>
      <c r="F405" s="3" t="s">
        <v>155</v>
      </c>
      <c r="G405" s="3" t="s">
        <v>131</v>
      </c>
      <c r="H405" s="3" t="s">
        <v>78</v>
      </c>
      <c r="I405" s="8">
        <v>44584</v>
      </c>
      <c r="J405" s="8">
        <v>44587</v>
      </c>
      <c r="K405" s="3">
        <v>3</v>
      </c>
      <c r="L405" s="3" t="s">
        <v>185</v>
      </c>
      <c r="M405" s="3" t="s">
        <v>186</v>
      </c>
      <c r="N405" s="3" t="s">
        <v>133</v>
      </c>
      <c r="O405" s="3" t="s">
        <v>30</v>
      </c>
      <c r="P405" s="30">
        <v>17723</v>
      </c>
      <c r="Q405" s="3" t="s">
        <v>695</v>
      </c>
      <c r="R405" s="3">
        <v>7</v>
      </c>
      <c r="S405" s="3">
        <v>436</v>
      </c>
      <c r="T405" s="3">
        <v>26.9</v>
      </c>
      <c r="U405" s="3" t="s">
        <v>44</v>
      </c>
      <c r="V405" s="18" t="s">
        <v>33</v>
      </c>
    </row>
    <row r="406" spans="1:22" ht="15" customHeight="1" x14ac:dyDescent="0.25">
      <c r="A406" s="15" t="s">
        <v>923</v>
      </c>
      <c r="B406" s="1" t="s">
        <v>924</v>
      </c>
      <c r="C406">
        <v>59</v>
      </c>
      <c r="D406" s="1" t="s">
        <v>59</v>
      </c>
      <c r="E406" s="1" t="s">
        <v>23</v>
      </c>
      <c r="F406" s="1" t="s">
        <v>37</v>
      </c>
      <c r="G406" s="1" t="s">
        <v>131</v>
      </c>
      <c r="H406" s="1" t="s">
        <v>26</v>
      </c>
      <c r="I406" s="7">
        <v>45249</v>
      </c>
      <c r="J406" s="7">
        <v>45256</v>
      </c>
      <c r="K406" s="1">
        <v>7</v>
      </c>
      <c r="L406" s="1" t="s">
        <v>132</v>
      </c>
      <c r="M406" s="1" t="s">
        <v>53</v>
      </c>
      <c r="N406" s="1" t="s">
        <v>157</v>
      </c>
      <c r="O406" s="1" t="s">
        <v>55</v>
      </c>
      <c r="P406" s="29">
        <v>30315.21</v>
      </c>
      <c r="Q406" s="1" t="s">
        <v>158</v>
      </c>
      <c r="R406" s="1">
        <v>4</v>
      </c>
      <c r="S406" s="1">
        <v>344</v>
      </c>
      <c r="T406" s="1">
        <v>25.2</v>
      </c>
      <c r="U406" s="1" t="s">
        <v>32</v>
      </c>
      <c r="V406" s="17" t="s">
        <v>33</v>
      </c>
    </row>
    <row r="407" spans="1:22" ht="15" customHeight="1" x14ac:dyDescent="0.25">
      <c r="A407" s="16" t="s">
        <v>925</v>
      </c>
      <c r="B407" s="3" t="s">
        <v>926</v>
      </c>
      <c r="C407">
        <v>67</v>
      </c>
      <c r="D407" s="3" t="s">
        <v>82</v>
      </c>
      <c r="E407" s="3" t="s">
        <v>48</v>
      </c>
      <c r="F407" s="3" t="s">
        <v>83</v>
      </c>
      <c r="G407" s="3" t="s">
        <v>60</v>
      </c>
      <c r="H407" s="3" t="s">
        <v>26</v>
      </c>
      <c r="I407" s="6">
        <v>44029</v>
      </c>
      <c r="J407" s="8">
        <v>44032</v>
      </c>
      <c r="K407" s="3">
        <v>3</v>
      </c>
      <c r="L407" s="3" t="s">
        <v>39</v>
      </c>
      <c r="M407" s="3" t="s">
        <v>40</v>
      </c>
      <c r="N407" s="3" t="s">
        <v>210</v>
      </c>
      <c r="O407" s="3" t="s">
        <v>66</v>
      </c>
      <c r="P407" s="30">
        <v>86951.22</v>
      </c>
      <c r="Q407" s="3" t="s">
        <v>62</v>
      </c>
      <c r="R407" s="3">
        <v>4</v>
      </c>
      <c r="S407" s="3">
        <v>141</v>
      </c>
      <c r="T407" s="3">
        <v>22</v>
      </c>
      <c r="U407" s="3" t="s">
        <v>44</v>
      </c>
      <c r="V407" s="18" t="s">
        <v>33</v>
      </c>
    </row>
    <row r="408" spans="1:22" ht="15" customHeight="1" x14ac:dyDescent="0.25">
      <c r="A408" s="15" t="s">
        <v>927</v>
      </c>
      <c r="B408" s="1" t="s">
        <v>928</v>
      </c>
      <c r="C408">
        <v>64</v>
      </c>
      <c r="D408" s="1" t="s">
        <v>59</v>
      </c>
      <c r="E408" s="1" t="s">
        <v>23</v>
      </c>
      <c r="F408" s="1" t="s">
        <v>155</v>
      </c>
      <c r="G408" s="1" t="s">
        <v>25</v>
      </c>
      <c r="H408" s="1" t="s">
        <v>78</v>
      </c>
      <c r="I408" s="7">
        <v>44995</v>
      </c>
      <c r="J408" s="7">
        <v>45007</v>
      </c>
      <c r="K408" s="1">
        <v>12</v>
      </c>
      <c r="L408" s="1" t="s">
        <v>39</v>
      </c>
      <c r="M408" s="1" t="s">
        <v>40</v>
      </c>
      <c r="N408" s="1" t="s">
        <v>248</v>
      </c>
      <c r="O408" s="1" t="s">
        <v>104</v>
      </c>
      <c r="P408" s="29">
        <v>93341.78</v>
      </c>
      <c r="Q408" s="1" t="s">
        <v>105</v>
      </c>
      <c r="R408" s="1">
        <v>11</v>
      </c>
      <c r="S408" s="1">
        <v>155</v>
      </c>
      <c r="T408" s="1">
        <v>28.4</v>
      </c>
      <c r="U408" s="1" t="s">
        <v>32</v>
      </c>
      <c r="V408" s="17" t="s">
        <v>33</v>
      </c>
    </row>
    <row r="409" spans="1:22" ht="15" customHeight="1" x14ac:dyDescent="0.25">
      <c r="A409" s="16" t="s">
        <v>929</v>
      </c>
      <c r="B409" s="2" t="s">
        <v>3591</v>
      </c>
      <c r="C409">
        <v>69</v>
      </c>
      <c r="D409" s="3" t="s">
        <v>82</v>
      </c>
      <c r="E409" s="3" t="s">
        <v>48</v>
      </c>
      <c r="F409" s="3" t="s">
        <v>155</v>
      </c>
      <c r="G409" s="3" t="s">
        <v>131</v>
      </c>
      <c r="H409" s="3" t="s">
        <v>26</v>
      </c>
      <c r="I409" s="8">
        <v>43758</v>
      </c>
      <c r="J409" s="8">
        <v>43763</v>
      </c>
      <c r="K409" s="3">
        <v>5</v>
      </c>
      <c r="L409" s="3" t="s">
        <v>231</v>
      </c>
      <c r="M409" s="3" t="s">
        <v>53</v>
      </c>
      <c r="N409" s="3" t="s">
        <v>147</v>
      </c>
      <c r="O409" s="3" t="s">
        <v>30</v>
      </c>
      <c r="P409" s="30">
        <v>27773.39</v>
      </c>
      <c r="Q409" s="3" t="s">
        <v>291</v>
      </c>
      <c r="R409" s="3">
        <v>4</v>
      </c>
      <c r="S409" s="3">
        <v>303</v>
      </c>
      <c r="T409" s="3">
        <v>18.5</v>
      </c>
      <c r="U409" s="3" t="s">
        <v>32</v>
      </c>
      <c r="V409" s="18" t="s">
        <v>45</v>
      </c>
    </row>
    <row r="410" spans="1:22" ht="15" customHeight="1" x14ac:dyDescent="0.25">
      <c r="A410" s="15" t="s">
        <v>930</v>
      </c>
      <c r="B410" s="1" t="s">
        <v>931</v>
      </c>
      <c r="C410">
        <v>71</v>
      </c>
      <c r="D410" s="1" t="s">
        <v>82</v>
      </c>
      <c r="E410" s="1" t="s">
        <v>48</v>
      </c>
      <c r="F410" s="1" t="s">
        <v>76</v>
      </c>
      <c r="G410" s="1" t="s">
        <v>163</v>
      </c>
      <c r="H410" s="1" t="s">
        <v>78</v>
      </c>
      <c r="I410" s="7">
        <v>43821</v>
      </c>
      <c r="J410" s="7">
        <v>43826</v>
      </c>
      <c r="K410" s="1">
        <v>5</v>
      </c>
      <c r="L410" s="1" t="s">
        <v>122</v>
      </c>
      <c r="M410" s="1" t="s">
        <v>40</v>
      </c>
      <c r="N410" s="1" t="s">
        <v>213</v>
      </c>
      <c r="O410" s="1" t="s">
        <v>104</v>
      </c>
      <c r="P410" s="29">
        <v>38499.4</v>
      </c>
      <c r="Q410" s="1" t="s">
        <v>257</v>
      </c>
      <c r="R410" s="1">
        <v>6</v>
      </c>
      <c r="S410" s="1">
        <v>148</v>
      </c>
      <c r="T410" s="1">
        <v>23.7</v>
      </c>
      <c r="U410" s="1" t="s">
        <v>32</v>
      </c>
      <c r="V410" s="17" t="s">
        <v>33</v>
      </c>
    </row>
    <row r="411" spans="1:22" ht="15" customHeight="1" x14ac:dyDescent="0.25">
      <c r="A411" s="16" t="s">
        <v>932</v>
      </c>
      <c r="B411" s="3" t="s">
        <v>933</v>
      </c>
      <c r="C411">
        <v>89</v>
      </c>
      <c r="D411" s="3" t="s">
        <v>36</v>
      </c>
      <c r="E411" s="3" t="s">
        <v>23</v>
      </c>
      <c r="F411" s="3" t="s">
        <v>83</v>
      </c>
      <c r="G411" s="3" t="s">
        <v>50</v>
      </c>
      <c r="H411" s="3" t="s">
        <v>51</v>
      </c>
      <c r="I411" s="8">
        <v>43665</v>
      </c>
      <c r="J411" s="8">
        <v>43671</v>
      </c>
      <c r="K411" s="3">
        <v>6</v>
      </c>
      <c r="L411" s="3" t="s">
        <v>52</v>
      </c>
      <c r="M411" s="3" t="s">
        <v>53</v>
      </c>
      <c r="N411" s="3" t="s">
        <v>54</v>
      </c>
      <c r="O411" s="3" t="s">
        <v>104</v>
      </c>
      <c r="P411" s="30">
        <v>21716.87</v>
      </c>
      <c r="Q411" s="3" t="s">
        <v>56</v>
      </c>
      <c r="R411" s="3">
        <v>9</v>
      </c>
      <c r="S411" s="3">
        <v>100</v>
      </c>
      <c r="T411" s="3">
        <v>27.4</v>
      </c>
      <c r="U411" s="3" t="s">
        <v>44</v>
      </c>
      <c r="V411" s="18" t="s">
        <v>45</v>
      </c>
    </row>
    <row r="412" spans="1:22" ht="15" customHeight="1" x14ac:dyDescent="0.25">
      <c r="A412" s="15" t="s">
        <v>934</v>
      </c>
      <c r="B412" s="1" t="s">
        <v>935</v>
      </c>
      <c r="C412">
        <v>59</v>
      </c>
      <c r="D412" s="1" t="s">
        <v>59</v>
      </c>
      <c r="E412" s="1" t="s">
        <v>23</v>
      </c>
      <c r="F412" s="1" t="s">
        <v>70</v>
      </c>
      <c r="G412" s="1" t="s">
        <v>77</v>
      </c>
      <c r="H412" s="1" t="s">
        <v>51</v>
      </c>
      <c r="I412" s="7">
        <v>43881</v>
      </c>
      <c r="J412" s="10"/>
      <c r="K412" s="1"/>
      <c r="L412" s="1" t="s">
        <v>132</v>
      </c>
      <c r="M412" s="1" t="s">
        <v>53</v>
      </c>
      <c r="N412" s="1" t="s">
        <v>216</v>
      </c>
      <c r="O412" s="1" t="s">
        <v>30</v>
      </c>
      <c r="P412" s="29">
        <v>36499.919999999998</v>
      </c>
      <c r="Q412" s="1" t="s">
        <v>109</v>
      </c>
      <c r="R412" s="1">
        <v>10</v>
      </c>
      <c r="S412" s="1">
        <v>111</v>
      </c>
      <c r="T412" s="4"/>
      <c r="U412" s="1" t="s">
        <v>86</v>
      </c>
      <c r="V412" s="17" t="s">
        <v>33</v>
      </c>
    </row>
    <row r="413" spans="1:22" ht="15" customHeight="1" x14ac:dyDescent="0.25">
      <c r="A413" s="16" t="s">
        <v>936</v>
      </c>
      <c r="B413" s="2" t="s">
        <v>3592</v>
      </c>
      <c r="C413">
        <v>58</v>
      </c>
      <c r="D413" s="3" t="s">
        <v>59</v>
      </c>
      <c r="E413" s="3" t="s">
        <v>48</v>
      </c>
      <c r="F413" s="3" t="s">
        <v>155</v>
      </c>
      <c r="G413" s="3" t="s">
        <v>131</v>
      </c>
      <c r="H413" s="3" t="s">
        <v>51</v>
      </c>
      <c r="I413" s="6">
        <v>45202</v>
      </c>
      <c r="J413" s="8">
        <v>44998</v>
      </c>
      <c r="K413" s="3">
        <v>3</v>
      </c>
      <c r="L413" s="3" t="s">
        <v>185</v>
      </c>
      <c r="M413" s="3" t="s">
        <v>186</v>
      </c>
      <c r="N413" s="3" t="s">
        <v>133</v>
      </c>
      <c r="O413" s="3" t="s">
        <v>42</v>
      </c>
      <c r="P413" s="30">
        <v>25213</v>
      </c>
      <c r="Q413" s="3" t="s">
        <v>134</v>
      </c>
      <c r="R413" s="3">
        <v>7</v>
      </c>
      <c r="S413" s="3">
        <v>114</v>
      </c>
      <c r="T413" s="4"/>
      <c r="U413" s="3" t="s">
        <v>44</v>
      </c>
      <c r="V413" s="18" t="s">
        <v>33</v>
      </c>
    </row>
    <row r="414" spans="1:22" ht="15" customHeight="1" x14ac:dyDescent="0.25">
      <c r="A414" s="15" t="s">
        <v>937</v>
      </c>
      <c r="B414" s="1" t="s">
        <v>938</v>
      </c>
      <c r="C414">
        <v>85</v>
      </c>
      <c r="D414" s="1" t="s">
        <v>36</v>
      </c>
      <c r="E414" s="1" t="s">
        <v>48</v>
      </c>
      <c r="F414" s="1" t="s">
        <v>70</v>
      </c>
      <c r="G414" s="1" t="s">
        <v>562</v>
      </c>
      <c r="H414" s="1" t="s">
        <v>26</v>
      </c>
      <c r="I414" s="6">
        <v>43756</v>
      </c>
      <c r="J414" s="7">
        <v>43761</v>
      </c>
      <c r="K414" s="1">
        <v>5</v>
      </c>
      <c r="L414" s="1" t="s">
        <v>132</v>
      </c>
      <c r="M414" s="1" t="s">
        <v>53</v>
      </c>
      <c r="N414" s="1" t="s">
        <v>147</v>
      </c>
      <c r="O414" s="1" t="s">
        <v>104</v>
      </c>
      <c r="P414" s="29">
        <v>62477.46</v>
      </c>
      <c r="Q414" s="1" t="s">
        <v>266</v>
      </c>
      <c r="R414" s="1">
        <v>7</v>
      </c>
      <c r="S414" s="1">
        <v>305</v>
      </c>
      <c r="T414" s="1">
        <v>17.7</v>
      </c>
      <c r="U414" s="1" t="s">
        <v>32</v>
      </c>
      <c r="V414" s="17" t="s">
        <v>33</v>
      </c>
    </row>
    <row r="415" spans="1:22" ht="15" customHeight="1" x14ac:dyDescent="0.25">
      <c r="A415" s="16" t="s">
        <v>939</v>
      </c>
      <c r="B415" s="3" t="s">
        <v>940</v>
      </c>
      <c r="C415">
        <v>87</v>
      </c>
      <c r="D415" s="3" t="s">
        <v>36</v>
      </c>
      <c r="E415" s="3" t="s">
        <v>23</v>
      </c>
      <c r="F415" s="3" t="s">
        <v>99</v>
      </c>
      <c r="G415" s="3" t="s">
        <v>163</v>
      </c>
      <c r="H415" s="3" t="s">
        <v>78</v>
      </c>
      <c r="I415" s="6">
        <v>44110</v>
      </c>
      <c r="J415" s="8">
        <v>44022</v>
      </c>
      <c r="K415" s="3">
        <v>1</v>
      </c>
      <c r="L415" s="3" t="s">
        <v>27</v>
      </c>
      <c r="M415" s="3" t="s">
        <v>28</v>
      </c>
      <c r="N415" s="3" t="s">
        <v>213</v>
      </c>
      <c r="O415" s="3" t="s">
        <v>55</v>
      </c>
      <c r="P415" s="30">
        <v>23743.69</v>
      </c>
      <c r="Q415" s="3" t="s">
        <v>257</v>
      </c>
      <c r="R415" s="3">
        <v>2</v>
      </c>
      <c r="S415" s="3">
        <v>255</v>
      </c>
      <c r="T415" s="3">
        <v>23.5</v>
      </c>
      <c r="U415" s="3" t="s">
        <v>32</v>
      </c>
      <c r="V415" s="18" t="s">
        <v>45</v>
      </c>
    </row>
    <row r="416" spans="1:22" ht="15" customHeight="1" x14ac:dyDescent="0.25">
      <c r="A416" s="15" t="s">
        <v>941</v>
      </c>
      <c r="B416" s="1" t="s">
        <v>942</v>
      </c>
      <c r="C416">
        <v>62</v>
      </c>
      <c r="D416" s="1" t="s">
        <v>59</v>
      </c>
      <c r="E416" s="1" t="s">
        <v>23</v>
      </c>
      <c r="F416" s="1" t="s">
        <v>83</v>
      </c>
      <c r="G416" s="1" t="s">
        <v>71</v>
      </c>
      <c r="H416" s="1" t="s">
        <v>51</v>
      </c>
      <c r="I416" s="6">
        <v>43723</v>
      </c>
      <c r="J416" s="7">
        <v>43724</v>
      </c>
      <c r="K416" s="1">
        <v>1</v>
      </c>
      <c r="L416" s="1" t="s">
        <v>132</v>
      </c>
      <c r="M416" s="1" t="s">
        <v>53</v>
      </c>
      <c r="N416" s="1" t="s">
        <v>72</v>
      </c>
      <c r="O416" s="1" t="s">
        <v>66</v>
      </c>
      <c r="P416" s="29">
        <v>29307.38</v>
      </c>
      <c r="Q416" s="1" t="s">
        <v>374</v>
      </c>
      <c r="R416" s="1">
        <v>5</v>
      </c>
      <c r="S416" s="1">
        <v>198</v>
      </c>
      <c r="T416" s="1">
        <v>24</v>
      </c>
      <c r="U416" s="1" t="s">
        <v>44</v>
      </c>
      <c r="V416" s="17" t="s">
        <v>33</v>
      </c>
    </row>
    <row r="417" spans="1:22" ht="15" customHeight="1" x14ac:dyDescent="0.25">
      <c r="A417" s="16" t="s">
        <v>943</v>
      </c>
      <c r="B417" s="3" t="s">
        <v>944</v>
      </c>
      <c r="C417">
        <v>68</v>
      </c>
      <c r="D417" s="3" t="s">
        <v>82</v>
      </c>
      <c r="E417" s="3" t="s">
        <v>48</v>
      </c>
      <c r="F417" s="3" t="s">
        <v>70</v>
      </c>
      <c r="G417" s="3" t="s">
        <v>163</v>
      </c>
      <c r="H417" s="3" t="s">
        <v>78</v>
      </c>
      <c r="I417" s="8">
        <v>44847</v>
      </c>
      <c r="J417" s="8">
        <v>44849</v>
      </c>
      <c r="K417" s="3">
        <v>2</v>
      </c>
      <c r="L417" s="3" t="s">
        <v>89</v>
      </c>
      <c r="M417" s="3" t="s">
        <v>90</v>
      </c>
      <c r="N417" s="3" t="s">
        <v>213</v>
      </c>
      <c r="O417" s="3" t="s">
        <v>42</v>
      </c>
      <c r="P417" s="30">
        <v>29900.23</v>
      </c>
      <c r="Q417" s="3" t="s">
        <v>257</v>
      </c>
      <c r="R417" s="3">
        <v>3</v>
      </c>
      <c r="S417" s="3">
        <v>101</v>
      </c>
      <c r="T417" s="3">
        <v>23.9</v>
      </c>
      <c r="U417" s="3" t="s">
        <v>44</v>
      </c>
      <c r="V417" s="18" t="s">
        <v>45</v>
      </c>
    </row>
    <row r="418" spans="1:22" ht="15" customHeight="1" x14ac:dyDescent="0.25">
      <c r="A418" s="15" t="s">
        <v>945</v>
      </c>
      <c r="B418" s="1" t="s">
        <v>946</v>
      </c>
      <c r="C418">
        <v>92</v>
      </c>
      <c r="D418" s="1" t="s">
        <v>36</v>
      </c>
      <c r="E418" s="1" t="s">
        <v>48</v>
      </c>
      <c r="F418" s="1" t="s">
        <v>70</v>
      </c>
      <c r="G418" s="1" t="s">
        <v>38</v>
      </c>
      <c r="H418" s="1" t="s">
        <v>51</v>
      </c>
      <c r="I418" s="7">
        <v>45471</v>
      </c>
      <c r="J418" s="7">
        <v>45476</v>
      </c>
      <c r="K418" s="1">
        <v>5</v>
      </c>
      <c r="L418" s="1" t="s">
        <v>231</v>
      </c>
      <c r="M418" s="1" t="s">
        <v>53</v>
      </c>
      <c r="N418" s="1" t="s">
        <v>173</v>
      </c>
      <c r="O418" s="1" t="s">
        <v>30</v>
      </c>
      <c r="P418" s="29">
        <v>10923</v>
      </c>
      <c r="Q418" s="1" t="s">
        <v>43</v>
      </c>
      <c r="R418" s="1">
        <v>8</v>
      </c>
      <c r="S418" s="1">
        <v>172</v>
      </c>
      <c r="T418" s="1">
        <v>29.1</v>
      </c>
      <c r="U418" s="1" t="s">
        <v>44</v>
      </c>
      <c r="V418" s="17" t="s">
        <v>33</v>
      </c>
    </row>
    <row r="419" spans="1:22" ht="15" customHeight="1" x14ac:dyDescent="0.25">
      <c r="A419" s="16" t="s">
        <v>947</v>
      </c>
      <c r="B419" s="3" t="s">
        <v>948</v>
      </c>
      <c r="C419">
        <v>58</v>
      </c>
      <c r="D419" s="3" t="s">
        <v>59</v>
      </c>
      <c r="E419" s="3" t="s">
        <v>23</v>
      </c>
      <c r="F419" s="3" t="s">
        <v>76</v>
      </c>
      <c r="G419" s="3" t="s">
        <v>256</v>
      </c>
      <c r="H419" s="3" t="s">
        <v>51</v>
      </c>
      <c r="I419" s="8">
        <v>44366</v>
      </c>
      <c r="J419" s="10"/>
      <c r="K419" s="3"/>
      <c r="L419" s="3" t="s">
        <v>231</v>
      </c>
      <c r="M419" s="3" t="s">
        <v>53</v>
      </c>
      <c r="N419" s="3" t="s">
        <v>164</v>
      </c>
      <c r="O419" s="3" t="s">
        <v>30</v>
      </c>
      <c r="P419" s="30">
        <v>14376.15</v>
      </c>
      <c r="Q419" s="3" t="s">
        <v>382</v>
      </c>
      <c r="R419" s="3">
        <v>6</v>
      </c>
      <c r="S419" s="3">
        <v>128</v>
      </c>
      <c r="T419" s="3">
        <v>26</v>
      </c>
      <c r="U419" s="3" t="s">
        <v>44</v>
      </c>
      <c r="V419" s="18" t="s">
        <v>33</v>
      </c>
    </row>
    <row r="420" spans="1:22" ht="15" customHeight="1" x14ac:dyDescent="0.25">
      <c r="A420" s="15" t="s">
        <v>949</v>
      </c>
      <c r="B420" s="1" t="s">
        <v>950</v>
      </c>
      <c r="C420">
        <v>64</v>
      </c>
      <c r="D420" s="1" t="s">
        <v>59</v>
      </c>
      <c r="E420" s="1" t="s">
        <v>48</v>
      </c>
      <c r="F420" s="1" t="s">
        <v>70</v>
      </c>
      <c r="G420" s="1" t="s">
        <v>163</v>
      </c>
      <c r="H420" s="1" t="s">
        <v>26</v>
      </c>
      <c r="I420" s="7">
        <v>45040</v>
      </c>
      <c r="J420" s="7">
        <v>45042</v>
      </c>
      <c r="K420" s="1">
        <v>2</v>
      </c>
      <c r="L420" s="1" t="s">
        <v>185</v>
      </c>
      <c r="M420" s="1" t="s">
        <v>186</v>
      </c>
      <c r="N420" s="1" t="s">
        <v>213</v>
      </c>
      <c r="O420" s="1" t="s">
        <v>104</v>
      </c>
      <c r="P420" s="29">
        <v>21570.52</v>
      </c>
      <c r="Q420" s="1" t="s">
        <v>234</v>
      </c>
      <c r="R420" s="1">
        <v>6</v>
      </c>
      <c r="S420" s="1">
        <v>206</v>
      </c>
      <c r="T420" s="1">
        <v>25.5</v>
      </c>
      <c r="U420" s="1" t="s">
        <v>32</v>
      </c>
      <c r="V420" s="17" t="s">
        <v>33</v>
      </c>
    </row>
    <row r="421" spans="1:22" ht="15" customHeight="1" x14ac:dyDescent="0.25">
      <c r="A421" s="16" t="s">
        <v>951</v>
      </c>
      <c r="B421" s="3" t="s">
        <v>952</v>
      </c>
      <c r="C421">
        <v>87</v>
      </c>
      <c r="D421" s="3" t="s">
        <v>36</v>
      </c>
      <c r="E421" s="3" t="s">
        <v>48</v>
      </c>
      <c r="F421" s="3" t="s">
        <v>37</v>
      </c>
      <c r="G421" s="3" t="s">
        <v>163</v>
      </c>
      <c r="H421" s="3" t="s">
        <v>51</v>
      </c>
      <c r="I421" s="8">
        <v>43555</v>
      </c>
      <c r="J421" s="8">
        <v>43528</v>
      </c>
      <c r="K421" s="3">
        <v>3</v>
      </c>
      <c r="L421" s="3" t="s">
        <v>52</v>
      </c>
      <c r="M421" s="3" t="s">
        <v>53</v>
      </c>
      <c r="N421" s="3" t="s">
        <v>346</v>
      </c>
      <c r="O421" s="3" t="s">
        <v>30</v>
      </c>
      <c r="P421" s="30">
        <v>27143.759999999998</v>
      </c>
      <c r="Q421" s="3" t="s">
        <v>257</v>
      </c>
      <c r="R421" s="3">
        <v>6</v>
      </c>
      <c r="S421" s="3">
        <v>182</v>
      </c>
      <c r="T421" s="3">
        <v>29</v>
      </c>
      <c r="U421" s="3" t="s">
        <v>44</v>
      </c>
      <c r="V421" s="18" t="s">
        <v>33</v>
      </c>
    </row>
    <row r="422" spans="1:22" ht="15" customHeight="1" x14ac:dyDescent="0.25">
      <c r="A422" s="15" t="s">
        <v>953</v>
      </c>
      <c r="B422" s="1" t="s">
        <v>954</v>
      </c>
      <c r="C422">
        <v>55</v>
      </c>
      <c r="D422" s="1" t="s">
        <v>59</v>
      </c>
      <c r="E422" s="1" t="s">
        <v>48</v>
      </c>
      <c r="F422" s="1" t="s">
        <v>37</v>
      </c>
      <c r="G422" s="1" t="s">
        <v>77</v>
      </c>
      <c r="H422" s="1" t="s">
        <v>26</v>
      </c>
      <c r="I422" s="7">
        <v>44511</v>
      </c>
      <c r="J422" s="7">
        <v>44520</v>
      </c>
      <c r="K422" s="1">
        <v>9</v>
      </c>
      <c r="L422" s="1" t="s">
        <v>185</v>
      </c>
      <c r="M422" s="1" t="s">
        <v>186</v>
      </c>
      <c r="N422" s="1" t="s">
        <v>79</v>
      </c>
      <c r="O422" s="1" t="s">
        <v>42</v>
      </c>
      <c r="P422" s="29">
        <v>68090.460000000006</v>
      </c>
      <c r="Q422" s="1" t="s">
        <v>592</v>
      </c>
      <c r="R422" s="1">
        <v>9</v>
      </c>
      <c r="S422" s="1">
        <v>321</v>
      </c>
      <c r="T422" s="1">
        <v>21.1</v>
      </c>
      <c r="U422" s="1" t="s">
        <v>86</v>
      </c>
      <c r="V422" s="17" t="s">
        <v>33</v>
      </c>
    </row>
    <row r="423" spans="1:22" ht="15" customHeight="1" x14ac:dyDescent="0.25">
      <c r="A423" s="16" t="s">
        <v>955</v>
      </c>
      <c r="B423" s="3" t="s">
        <v>956</v>
      </c>
      <c r="C423">
        <v>21</v>
      </c>
      <c r="D423" s="3" t="s">
        <v>47</v>
      </c>
      <c r="E423" s="3" t="s">
        <v>23</v>
      </c>
      <c r="F423" s="3" t="s">
        <v>24</v>
      </c>
      <c r="G423" s="3" t="s">
        <v>163</v>
      </c>
      <c r="H423" s="3" t="s">
        <v>26</v>
      </c>
      <c r="I423" s="8">
        <v>45651</v>
      </c>
      <c r="J423" s="10"/>
      <c r="K423" s="3"/>
      <c r="L423" s="3" t="s">
        <v>132</v>
      </c>
      <c r="M423" s="3" t="s">
        <v>53</v>
      </c>
      <c r="N423" s="3" t="s">
        <v>213</v>
      </c>
      <c r="O423" s="3" t="s">
        <v>42</v>
      </c>
      <c r="P423" s="30">
        <v>31815.06</v>
      </c>
      <c r="Q423" s="3" t="s">
        <v>382</v>
      </c>
      <c r="R423" s="3">
        <v>6</v>
      </c>
      <c r="S423" s="3">
        <v>336</v>
      </c>
      <c r="T423" s="3">
        <v>28.6</v>
      </c>
      <c r="U423" s="3" t="s">
        <v>32</v>
      </c>
      <c r="V423" s="18" t="s">
        <v>33</v>
      </c>
    </row>
    <row r="424" spans="1:22" ht="15" customHeight="1" x14ac:dyDescent="0.25">
      <c r="A424" s="15" t="s">
        <v>957</v>
      </c>
      <c r="B424" s="1" t="s">
        <v>958</v>
      </c>
      <c r="C424">
        <v>54</v>
      </c>
      <c r="D424" s="1" t="s">
        <v>98</v>
      </c>
      <c r="E424" s="1" t="s">
        <v>48</v>
      </c>
      <c r="F424" s="1" t="s">
        <v>83</v>
      </c>
      <c r="G424" s="1" t="s">
        <v>77</v>
      </c>
      <c r="H424" s="1" t="s">
        <v>51</v>
      </c>
      <c r="I424" s="6">
        <v>45120</v>
      </c>
      <c r="J424" s="7">
        <v>45131</v>
      </c>
      <c r="K424" s="1">
        <v>11</v>
      </c>
      <c r="L424" s="1" t="s">
        <v>89</v>
      </c>
      <c r="M424" s="1" t="s">
        <v>90</v>
      </c>
      <c r="N424" s="1" t="s">
        <v>79</v>
      </c>
      <c r="O424" s="1" t="s">
        <v>104</v>
      </c>
      <c r="P424" s="29">
        <v>38995.4</v>
      </c>
      <c r="Q424" s="1" t="s">
        <v>100</v>
      </c>
      <c r="R424" s="1">
        <v>8</v>
      </c>
      <c r="S424" s="1">
        <v>114</v>
      </c>
      <c r="T424" s="1">
        <v>23.5</v>
      </c>
      <c r="U424" s="1" t="s">
        <v>44</v>
      </c>
      <c r="V424" s="17" t="s">
        <v>33</v>
      </c>
    </row>
    <row r="425" spans="1:22" ht="15" customHeight="1" x14ac:dyDescent="0.25">
      <c r="A425" s="16" t="s">
        <v>959</v>
      </c>
      <c r="B425" s="3" t="s">
        <v>960</v>
      </c>
      <c r="C425">
        <v>58</v>
      </c>
      <c r="D425" s="3" t="s">
        <v>59</v>
      </c>
      <c r="E425" s="3" t="s">
        <v>48</v>
      </c>
      <c r="F425" s="3" t="s">
        <v>99</v>
      </c>
      <c r="G425" s="3" t="s">
        <v>131</v>
      </c>
      <c r="H425" s="3" t="s">
        <v>51</v>
      </c>
      <c r="I425" s="6">
        <v>44873</v>
      </c>
      <c r="J425" s="8">
        <v>44880</v>
      </c>
      <c r="K425" s="3">
        <v>7</v>
      </c>
      <c r="L425" s="3" t="s">
        <v>112</v>
      </c>
      <c r="M425" s="3" t="s">
        <v>40</v>
      </c>
      <c r="N425" s="3" t="s">
        <v>147</v>
      </c>
      <c r="O425" s="3" t="s">
        <v>104</v>
      </c>
      <c r="P425" s="30">
        <v>16769.27</v>
      </c>
      <c r="Q425" s="3" t="s">
        <v>266</v>
      </c>
      <c r="R425" s="3">
        <v>7</v>
      </c>
      <c r="S425" s="3">
        <v>159</v>
      </c>
      <c r="T425" s="3">
        <v>38.9</v>
      </c>
      <c r="U425" s="3" t="s">
        <v>86</v>
      </c>
      <c r="V425" s="18" t="s">
        <v>33</v>
      </c>
    </row>
    <row r="426" spans="1:22" ht="15" customHeight="1" x14ac:dyDescent="0.25">
      <c r="A426" s="15" t="s">
        <v>961</v>
      </c>
      <c r="B426" s="2" t="s">
        <v>3593</v>
      </c>
      <c r="C426">
        <v>63</v>
      </c>
      <c r="D426" s="1" t="s">
        <v>59</v>
      </c>
      <c r="E426" s="1" t="s">
        <v>23</v>
      </c>
      <c r="F426" s="1" t="s">
        <v>49</v>
      </c>
      <c r="G426" s="1" t="s">
        <v>77</v>
      </c>
      <c r="H426" s="1" t="s">
        <v>26</v>
      </c>
      <c r="I426" s="7">
        <v>44063</v>
      </c>
      <c r="J426" s="7">
        <v>44083</v>
      </c>
      <c r="K426" s="1">
        <v>20</v>
      </c>
      <c r="L426" s="1" t="s">
        <v>39</v>
      </c>
      <c r="M426" s="1" t="s">
        <v>40</v>
      </c>
      <c r="N426" s="1" t="s">
        <v>79</v>
      </c>
      <c r="O426" s="1" t="s">
        <v>30</v>
      </c>
      <c r="P426" s="29">
        <v>57809.52</v>
      </c>
      <c r="Q426" s="1" t="s">
        <v>223</v>
      </c>
      <c r="R426" s="1">
        <v>10</v>
      </c>
      <c r="S426" s="1">
        <v>365</v>
      </c>
      <c r="T426" s="1">
        <v>30.4</v>
      </c>
      <c r="U426" s="1" t="s">
        <v>44</v>
      </c>
      <c r="V426" s="17" t="s">
        <v>33</v>
      </c>
    </row>
    <row r="427" spans="1:22" ht="15" customHeight="1" x14ac:dyDescent="0.25">
      <c r="A427" s="16" t="s">
        <v>962</v>
      </c>
      <c r="B427" s="3" t="s">
        <v>265</v>
      </c>
      <c r="C427">
        <v>22</v>
      </c>
      <c r="D427" s="3" t="s">
        <v>47</v>
      </c>
      <c r="E427" s="3" t="s">
        <v>48</v>
      </c>
      <c r="F427" s="3" t="s">
        <v>99</v>
      </c>
      <c r="G427" s="3" t="s">
        <v>25</v>
      </c>
      <c r="H427" s="3" t="s">
        <v>26</v>
      </c>
      <c r="I427" s="8">
        <v>44270</v>
      </c>
      <c r="J427" s="8">
        <v>44278</v>
      </c>
      <c r="K427" s="3">
        <v>8</v>
      </c>
      <c r="L427" s="3" t="s">
        <v>132</v>
      </c>
      <c r="M427" s="3" t="s">
        <v>53</v>
      </c>
      <c r="N427" s="3" t="s">
        <v>963</v>
      </c>
      <c r="O427" s="3" t="s">
        <v>42</v>
      </c>
      <c r="P427" s="30">
        <v>40621.42</v>
      </c>
      <c r="Q427" s="3" t="s">
        <v>706</v>
      </c>
      <c r="R427" s="3">
        <v>12</v>
      </c>
      <c r="S427" s="3">
        <v>133</v>
      </c>
      <c r="T427" s="3">
        <v>29.1</v>
      </c>
      <c r="U427" s="3" t="s">
        <v>32</v>
      </c>
      <c r="V427" s="18" t="s">
        <v>33</v>
      </c>
    </row>
    <row r="428" spans="1:22" ht="15" customHeight="1" x14ac:dyDescent="0.25">
      <c r="A428" s="15" t="s">
        <v>964</v>
      </c>
      <c r="B428" s="2" t="s">
        <v>3025</v>
      </c>
      <c r="C428">
        <v>40</v>
      </c>
      <c r="D428" s="1" t="s">
        <v>98</v>
      </c>
      <c r="E428" s="1" t="s">
        <v>48</v>
      </c>
      <c r="F428" s="1" t="s">
        <v>70</v>
      </c>
      <c r="G428" s="1" t="s">
        <v>50</v>
      </c>
      <c r="H428" s="1" t="s">
        <v>51</v>
      </c>
      <c r="I428" s="7">
        <v>44990</v>
      </c>
      <c r="J428" s="7">
        <v>45202</v>
      </c>
      <c r="K428" s="1">
        <v>5</v>
      </c>
      <c r="L428" s="1" t="s">
        <v>132</v>
      </c>
      <c r="M428" s="1" t="s">
        <v>53</v>
      </c>
      <c r="N428" s="1" t="s">
        <v>116</v>
      </c>
      <c r="O428" s="1" t="s">
        <v>55</v>
      </c>
      <c r="P428" s="29">
        <v>39843.120000000003</v>
      </c>
      <c r="Q428" s="1" t="s">
        <v>144</v>
      </c>
      <c r="R428" s="1">
        <v>7</v>
      </c>
      <c r="S428" s="1">
        <v>165</v>
      </c>
      <c r="T428" s="1">
        <v>27.1</v>
      </c>
      <c r="U428" s="1" t="s">
        <v>32</v>
      </c>
      <c r="V428" s="17" t="s">
        <v>33</v>
      </c>
    </row>
    <row r="429" spans="1:22" ht="15" customHeight="1" x14ac:dyDescent="0.25">
      <c r="A429" s="16" t="s">
        <v>965</v>
      </c>
      <c r="B429" s="3" t="s">
        <v>680</v>
      </c>
      <c r="C429">
        <v>69</v>
      </c>
      <c r="D429" s="3" t="s">
        <v>82</v>
      </c>
      <c r="E429" s="3" t="s">
        <v>23</v>
      </c>
      <c r="F429" s="3" t="s">
        <v>70</v>
      </c>
      <c r="G429" s="3" t="s">
        <v>77</v>
      </c>
      <c r="H429" s="3" t="s">
        <v>78</v>
      </c>
      <c r="I429" s="8">
        <v>45537</v>
      </c>
      <c r="J429" s="8">
        <v>45542</v>
      </c>
      <c r="K429" s="3">
        <v>5</v>
      </c>
      <c r="L429" s="3" t="s">
        <v>231</v>
      </c>
      <c r="M429" s="3" t="s">
        <v>53</v>
      </c>
      <c r="N429" s="3" t="s">
        <v>84</v>
      </c>
      <c r="O429" s="3" t="s">
        <v>55</v>
      </c>
      <c r="P429" s="30">
        <v>55938.96</v>
      </c>
      <c r="Q429" s="3" t="s">
        <v>123</v>
      </c>
      <c r="R429" s="3">
        <v>6</v>
      </c>
      <c r="S429" s="3">
        <v>115</v>
      </c>
      <c r="T429" s="4"/>
      <c r="U429" s="3" t="s">
        <v>32</v>
      </c>
      <c r="V429" s="18" t="s">
        <v>33</v>
      </c>
    </row>
    <row r="430" spans="1:22" ht="15" customHeight="1" x14ac:dyDescent="0.25">
      <c r="A430" s="15" t="s">
        <v>966</v>
      </c>
      <c r="B430" s="1" t="s">
        <v>967</v>
      </c>
      <c r="C430">
        <v>87</v>
      </c>
      <c r="D430" s="1" t="s">
        <v>36</v>
      </c>
      <c r="E430" s="1" t="s">
        <v>48</v>
      </c>
      <c r="F430" s="1" t="s">
        <v>24</v>
      </c>
      <c r="G430" s="1" t="s">
        <v>38</v>
      </c>
      <c r="H430" s="1" t="s">
        <v>51</v>
      </c>
      <c r="I430" s="6">
        <v>44570</v>
      </c>
      <c r="J430" s="7">
        <v>44812</v>
      </c>
      <c r="K430" s="1">
        <v>7</v>
      </c>
      <c r="L430" s="1" t="s">
        <v>89</v>
      </c>
      <c r="M430" s="1" t="s">
        <v>90</v>
      </c>
      <c r="N430" s="1" t="s">
        <v>173</v>
      </c>
      <c r="O430" s="1" t="s">
        <v>30</v>
      </c>
      <c r="P430" s="29">
        <v>11481.57</v>
      </c>
      <c r="Q430" s="1" t="s">
        <v>567</v>
      </c>
      <c r="R430" s="1">
        <v>8</v>
      </c>
      <c r="S430" s="1">
        <v>145</v>
      </c>
      <c r="T430" s="1">
        <v>32.1</v>
      </c>
      <c r="U430" s="1" t="s">
        <v>86</v>
      </c>
      <c r="V430" s="17" t="s">
        <v>45</v>
      </c>
    </row>
    <row r="431" spans="1:22" ht="15" customHeight="1" x14ac:dyDescent="0.25">
      <c r="A431" s="16" t="s">
        <v>968</v>
      </c>
      <c r="B431" s="3" t="s">
        <v>969</v>
      </c>
      <c r="C431">
        <v>20</v>
      </c>
      <c r="D431" s="3" t="s">
        <v>47</v>
      </c>
      <c r="E431" s="3" t="s">
        <v>48</v>
      </c>
      <c r="F431" s="3" t="s">
        <v>37</v>
      </c>
      <c r="G431" s="3" t="s">
        <v>131</v>
      </c>
      <c r="H431" s="3" t="s">
        <v>26</v>
      </c>
      <c r="I431" s="8">
        <v>43826</v>
      </c>
      <c r="J431" s="8">
        <v>43833</v>
      </c>
      <c r="K431" s="3">
        <v>7</v>
      </c>
      <c r="L431" s="3" t="s">
        <v>102</v>
      </c>
      <c r="M431" s="3" t="s">
        <v>28</v>
      </c>
      <c r="N431" s="3" t="s">
        <v>147</v>
      </c>
      <c r="O431" s="3" t="s">
        <v>55</v>
      </c>
      <c r="P431" s="30">
        <v>27901.47</v>
      </c>
      <c r="Q431" s="3" t="s">
        <v>266</v>
      </c>
      <c r="R431" s="3">
        <v>5</v>
      </c>
      <c r="S431" s="3">
        <v>345</v>
      </c>
      <c r="T431" s="3">
        <v>27.6</v>
      </c>
      <c r="U431" s="3" t="s">
        <v>32</v>
      </c>
      <c r="V431" s="18" t="s">
        <v>45</v>
      </c>
    </row>
    <row r="432" spans="1:22" ht="15" customHeight="1" x14ac:dyDescent="0.25">
      <c r="A432" s="15" t="s">
        <v>970</v>
      </c>
      <c r="B432" s="1" t="s">
        <v>971</v>
      </c>
      <c r="C432">
        <v>58</v>
      </c>
      <c r="D432" s="1" t="s">
        <v>59</v>
      </c>
      <c r="E432" s="1" t="s">
        <v>48</v>
      </c>
      <c r="F432" s="1" t="s">
        <v>99</v>
      </c>
      <c r="G432" s="1" t="s">
        <v>50</v>
      </c>
      <c r="H432" s="1" t="s">
        <v>26</v>
      </c>
      <c r="I432" s="6">
        <v>43706</v>
      </c>
      <c r="J432" s="7">
        <v>43717</v>
      </c>
      <c r="K432" s="1">
        <v>11</v>
      </c>
      <c r="L432" s="1" t="s">
        <v>231</v>
      </c>
      <c r="M432" s="1" t="s">
        <v>53</v>
      </c>
      <c r="N432" s="1" t="s">
        <v>54</v>
      </c>
      <c r="O432" s="1" t="s">
        <v>104</v>
      </c>
      <c r="P432" s="29">
        <v>65652.44</v>
      </c>
      <c r="Q432" s="1" t="s">
        <v>56</v>
      </c>
      <c r="R432" s="1">
        <v>9</v>
      </c>
      <c r="S432" s="1">
        <v>360</v>
      </c>
      <c r="T432" s="1">
        <v>22.4</v>
      </c>
      <c r="U432" s="1" t="s">
        <v>44</v>
      </c>
      <c r="V432" s="17" t="s">
        <v>33</v>
      </c>
    </row>
    <row r="433" spans="1:22" ht="15" customHeight="1" x14ac:dyDescent="0.25">
      <c r="A433" s="16" t="s">
        <v>972</v>
      </c>
      <c r="B433" s="3" t="s">
        <v>973</v>
      </c>
      <c r="C433">
        <v>26</v>
      </c>
      <c r="D433" s="3" t="s">
        <v>47</v>
      </c>
      <c r="E433" s="3" t="s">
        <v>23</v>
      </c>
      <c r="F433" s="2" t="s">
        <v>155</v>
      </c>
      <c r="G433" s="3" t="s">
        <v>131</v>
      </c>
      <c r="H433" s="3" t="s">
        <v>51</v>
      </c>
      <c r="I433" s="6">
        <v>45195</v>
      </c>
      <c r="J433" s="8">
        <v>45197</v>
      </c>
      <c r="K433" s="3">
        <v>2</v>
      </c>
      <c r="L433" s="3" t="s">
        <v>102</v>
      </c>
      <c r="M433" s="3" t="s">
        <v>28</v>
      </c>
      <c r="N433" s="3" t="s">
        <v>157</v>
      </c>
      <c r="O433" s="3" t="s">
        <v>55</v>
      </c>
      <c r="P433" s="30">
        <v>16651</v>
      </c>
      <c r="Q433" s="3" t="s">
        <v>695</v>
      </c>
      <c r="R433" s="3">
        <v>7</v>
      </c>
      <c r="S433" s="3">
        <v>146</v>
      </c>
      <c r="T433" s="3">
        <v>33.6</v>
      </c>
      <c r="U433" s="3" t="s">
        <v>86</v>
      </c>
      <c r="V433" s="18" t="s">
        <v>33</v>
      </c>
    </row>
    <row r="434" spans="1:22" ht="15" customHeight="1" x14ac:dyDescent="0.25">
      <c r="A434" s="15" t="s">
        <v>974</v>
      </c>
      <c r="B434" s="1" t="s">
        <v>975</v>
      </c>
      <c r="C434">
        <v>63</v>
      </c>
      <c r="D434" s="1" t="s">
        <v>59</v>
      </c>
      <c r="E434" s="1" t="s">
        <v>23</v>
      </c>
      <c r="F434" s="1" t="s">
        <v>70</v>
      </c>
      <c r="G434" s="1" t="s">
        <v>77</v>
      </c>
      <c r="H434" s="1" t="s">
        <v>26</v>
      </c>
      <c r="I434" s="6">
        <v>44271</v>
      </c>
      <c r="J434" s="7">
        <v>44278</v>
      </c>
      <c r="K434" s="1">
        <v>7</v>
      </c>
      <c r="L434" s="1" t="s">
        <v>27</v>
      </c>
      <c r="M434" s="1" t="s">
        <v>28</v>
      </c>
      <c r="N434" s="1" t="s">
        <v>94</v>
      </c>
      <c r="O434" s="1" t="s">
        <v>30</v>
      </c>
      <c r="P434" s="29">
        <v>72905.64</v>
      </c>
      <c r="Q434" s="1" t="s">
        <v>95</v>
      </c>
      <c r="R434" s="1">
        <v>8</v>
      </c>
      <c r="S434" s="1">
        <v>340</v>
      </c>
      <c r="T434" s="4"/>
      <c r="U434" s="1" t="s">
        <v>44</v>
      </c>
      <c r="V434" s="17" t="s">
        <v>45</v>
      </c>
    </row>
    <row r="435" spans="1:22" ht="15" customHeight="1" x14ac:dyDescent="0.25">
      <c r="A435" s="16" t="s">
        <v>976</v>
      </c>
      <c r="B435" s="3" t="s">
        <v>977</v>
      </c>
      <c r="C435">
        <v>82</v>
      </c>
      <c r="D435" s="3" t="s">
        <v>36</v>
      </c>
      <c r="E435" s="3" t="s">
        <v>48</v>
      </c>
      <c r="F435" s="3" t="s">
        <v>99</v>
      </c>
      <c r="G435" s="3" t="s">
        <v>71</v>
      </c>
      <c r="H435" s="3" t="s">
        <v>78</v>
      </c>
      <c r="I435" s="8">
        <v>44444</v>
      </c>
      <c r="J435" s="8">
        <v>44386</v>
      </c>
      <c r="K435" s="3">
        <v>2</v>
      </c>
      <c r="L435" s="3" t="s">
        <v>27</v>
      </c>
      <c r="M435" s="3" t="s">
        <v>28</v>
      </c>
      <c r="N435" s="3" t="s">
        <v>177</v>
      </c>
      <c r="O435" s="3" t="s">
        <v>30</v>
      </c>
      <c r="P435" s="30">
        <v>20012.48</v>
      </c>
      <c r="Q435" s="3" t="s">
        <v>503</v>
      </c>
      <c r="R435" s="3">
        <v>3</v>
      </c>
      <c r="S435" s="3">
        <v>126</v>
      </c>
      <c r="T435" s="3">
        <v>23.5</v>
      </c>
      <c r="U435" s="3" t="s">
        <v>86</v>
      </c>
      <c r="V435" s="18" t="s">
        <v>33</v>
      </c>
    </row>
    <row r="436" spans="1:22" ht="15" customHeight="1" x14ac:dyDescent="0.25">
      <c r="A436" s="15" t="s">
        <v>978</v>
      </c>
      <c r="B436" s="1" t="s">
        <v>979</v>
      </c>
      <c r="C436">
        <v>68</v>
      </c>
      <c r="D436" s="1" t="s">
        <v>82</v>
      </c>
      <c r="E436" s="1" t="s">
        <v>48</v>
      </c>
      <c r="F436" s="1" t="s">
        <v>99</v>
      </c>
      <c r="G436" s="1" t="s">
        <v>25</v>
      </c>
      <c r="H436" s="1" t="s">
        <v>51</v>
      </c>
      <c r="I436" s="6">
        <v>43792</v>
      </c>
      <c r="J436" s="7">
        <v>43799</v>
      </c>
      <c r="K436" s="1">
        <v>7</v>
      </c>
      <c r="L436" s="1" t="s">
        <v>112</v>
      </c>
      <c r="M436" s="1" t="s">
        <v>40</v>
      </c>
      <c r="N436" s="1" t="s">
        <v>248</v>
      </c>
      <c r="O436" s="1" t="s">
        <v>42</v>
      </c>
      <c r="P436" s="29">
        <v>90422</v>
      </c>
      <c r="Q436" s="1" t="s">
        <v>249</v>
      </c>
      <c r="R436" s="1">
        <v>12</v>
      </c>
      <c r="S436" s="1">
        <v>188</v>
      </c>
      <c r="T436" s="1">
        <v>23.2</v>
      </c>
      <c r="U436" s="1" t="s">
        <v>44</v>
      </c>
      <c r="V436" s="17" t="s">
        <v>33</v>
      </c>
    </row>
    <row r="437" spans="1:22" ht="15" customHeight="1" x14ac:dyDescent="0.25">
      <c r="A437" s="16" t="s">
        <v>980</v>
      </c>
      <c r="B437" s="3" t="s">
        <v>981</v>
      </c>
      <c r="C437">
        <v>75</v>
      </c>
      <c r="D437" s="3" t="s">
        <v>36</v>
      </c>
      <c r="E437" s="3" t="s">
        <v>48</v>
      </c>
      <c r="F437" s="3" t="s">
        <v>49</v>
      </c>
      <c r="G437" s="3" t="s">
        <v>71</v>
      </c>
      <c r="H437" s="3" t="s">
        <v>51</v>
      </c>
      <c r="I437" s="8">
        <v>45655</v>
      </c>
      <c r="J437" s="8">
        <v>45657</v>
      </c>
      <c r="K437" s="3">
        <v>2</v>
      </c>
      <c r="L437" s="3" t="s">
        <v>185</v>
      </c>
      <c r="M437" s="3" t="s">
        <v>186</v>
      </c>
      <c r="N437" s="3" t="s">
        <v>72</v>
      </c>
      <c r="O437" s="3" t="s">
        <v>42</v>
      </c>
      <c r="P437" s="30">
        <v>15751.96</v>
      </c>
      <c r="Q437" s="3" t="s">
        <v>170</v>
      </c>
      <c r="R437" s="3">
        <v>4</v>
      </c>
      <c r="S437" s="3">
        <v>118</v>
      </c>
      <c r="T437" s="4"/>
      <c r="U437" s="3" t="s">
        <v>32</v>
      </c>
      <c r="V437" s="18" t="s">
        <v>33</v>
      </c>
    </row>
    <row r="438" spans="1:22" ht="15" customHeight="1" x14ac:dyDescent="0.25">
      <c r="A438" s="15" t="s">
        <v>982</v>
      </c>
      <c r="B438" s="2" t="s">
        <v>1478</v>
      </c>
      <c r="C438">
        <v>86</v>
      </c>
      <c r="D438" s="1" t="s">
        <v>36</v>
      </c>
      <c r="E438" s="1" t="s">
        <v>23</v>
      </c>
      <c r="F438" s="1" t="s">
        <v>155</v>
      </c>
      <c r="G438" s="1" t="s">
        <v>77</v>
      </c>
      <c r="H438" s="1" t="s">
        <v>26</v>
      </c>
      <c r="I438" s="6">
        <v>45357</v>
      </c>
      <c r="J438" s="7">
        <v>45466</v>
      </c>
      <c r="K438" s="1">
        <v>20</v>
      </c>
      <c r="L438" s="1" t="s">
        <v>27</v>
      </c>
      <c r="M438" s="1" t="s">
        <v>28</v>
      </c>
      <c r="N438" s="1" t="s">
        <v>84</v>
      </c>
      <c r="O438" s="1" t="s">
        <v>42</v>
      </c>
      <c r="P438" s="29">
        <v>280000</v>
      </c>
      <c r="Q438" s="1" t="s">
        <v>80</v>
      </c>
      <c r="R438" s="1">
        <v>10</v>
      </c>
      <c r="S438" s="1">
        <v>347</v>
      </c>
      <c r="T438" s="1">
        <v>30.4</v>
      </c>
      <c r="U438" s="1" t="s">
        <v>44</v>
      </c>
      <c r="V438" s="17" t="s">
        <v>33</v>
      </c>
    </row>
    <row r="439" spans="1:22" ht="15" customHeight="1" x14ac:dyDescent="0.25">
      <c r="A439" s="16" t="s">
        <v>983</v>
      </c>
      <c r="B439" s="3" t="s">
        <v>984</v>
      </c>
      <c r="C439">
        <v>77</v>
      </c>
      <c r="D439" s="3" t="s">
        <v>36</v>
      </c>
      <c r="E439" s="3" t="s">
        <v>23</v>
      </c>
      <c r="F439" s="3" t="s">
        <v>70</v>
      </c>
      <c r="G439" s="3" t="s">
        <v>60</v>
      </c>
      <c r="H439" s="3" t="s">
        <v>51</v>
      </c>
      <c r="I439" s="6">
        <v>44861</v>
      </c>
      <c r="J439" s="8">
        <v>44603</v>
      </c>
      <c r="K439" s="3">
        <v>6</v>
      </c>
      <c r="L439" s="3" t="s">
        <v>185</v>
      </c>
      <c r="M439" s="3" t="s">
        <v>186</v>
      </c>
      <c r="N439" s="3" t="s">
        <v>210</v>
      </c>
      <c r="O439" s="3" t="s">
        <v>42</v>
      </c>
      <c r="P439" s="30">
        <v>42188</v>
      </c>
      <c r="Q439" s="3" t="s">
        <v>62</v>
      </c>
      <c r="R439" s="3">
        <v>6</v>
      </c>
      <c r="S439" s="3">
        <v>143</v>
      </c>
      <c r="T439" s="3">
        <v>34.299999999999997</v>
      </c>
      <c r="U439" s="3" t="s">
        <v>86</v>
      </c>
      <c r="V439" s="18" t="s">
        <v>33</v>
      </c>
    </row>
    <row r="440" spans="1:22" ht="15" customHeight="1" x14ac:dyDescent="0.25">
      <c r="A440" s="15" t="s">
        <v>985</v>
      </c>
      <c r="B440" s="1" t="s">
        <v>815</v>
      </c>
      <c r="C440">
        <v>59</v>
      </c>
      <c r="D440" s="1" t="s">
        <v>59</v>
      </c>
      <c r="E440" s="1" t="s">
        <v>23</v>
      </c>
      <c r="F440" s="1" t="s">
        <v>99</v>
      </c>
      <c r="G440" s="1" t="s">
        <v>131</v>
      </c>
      <c r="H440" s="1" t="s">
        <v>51</v>
      </c>
      <c r="I440" s="7">
        <v>44950</v>
      </c>
      <c r="J440" s="7">
        <v>44955</v>
      </c>
      <c r="K440" s="1">
        <v>5</v>
      </c>
      <c r="L440" s="1" t="s">
        <v>185</v>
      </c>
      <c r="M440" s="1" t="s">
        <v>186</v>
      </c>
      <c r="N440" s="1" t="s">
        <v>147</v>
      </c>
      <c r="O440" s="1" t="s">
        <v>55</v>
      </c>
      <c r="P440" s="29">
        <v>11643.65</v>
      </c>
      <c r="Q440" s="1" t="s">
        <v>158</v>
      </c>
      <c r="R440" s="1">
        <v>7</v>
      </c>
      <c r="S440" s="1">
        <v>196</v>
      </c>
      <c r="T440" s="1">
        <v>39</v>
      </c>
      <c r="U440" s="1" t="s">
        <v>44</v>
      </c>
      <c r="V440" s="17" t="s">
        <v>33</v>
      </c>
    </row>
    <row r="441" spans="1:22" ht="15" customHeight="1" x14ac:dyDescent="0.25">
      <c r="A441" s="16" t="s">
        <v>986</v>
      </c>
      <c r="B441" s="2" t="s">
        <v>3594</v>
      </c>
      <c r="C441">
        <v>55</v>
      </c>
      <c r="D441" s="3" t="s">
        <v>59</v>
      </c>
      <c r="E441" s="3" t="s">
        <v>23</v>
      </c>
      <c r="F441" s="3" t="s">
        <v>83</v>
      </c>
      <c r="G441" s="3" t="s">
        <v>77</v>
      </c>
      <c r="H441" s="3" t="s">
        <v>26</v>
      </c>
      <c r="I441" s="6">
        <v>45217</v>
      </c>
      <c r="J441" s="8">
        <v>45088</v>
      </c>
      <c r="K441" s="3">
        <v>19</v>
      </c>
      <c r="L441" s="3" t="s">
        <v>132</v>
      </c>
      <c r="M441" s="3" t="s">
        <v>53</v>
      </c>
      <c r="N441" s="3" t="s">
        <v>84</v>
      </c>
      <c r="O441" s="3" t="s">
        <v>30</v>
      </c>
      <c r="P441" s="30">
        <v>79311.070000000007</v>
      </c>
      <c r="Q441" s="3" t="s">
        <v>91</v>
      </c>
      <c r="R441" s="3">
        <v>7</v>
      </c>
      <c r="S441" s="3">
        <v>334</v>
      </c>
      <c r="T441" s="3">
        <v>32.700000000000003</v>
      </c>
      <c r="U441" s="3" t="s">
        <v>44</v>
      </c>
      <c r="V441" s="18" t="s">
        <v>33</v>
      </c>
    </row>
    <row r="442" spans="1:22" ht="15" customHeight="1" x14ac:dyDescent="0.25">
      <c r="A442" s="15" t="s">
        <v>987</v>
      </c>
      <c r="B442" s="1" t="s">
        <v>396</v>
      </c>
      <c r="C442">
        <v>48</v>
      </c>
      <c r="D442" s="1" t="s">
        <v>98</v>
      </c>
      <c r="E442" s="1" t="s">
        <v>23</v>
      </c>
      <c r="F442" s="1" t="s">
        <v>155</v>
      </c>
      <c r="G442" s="1" t="s">
        <v>38</v>
      </c>
      <c r="H442" s="1" t="s">
        <v>51</v>
      </c>
      <c r="I442" s="7">
        <v>44644</v>
      </c>
      <c r="J442" s="7">
        <v>44648</v>
      </c>
      <c r="K442" s="1">
        <v>4</v>
      </c>
      <c r="L442" s="1" t="s">
        <v>89</v>
      </c>
      <c r="M442" s="1" t="s">
        <v>90</v>
      </c>
      <c r="N442" s="1" t="s">
        <v>203</v>
      </c>
      <c r="O442" s="1" t="s">
        <v>104</v>
      </c>
      <c r="P442" s="29">
        <v>5577.72</v>
      </c>
      <c r="Q442" s="1" t="s">
        <v>567</v>
      </c>
      <c r="R442" s="1">
        <v>6</v>
      </c>
      <c r="S442" s="1">
        <v>195</v>
      </c>
      <c r="T442" s="1">
        <v>15.8</v>
      </c>
      <c r="U442" s="1" t="s">
        <v>32</v>
      </c>
      <c r="V442" s="17" t="s">
        <v>33</v>
      </c>
    </row>
    <row r="443" spans="1:22" ht="15" customHeight="1" x14ac:dyDescent="0.25">
      <c r="A443" s="16" t="s">
        <v>988</v>
      </c>
      <c r="B443" s="3" t="s">
        <v>989</v>
      </c>
      <c r="C443">
        <v>38</v>
      </c>
      <c r="D443" s="3" t="s">
        <v>98</v>
      </c>
      <c r="E443" s="3" t="s">
        <v>48</v>
      </c>
      <c r="F443" s="3" t="s">
        <v>83</v>
      </c>
      <c r="G443" s="3" t="s">
        <v>60</v>
      </c>
      <c r="H443" s="3" t="s">
        <v>51</v>
      </c>
      <c r="I443" s="8">
        <v>44068</v>
      </c>
      <c r="J443" s="8">
        <v>43870</v>
      </c>
      <c r="K443" s="3">
        <v>8</v>
      </c>
      <c r="L443" s="3" t="s">
        <v>122</v>
      </c>
      <c r="M443" s="3" t="s">
        <v>40</v>
      </c>
      <c r="N443" s="3" t="s">
        <v>103</v>
      </c>
      <c r="O443" s="3" t="s">
        <v>104</v>
      </c>
      <c r="P443" s="30">
        <v>15199.04</v>
      </c>
      <c r="Q443" s="3" t="s">
        <v>170</v>
      </c>
      <c r="R443" s="3">
        <v>5</v>
      </c>
      <c r="S443" s="3">
        <v>131</v>
      </c>
      <c r="T443" s="3">
        <v>21.4</v>
      </c>
      <c r="U443" s="3" t="s">
        <v>86</v>
      </c>
      <c r="V443" s="18" t="s">
        <v>33</v>
      </c>
    </row>
    <row r="444" spans="1:22" ht="15" customHeight="1" x14ac:dyDescent="0.25">
      <c r="A444" s="15" t="s">
        <v>990</v>
      </c>
      <c r="B444" s="1" t="s">
        <v>991</v>
      </c>
      <c r="C444">
        <v>57</v>
      </c>
      <c r="D444" s="1" t="s">
        <v>59</v>
      </c>
      <c r="E444" s="1" t="s">
        <v>23</v>
      </c>
      <c r="F444" s="1" t="s">
        <v>83</v>
      </c>
      <c r="G444" s="1" t="s">
        <v>131</v>
      </c>
      <c r="H444" s="1" t="s">
        <v>26</v>
      </c>
      <c r="I444" s="7">
        <v>43785</v>
      </c>
      <c r="J444" s="7">
        <v>43795</v>
      </c>
      <c r="K444" s="1">
        <v>10</v>
      </c>
      <c r="L444" s="1" t="s">
        <v>231</v>
      </c>
      <c r="M444" s="1" t="s">
        <v>53</v>
      </c>
      <c r="N444" s="1" t="s">
        <v>147</v>
      </c>
      <c r="O444" s="1" t="s">
        <v>104</v>
      </c>
      <c r="P444" s="29">
        <v>22464.18</v>
      </c>
      <c r="Q444" s="1" t="s">
        <v>695</v>
      </c>
      <c r="R444" s="1">
        <v>6</v>
      </c>
      <c r="S444" s="1">
        <v>328</v>
      </c>
      <c r="T444" s="1">
        <v>22</v>
      </c>
      <c r="U444" s="1" t="s">
        <v>86</v>
      </c>
      <c r="V444" s="17" t="s">
        <v>33</v>
      </c>
    </row>
    <row r="445" spans="1:22" ht="15" customHeight="1" x14ac:dyDescent="0.25">
      <c r="A445" s="16" t="s">
        <v>992</v>
      </c>
      <c r="B445" s="3" t="s">
        <v>993</v>
      </c>
      <c r="C445">
        <v>46</v>
      </c>
      <c r="D445" s="3" t="s">
        <v>98</v>
      </c>
      <c r="E445" s="3" t="s">
        <v>23</v>
      </c>
      <c r="F445" s="3" t="s">
        <v>155</v>
      </c>
      <c r="G445" s="3" t="s">
        <v>77</v>
      </c>
      <c r="H445" s="3" t="s">
        <v>26</v>
      </c>
      <c r="I445" s="6">
        <v>43904</v>
      </c>
      <c r="J445" s="8">
        <v>43912</v>
      </c>
      <c r="K445" s="3">
        <v>8</v>
      </c>
      <c r="L445" s="3" t="s">
        <v>27</v>
      </c>
      <c r="M445" s="3" t="s">
        <v>28</v>
      </c>
      <c r="N445" s="3" t="s">
        <v>84</v>
      </c>
      <c r="O445" s="3" t="s">
        <v>55</v>
      </c>
      <c r="P445" s="30">
        <v>124478.78</v>
      </c>
      <c r="Q445" s="3" t="s">
        <v>109</v>
      </c>
      <c r="R445" s="3">
        <v>8</v>
      </c>
      <c r="S445" s="3">
        <v>388</v>
      </c>
      <c r="T445" s="3">
        <v>23.5</v>
      </c>
      <c r="U445" s="3" t="s">
        <v>86</v>
      </c>
      <c r="V445" s="18" t="s">
        <v>33</v>
      </c>
    </row>
    <row r="446" spans="1:22" ht="15" customHeight="1" x14ac:dyDescent="0.25">
      <c r="A446" s="15" t="s">
        <v>994</v>
      </c>
      <c r="B446" s="1" t="s">
        <v>995</v>
      </c>
      <c r="C446">
        <v>44</v>
      </c>
      <c r="D446" s="1" t="s">
        <v>98</v>
      </c>
      <c r="E446" s="1" t="s">
        <v>48</v>
      </c>
      <c r="F446" s="1" t="s">
        <v>37</v>
      </c>
      <c r="G446" s="1" t="s">
        <v>38</v>
      </c>
      <c r="H446" s="1" t="s">
        <v>51</v>
      </c>
      <c r="I446" s="7">
        <v>44927</v>
      </c>
      <c r="J446" s="7">
        <v>45017</v>
      </c>
      <c r="K446" s="1">
        <v>3</v>
      </c>
      <c r="L446" s="1" t="s">
        <v>89</v>
      </c>
      <c r="M446" s="1" t="s">
        <v>90</v>
      </c>
      <c r="N446" s="1" t="s">
        <v>203</v>
      </c>
      <c r="O446" s="1" t="s">
        <v>42</v>
      </c>
      <c r="P446" s="29">
        <v>11856.02</v>
      </c>
      <c r="Q446" s="1" t="s">
        <v>174</v>
      </c>
      <c r="R446" s="1">
        <v>8</v>
      </c>
      <c r="S446" s="1">
        <v>126</v>
      </c>
      <c r="T446" s="1">
        <v>21.8</v>
      </c>
      <c r="U446" s="1" t="s">
        <v>44</v>
      </c>
      <c r="V446" s="17" t="s">
        <v>33</v>
      </c>
    </row>
    <row r="447" spans="1:22" ht="15" customHeight="1" x14ac:dyDescent="0.25">
      <c r="A447" s="16" t="s">
        <v>996</v>
      </c>
      <c r="B447" s="3" t="s">
        <v>997</v>
      </c>
      <c r="C447">
        <v>92</v>
      </c>
      <c r="D447" s="3" t="s">
        <v>36</v>
      </c>
      <c r="E447" s="3" t="s">
        <v>23</v>
      </c>
      <c r="F447" s="3" t="s">
        <v>155</v>
      </c>
      <c r="G447" s="3" t="s">
        <v>77</v>
      </c>
      <c r="H447" s="3" t="s">
        <v>78</v>
      </c>
      <c r="I447" s="6">
        <v>44614</v>
      </c>
      <c r="J447" s="8">
        <v>44633</v>
      </c>
      <c r="K447" s="3">
        <v>19</v>
      </c>
      <c r="L447" s="3" t="s">
        <v>231</v>
      </c>
      <c r="M447" s="3" t="s">
        <v>53</v>
      </c>
      <c r="N447" s="3" t="s">
        <v>79</v>
      </c>
      <c r="O447" s="3" t="s">
        <v>104</v>
      </c>
      <c r="P447" s="30">
        <v>53964.29</v>
      </c>
      <c r="Q447" s="3" t="s">
        <v>592</v>
      </c>
      <c r="R447" s="3">
        <v>8</v>
      </c>
      <c r="S447" s="3">
        <v>210</v>
      </c>
      <c r="T447" s="3">
        <v>23.9</v>
      </c>
      <c r="U447" s="3" t="s">
        <v>44</v>
      </c>
      <c r="V447" s="18" t="s">
        <v>33</v>
      </c>
    </row>
    <row r="448" spans="1:22" ht="15" customHeight="1" x14ac:dyDescent="0.25">
      <c r="A448" s="15" t="s">
        <v>998</v>
      </c>
      <c r="B448" s="1" t="s">
        <v>999</v>
      </c>
      <c r="C448">
        <v>53</v>
      </c>
      <c r="D448" s="1" t="s">
        <v>98</v>
      </c>
      <c r="E448" s="1" t="s">
        <v>23</v>
      </c>
      <c r="F448" s="1" t="s">
        <v>99</v>
      </c>
      <c r="G448" s="1" t="s">
        <v>38</v>
      </c>
      <c r="H448" s="1" t="s">
        <v>26</v>
      </c>
      <c r="I448" s="6">
        <v>43923</v>
      </c>
      <c r="J448" s="7">
        <v>43871</v>
      </c>
      <c r="K448" s="1">
        <v>6</v>
      </c>
      <c r="L448" s="1" t="s">
        <v>39</v>
      </c>
      <c r="M448" s="1" t="s">
        <v>40</v>
      </c>
      <c r="N448" s="1" t="s">
        <v>41</v>
      </c>
      <c r="O448" s="1" t="s">
        <v>42</v>
      </c>
      <c r="P448" s="29">
        <v>20323</v>
      </c>
      <c r="Q448" s="1" t="s">
        <v>119</v>
      </c>
      <c r="R448" s="1">
        <v>7</v>
      </c>
      <c r="S448" s="1">
        <v>178</v>
      </c>
      <c r="T448" s="1">
        <v>42.5</v>
      </c>
      <c r="U448" s="1" t="s">
        <v>44</v>
      </c>
      <c r="V448" s="17" t="s">
        <v>33</v>
      </c>
    </row>
    <row r="449" spans="1:22" ht="15" customHeight="1" x14ac:dyDescent="0.25">
      <c r="A449" s="16" t="s">
        <v>1000</v>
      </c>
      <c r="B449" s="2" t="s">
        <v>2337</v>
      </c>
      <c r="C449">
        <v>36</v>
      </c>
      <c r="D449" s="3" t="s">
        <v>98</v>
      </c>
      <c r="E449" s="3" t="s">
        <v>48</v>
      </c>
      <c r="F449" s="3" t="s">
        <v>155</v>
      </c>
      <c r="G449" s="3" t="s">
        <v>131</v>
      </c>
      <c r="H449" s="3" t="s">
        <v>26</v>
      </c>
      <c r="I449" s="6">
        <v>44492</v>
      </c>
      <c r="J449" s="8">
        <v>44501</v>
      </c>
      <c r="K449" s="3">
        <v>9</v>
      </c>
      <c r="L449" s="3" t="s">
        <v>112</v>
      </c>
      <c r="M449" s="3" t="s">
        <v>40</v>
      </c>
      <c r="N449" s="3" t="s">
        <v>147</v>
      </c>
      <c r="O449" s="3" t="s">
        <v>30</v>
      </c>
      <c r="P449" s="30">
        <v>24727.07</v>
      </c>
      <c r="Q449" s="3" t="s">
        <v>158</v>
      </c>
      <c r="R449" s="3">
        <v>5</v>
      </c>
      <c r="S449" s="3">
        <v>348</v>
      </c>
      <c r="T449" s="3">
        <v>31.8</v>
      </c>
      <c r="U449" s="3" t="s">
        <v>44</v>
      </c>
      <c r="V449" s="18" t="s">
        <v>33</v>
      </c>
    </row>
    <row r="450" spans="1:22" ht="15" customHeight="1" x14ac:dyDescent="0.25">
      <c r="A450" s="15" t="s">
        <v>1001</v>
      </c>
      <c r="B450" s="1" t="s">
        <v>1002</v>
      </c>
      <c r="C450">
        <v>67</v>
      </c>
      <c r="D450" s="1" t="s">
        <v>82</v>
      </c>
      <c r="E450" s="1" t="s">
        <v>48</v>
      </c>
      <c r="F450" s="1" t="s">
        <v>83</v>
      </c>
      <c r="G450" s="1" t="s">
        <v>25</v>
      </c>
      <c r="H450" s="1" t="s">
        <v>51</v>
      </c>
      <c r="I450" s="7">
        <v>44019</v>
      </c>
      <c r="J450" s="7">
        <v>44034</v>
      </c>
      <c r="K450" s="1">
        <v>15</v>
      </c>
      <c r="L450" s="1" t="s">
        <v>185</v>
      </c>
      <c r="M450" s="1" t="s">
        <v>186</v>
      </c>
      <c r="N450" s="1" t="s">
        <v>65</v>
      </c>
      <c r="O450" s="1" t="s">
        <v>42</v>
      </c>
      <c r="P450" s="29">
        <v>73818.880000000005</v>
      </c>
      <c r="Q450" s="1" t="s">
        <v>198</v>
      </c>
      <c r="R450" s="1">
        <v>12</v>
      </c>
      <c r="S450" s="1">
        <v>179</v>
      </c>
      <c r="T450" s="1">
        <v>14</v>
      </c>
      <c r="U450" s="1" t="s">
        <v>44</v>
      </c>
      <c r="V450" s="17" t="s">
        <v>45</v>
      </c>
    </row>
    <row r="451" spans="1:22" ht="15" customHeight="1" x14ac:dyDescent="0.25">
      <c r="A451" s="16" t="s">
        <v>1003</v>
      </c>
      <c r="B451" s="2" t="s">
        <v>3595</v>
      </c>
      <c r="C451">
        <v>72</v>
      </c>
      <c r="D451" s="3" t="s">
        <v>82</v>
      </c>
      <c r="E451" s="3" t="s">
        <v>23</v>
      </c>
      <c r="F451" s="3" t="s">
        <v>155</v>
      </c>
      <c r="G451" s="3" t="s">
        <v>77</v>
      </c>
      <c r="H451" s="3" t="s">
        <v>51</v>
      </c>
      <c r="I451" s="8">
        <v>43590</v>
      </c>
      <c r="J451" s="8">
        <v>43600</v>
      </c>
      <c r="K451" s="3">
        <v>10</v>
      </c>
      <c r="L451" s="3" t="s">
        <v>122</v>
      </c>
      <c r="M451" s="3" t="s">
        <v>40</v>
      </c>
      <c r="N451" s="3" t="s">
        <v>79</v>
      </c>
      <c r="O451" s="3" t="s">
        <v>55</v>
      </c>
      <c r="P451" s="30">
        <v>70158.789999999994</v>
      </c>
      <c r="Q451" s="3" t="s">
        <v>85</v>
      </c>
      <c r="R451" s="3">
        <v>6</v>
      </c>
      <c r="S451" s="3">
        <v>186</v>
      </c>
      <c r="T451" s="3">
        <v>34.799999999999997</v>
      </c>
      <c r="U451" s="3" t="s">
        <v>44</v>
      </c>
      <c r="V451" s="18" t="s">
        <v>33</v>
      </c>
    </row>
    <row r="452" spans="1:22" ht="15" customHeight="1" x14ac:dyDescent="0.25">
      <c r="A452" s="15" t="s">
        <v>1004</v>
      </c>
      <c r="B452" s="1" t="s">
        <v>228</v>
      </c>
      <c r="C452">
        <v>37</v>
      </c>
      <c r="D452" s="1" t="s">
        <v>98</v>
      </c>
      <c r="E452" s="1" t="s">
        <v>23</v>
      </c>
      <c r="F452" s="1" t="s">
        <v>99</v>
      </c>
      <c r="G452" s="1" t="s">
        <v>163</v>
      </c>
      <c r="H452" s="1" t="s">
        <v>78</v>
      </c>
      <c r="I452" s="6">
        <v>43749</v>
      </c>
      <c r="J452" s="7">
        <v>43782</v>
      </c>
      <c r="K452" s="1">
        <v>3</v>
      </c>
      <c r="L452" s="1" t="s">
        <v>27</v>
      </c>
      <c r="M452" s="1" t="s">
        <v>28</v>
      </c>
      <c r="N452" s="1" t="s">
        <v>213</v>
      </c>
      <c r="O452" s="1" t="s">
        <v>104</v>
      </c>
      <c r="P452" s="29">
        <v>18260.990000000002</v>
      </c>
      <c r="Q452" s="1" t="s">
        <v>382</v>
      </c>
      <c r="R452" s="1">
        <v>5</v>
      </c>
      <c r="S452" s="1">
        <v>293</v>
      </c>
      <c r="T452" s="1">
        <v>22</v>
      </c>
      <c r="U452" s="1" t="s">
        <v>32</v>
      </c>
      <c r="V452" s="17" t="s">
        <v>33</v>
      </c>
    </row>
    <row r="453" spans="1:22" ht="15" customHeight="1" x14ac:dyDescent="0.25">
      <c r="A453" s="16" t="s">
        <v>1005</v>
      </c>
      <c r="B453" s="3" t="s">
        <v>1006</v>
      </c>
      <c r="C453">
        <v>45</v>
      </c>
      <c r="D453" s="3" t="s">
        <v>98</v>
      </c>
      <c r="E453" s="3" t="s">
        <v>23</v>
      </c>
      <c r="F453" s="3" t="s">
        <v>99</v>
      </c>
      <c r="G453" s="3" t="s">
        <v>131</v>
      </c>
      <c r="H453" s="3" t="s">
        <v>26</v>
      </c>
      <c r="I453" s="8">
        <v>45390</v>
      </c>
      <c r="J453" s="8">
        <v>45395</v>
      </c>
      <c r="K453" s="3">
        <v>5</v>
      </c>
      <c r="L453" s="3" t="s">
        <v>112</v>
      </c>
      <c r="M453" s="3" t="s">
        <v>40</v>
      </c>
      <c r="N453" s="3" t="s">
        <v>133</v>
      </c>
      <c r="O453" s="3" t="s">
        <v>55</v>
      </c>
      <c r="P453" s="30">
        <v>42191</v>
      </c>
      <c r="Q453" s="3" t="s">
        <v>158</v>
      </c>
      <c r="R453" s="3">
        <v>5</v>
      </c>
      <c r="S453" s="3">
        <v>350</v>
      </c>
      <c r="T453" s="4"/>
      <c r="U453" s="3" t="s">
        <v>86</v>
      </c>
      <c r="V453" s="18" t="s">
        <v>33</v>
      </c>
    </row>
    <row r="454" spans="1:22" ht="15" customHeight="1" x14ac:dyDescent="0.25">
      <c r="A454" s="15" t="s">
        <v>1007</v>
      </c>
      <c r="B454" s="1" t="s">
        <v>1008</v>
      </c>
      <c r="C454">
        <v>69</v>
      </c>
      <c r="D454" s="1" t="s">
        <v>82</v>
      </c>
      <c r="E454" s="1" t="s">
        <v>48</v>
      </c>
      <c r="F454" s="1" t="s">
        <v>99</v>
      </c>
      <c r="G454" s="1" t="s">
        <v>71</v>
      </c>
      <c r="H454" s="1" t="s">
        <v>51</v>
      </c>
      <c r="I454" s="6">
        <v>45014</v>
      </c>
      <c r="J454" s="7">
        <v>45017</v>
      </c>
      <c r="K454" s="1">
        <v>3</v>
      </c>
      <c r="L454" s="1" t="s">
        <v>132</v>
      </c>
      <c r="M454" s="1" t="s">
        <v>53</v>
      </c>
      <c r="N454" s="1" t="s">
        <v>72</v>
      </c>
      <c r="O454" s="1" t="s">
        <v>104</v>
      </c>
      <c r="P454" s="29">
        <v>12418.78</v>
      </c>
      <c r="Q454" s="1" t="s">
        <v>374</v>
      </c>
      <c r="R454" s="1">
        <v>4</v>
      </c>
      <c r="S454" s="1">
        <v>153</v>
      </c>
      <c r="T454" s="1">
        <v>20.399999999999999</v>
      </c>
      <c r="U454" s="1" t="s">
        <v>32</v>
      </c>
      <c r="V454" s="17" t="s">
        <v>33</v>
      </c>
    </row>
    <row r="455" spans="1:22" ht="15" customHeight="1" x14ac:dyDescent="0.25">
      <c r="A455" s="16" t="s">
        <v>1009</v>
      </c>
      <c r="B455" s="3" t="s">
        <v>1010</v>
      </c>
      <c r="C455">
        <v>56</v>
      </c>
      <c r="D455" s="3" t="s">
        <v>59</v>
      </c>
      <c r="E455" s="3" t="s">
        <v>23</v>
      </c>
      <c r="F455" s="3" t="s">
        <v>99</v>
      </c>
      <c r="G455" s="3" t="s">
        <v>50</v>
      </c>
      <c r="H455" s="3" t="s">
        <v>78</v>
      </c>
      <c r="I455" s="8">
        <v>45062</v>
      </c>
      <c r="J455" s="8">
        <v>45068</v>
      </c>
      <c r="K455" s="3">
        <v>6</v>
      </c>
      <c r="L455" s="3" t="s">
        <v>122</v>
      </c>
      <c r="M455" s="3" t="s">
        <v>40</v>
      </c>
      <c r="N455" s="3" t="s">
        <v>126</v>
      </c>
      <c r="O455" s="3" t="s">
        <v>55</v>
      </c>
      <c r="P455" s="30">
        <v>54745.91</v>
      </c>
      <c r="Q455" s="3" t="s">
        <v>279</v>
      </c>
      <c r="R455" s="3">
        <v>9</v>
      </c>
      <c r="S455" s="3">
        <v>394</v>
      </c>
      <c r="T455" s="3">
        <v>29.6</v>
      </c>
      <c r="U455" s="3" t="s">
        <v>32</v>
      </c>
      <c r="V455" s="18" t="s">
        <v>33</v>
      </c>
    </row>
    <row r="456" spans="1:22" ht="15" customHeight="1" x14ac:dyDescent="0.25">
      <c r="A456" s="15" t="s">
        <v>1011</v>
      </c>
      <c r="B456" s="1" t="s">
        <v>1012</v>
      </c>
      <c r="C456">
        <v>38</v>
      </c>
      <c r="D456" s="1" t="s">
        <v>98</v>
      </c>
      <c r="E456" s="1" t="s">
        <v>23</v>
      </c>
      <c r="F456" s="1" t="s">
        <v>83</v>
      </c>
      <c r="G456" s="1" t="s">
        <v>77</v>
      </c>
      <c r="H456" s="1" t="s">
        <v>26</v>
      </c>
      <c r="I456" s="6">
        <v>43747</v>
      </c>
      <c r="J456" s="7">
        <v>43734</v>
      </c>
      <c r="K456" s="1">
        <v>16</v>
      </c>
      <c r="L456" s="1" t="s">
        <v>89</v>
      </c>
      <c r="M456" s="1" t="s">
        <v>90</v>
      </c>
      <c r="N456" s="1" t="s">
        <v>84</v>
      </c>
      <c r="O456" s="1" t="s">
        <v>30</v>
      </c>
      <c r="P456" s="29">
        <v>48020.62</v>
      </c>
      <c r="Q456" s="1" t="s">
        <v>85</v>
      </c>
      <c r="R456" s="1">
        <v>10</v>
      </c>
      <c r="S456" s="1">
        <v>391</v>
      </c>
      <c r="T456" s="1">
        <v>19.8</v>
      </c>
      <c r="U456" s="1" t="s">
        <v>44</v>
      </c>
      <c r="V456" s="17" t="s">
        <v>33</v>
      </c>
    </row>
    <row r="457" spans="1:22" ht="15" customHeight="1" x14ac:dyDescent="0.25">
      <c r="A457" s="16" t="s">
        <v>1013</v>
      </c>
      <c r="B457" s="2" t="s">
        <v>3596</v>
      </c>
      <c r="C457">
        <v>74</v>
      </c>
      <c r="D457" s="3" t="s">
        <v>82</v>
      </c>
      <c r="E457" s="3" t="s">
        <v>48</v>
      </c>
      <c r="F457" s="2" t="s">
        <v>155</v>
      </c>
      <c r="G457" s="3" t="s">
        <v>50</v>
      </c>
      <c r="H457" s="3" t="s">
        <v>51</v>
      </c>
      <c r="I457" s="8">
        <v>44390</v>
      </c>
      <c r="J457" s="8">
        <v>44394</v>
      </c>
      <c r="K457" s="3">
        <v>4</v>
      </c>
      <c r="L457" s="3" t="s">
        <v>231</v>
      </c>
      <c r="M457" s="3" t="s">
        <v>53</v>
      </c>
      <c r="N457" s="3" t="s">
        <v>54</v>
      </c>
      <c r="O457" s="3" t="s">
        <v>104</v>
      </c>
      <c r="P457" s="30">
        <v>64511.199999999997</v>
      </c>
      <c r="Q457" s="3" t="s">
        <v>351</v>
      </c>
      <c r="R457" s="3">
        <v>9</v>
      </c>
      <c r="S457" s="3">
        <v>103</v>
      </c>
      <c r="T457" s="3">
        <v>21.6</v>
      </c>
      <c r="U457" s="3" t="s">
        <v>44</v>
      </c>
      <c r="V457" s="18" t="s">
        <v>33</v>
      </c>
    </row>
    <row r="458" spans="1:22" ht="15" customHeight="1" x14ac:dyDescent="0.25">
      <c r="A458" s="15" t="s">
        <v>1014</v>
      </c>
      <c r="B458" s="1" t="s">
        <v>1015</v>
      </c>
      <c r="C458">
        <v>39</v>
      </c>
      <c r="D458" s="1" t="s">
        <v>98</v>
      </c>
      <c r="E458" s="1" t="s">
        <v>48</v>
      </c>
      <c r="F458" s="1" t="s">
        <v>99</v>
      </c>
      <c r="G458" s="1" t="s">
        <v>50</v>
      </c>
      <c r="H458" s="1" t="s">
        <v>26</v>
      </c>
      <c r="I458" s="7">
        <v>44627</v>
      </c>
      <c r="J458" s="7">
        <v>44648</v>
      </c>
      <c r="K458" s="1">
        <v>21</v>
      </c>
      <c r="L458" s="1" t="s">
        <v>102</v>
      </c>
      <c r="M458" s="1" t="s">
        <v>28</v>
      </c>
      <c r="N458" s="1" t="s">
        <v>116</v>
      </c>
      <c r="O458" s="1" t="s">
        <v>30</v>
      </c>
      <c r="P458" s="29">
        <v>106756.85</v>
      </c>
      <c r="Q458" s="1" t="s">
        <v>194</v>
      </c>
      <c r="R458" s="1">
        <v>8</v>
      </c>
      <c r="S458" s="1">
        <v>328</v>
      </c>
      <c r="T458" s="1">
        <v>25.6</v>
      </c>
      <c r="U458" s="1" t="s">
        <v>44</v>
      </c>
      <c r="V458" s="17" t="s">
        <v>45</v>
      </c>
    </row>
    <row r="459" spans="1:22" ht="15" customHeight="1" x14ac:dyDescent="0.25">
      <c r="A459" s="16" t="s">
        <v>1016</v>
      </c>
      <c r="B459" s="3" t="s">
        <v>724</v>
      </c>
      <c r="C459">
        <v>48</v>
      </c>
      <c r="D459" s="3" t="s">
        <v>98</v>
      </c>
      <c r="E459" s="3" t="s">
        <v>23</v>
      </c>
      <c r="F459" s="3" t="s">
        <v>155</v>
      </c>
      <c r="G459" s="3" t="s">
        <v>77</v>
      </c>
      <c r="H459" s="3" t="s">
        <v>26</v>
      </c>
      <c r="I459" s="8">
        <v>43780</v>
      </c>
      <c r="J459" s="8">
        <v>43815</v>
      </c>
      <c r="K459" s="3">
        <v>35</v>
      </c>
      <c r="L459" s="3" t="s">
        <v>27</v>
      </c>
      <c r="M459" s="3" t="s">
        <v>28</v>
      </c>
      <c r="N459" s="3" t="s">
        <v>84</v>
      </c>
      <c r="O459" s="3" t="s">
        <v>30</v>
      </c>
      <c r="P459" s="30">
        <v>58907</v>
      </c>
      <c r="Q459" s="3" t="s">
        <v>85</v>
      </c>
      <c r="R459" s="3">
        <v>10</v>
      </c>
      <c r="S459" s="3">
        <v>316</v>
      </c>
      <c r="T459" s="3">
        <v>23.1</v>
      </c>
      <c r="U459" s="3" t="s">
        <v>44</v>
      </c>
      <c r="V459" s="18" t="s">
        <v>33</v>
      </c>
    </row>
    <row r="460" spans="1:22" ht="15" customHeight="1" x14ac:dyDescent="0.25">
      <c r="A460" s="15" t="s">
        <v>1017</v>
      </c>
      <c r="B460" s="1" t="s">
        <v>1018</v>
      </c>
      <c r="C460">
        <v>76</v>
      </c>
      <c r="D460" s="1" t="s">
        <v>36</v>
      </c>
      <c r="E460" s="1" t="s">
        <v>23</v>
      </c>
      <c r="F460" s="1" t="s">
        <v>76</v>
      </c>
      <c r="G460" s="1" t="s">
        <v>60</v>
      </c>
      <c r="H460" s="1" t="s">
        <v>26</v>
      </c>
      <c r="I460" s="6">
        <v>44096</v>
      </c>
      <c r="J460" s="7">
        <v>43900</v>
      </c>
      <c r="K460" s="1">
        <v>11</v>
      </c>
      <c r="L460" s="1" t="s">
        <v>52</v>
      </c>
      <c r="M460" s="1" t="s">
        <v>53</v>
      </c>
      <c r="N460" s="1" t="s">
        <v>103</v>
      </c>
      <c r="O460" s="1" t="s">
        <v>30</v>
      </c>
      <c r="P460" s="29">
        <v>70252.87</v>
      </c>
      <c r="Q460" s="1" t="s">
        <v>511</v>
      </c>
      <c r="R460" s="1">
        <v>6</v>
      </c>
      <c r="S460" s="1">
        <v>429</v>
      </c>
      <c r="T460" s="1">
        <v>29.1</v>
      </c>
      <c r="U460" s="1" t="s">
        <v>32</v>
      </c>
      <c r="V460" s="17" t="s">
        <v>33</v>
      </c>
    </row>
    <row r="461" spans="1:22" ht="15" customHeight="1" x14ac:dyDescent="0.25">
      <c r="A461" s="16" t="s">
        <v>1019</v>
      </c>
      <c r="B461" s="2" t="s">
        <v>3597</v>
      </c>
      <c r="C461">
        <v>55</v>
      </c>
      <c r="D461" s="3" t="s">
        <v>59</v>
      </c>
      <c r="E461" s="3" t="s">
        <v>23</v>
      </c>
      <c r="F461" s="3" t="s">
        <v>155</v>
      </c>
      <c r="G461" s="3" t="s">
        <v>50</v>
      </c>
      <c r="H461" s="3" t="s">
        <v>26</v>
      </c>
      <c r="I461" s="6">
        <v>44438</v>
      </c>
      <c r="J461" s="8">
        <v>44356</v>
      </c>
      <c r="K461" s="3">
        <v>7</v>
      </c>
      <c r="L461" s="3" t="s">
        <v>27</v>
      </c>
      <c r="M461" s="3" t="s">
        <v>28</v>
      </c>
      <c r="N461" s="3" t="s">
        <v>126</v>
      </c>
      <c r="O461" s="3" t="s">
        <v>66</v>
      </c>
      <c r="P461" s="30">
        <v>57036.01</v>
      </c>
      <c r="Q461" s="3" t="s">
        <v>194</v>
      </c>
      <c r="R461" s="3">
        <v>9</v>
      </c>
      <c r="S461" s="3">
        <v>374</v>
      </c>
      <c r="T461" s="3">
        <v>24.6</v>
      </c>
      <c r="U461" s="3" t="s">
        <v>44</v>
      </c>
      <c r="V461" s="18" t="s">
        <v>33</v>
      </c>
    </row>
    <row r="462" spans="1:22" ht="15" customHeight="1" x14ac:dyDescent="0.25">
      <c r="A462" s="15" t="s">
        <v>1020</v>
      </c>
      <c r="B462" s="1" t="s">
        <v>1021</v>
      </c>
      <c r="C462">
        <v>16</v>
      </c>
      <c r="D462" s="1" t="s">
        <v>22</v>
      </c>
      <c r="E462" s="1" t="s">
        <v>48</v>
      </c>
      <c r="F462" s="1" t="s">
        <v>83</v>
      </c>
      <c r="G462" s="1" t="s">
        <v>77</v>
      </c>
      <c r="H462" s="1" t="s">
        <v>51</v>
      </c>
      <c r="I462" s="6">
        <v>45005</v>
      </c>
      <c r="J462" s="7">
        <v>45017</v>
      </c>
      <c r="K462" s="1">
        <v>12</v>
      </c>
      <c r="L462" s="1" t="s">
        <v>52</v>
      </c>
      <c r="M462" s="1" t="s">
        <v>53</v>
      </c>
      <c r="N462" s="1" t="s">
        <v>94</v>
      </c>
      <c r="O462" s="1" t="s">
        <v>42</v>
      </c>
      <c r="P462" s="29">
        <v>50178.18</v>
      </c>
      <c r="Q462" s="1" t="s">
        <v>80</v>
      </c>
      <c r="R462" s="1">
        <v>8</v>
      </c>
      <c r="S462" s="1">
        <v>102</v>
      </c>
      <c r="T462" s="1">
        <v>37.4</v>
      </c>
      <c r="U462" s="1" t="s">
        <v>44</v>
      </c>
      <c r="V462" s="17" t="s">
        <v>33</v>
      </c>
    </row>
    <row r="463" spans="1:22" ht="15" customHeight="1" x14ac:dyDescent="0.25">
      <c r="A463" s="16" t="s">
        <v>1022</v>
      </c>
      <c r="B463" s="3" t="s">
        <v>1023</v>
      </c>
      <c r="C463">
        <v>80</v>
      </c>
      <c r="D463" s="3" t="s">
        <v>36</v>
      </c>
      <c r="E463" s="3" t="s">
        <v>48</v>
      </c>
      <c r="F463" s="3" t="s">
        <v>76</v>
      </c>
      <c r="G463" s="3" t="s">
        <v>50</v>
      </c>
      <c r="H463" s="3" t="s">
        <v>156</v>
      </c>
      <c r="I463" s="6">
        <v>45121</v>
      </c>
      <c r="J463" s="8">
        <v>45207</v>
      </c>
      <c r="K463" s="3">
        <v>27</v>
      </c>
      <c r="L463" s="3" t="s">
        <v>231</v>
      </c>
      <c r="M463" s="3" t="s">
        <v>53</v>
      </c>
      <c r="N463" s="3" t="s">
        <v>54</v>
      </c>
      <c r="O463" s="3" t="s">
        <v>30</v>
      </c>
      <c r="P463" s="30">
        <v>47448.04</v>
      </c>
      <c r="Q463" s="3" t="s">
        <v>552</v>
      </c>
      <c r="R463" s="3">
        <v>9</v>
      </c>
      <c r="S463" s="3">
        <v>258</v>
      </c>
      <c r="T463" s="4"/>
      <c r="U463" s="3" t="s">
        <v>32</v>
      </c>
      <c r="V463" s="18" t="s">
        <v>33</v>
      </c>
    </row>
    <row r="464" spans="1:22" ht="15" customHeight="1" x14ac:dyDescent="0.25">
      <c r="A464" s="15" t="s">
        <v>1024</v>
      </c>
      <c r="B464" s="1" t="s">
        <v>1025</v>
      </c>
      <c r="C464">
        <v>64</v>
      </c>
      <c r="D464" s="1" t="s">
        <v>59</v>
      </c>
      <c r="E464" s="1" t="s">
        <v>48</v>
      </c>
      <c r="F464" s="1" t="s">
        <v>70</v>
      </c>
      <c r="G464" s="1" t="s">
        <v>25</v>
      </c>
      <c r="H464" s="1" t="s">
        <v>156</v>
      </c>
      <c r="I464" s="7">
        <v>43478</v>
      </c>
      <c r="J464" s="7">
        <v>43483</v>
      </c>
      <c r="K464" s="1">
        <v>5</v>
      </c>
      <c r="L464" s="1" t="s">
        <v>27</v>
      </c>
      <c r="M464" s="1" t="s">
        <v>28</v>
      </c>
      <c r="N464" s="1" t="s">
        <v>248</v>
      </c>
      <c r="O464" s="1" t="s">
        <v>42</v>
      </c>
      <c r="P464" s="29">
        <v>99991.08</v>
      </c>
      <c r="Q464" s="1" t="s">
        <v>400</v>
      </c>
      <c r="R464" s="1">
        <v>11</v>
      </c>
      <c r="S464" s="1">
        <v>137</v>
      </c>
      <c r="T464" s="1">
        <v>21.9</v>
      </c>
      <c r="U464" s="1" t="s">
        <v>44</v>
      </c>
      <c r="V464" s="17" t="s">
        <v>33</v>
      </c>
    </row>
    <row r="465" spans="1:22" ht="15" customHeight="1" x14ac:dyDescent="0.25">
      <c r="A465" s="16" t="s">
        <v>1026</v>
      </c>
      <c r="B465" s="3" t="s">
        <v>1027</v>
      </c>
      <c r="C465">
        <v>22</v>
      </c>
      <c r="D465" s="3" t="s">
        <v>47</v>
      </c>
      <c r="E465" s="3" t="s">
        <v>48</v>
      </c>
      <c r="F465" s="3" t="s">
        <v>70</v>
      </c>
      <c r="G465" s="3" t="s">
        <v>50</v>
      </c>
      <c r="H465" s="3" t="s">
        <v>26</v>
      </c>
      <c r="I465" s="8">
        <v>43870</v>
      </c>
      <c r="J465" s="8">
        <v>44081</v>
      </c>
      <c r="K465" s="3">
        <v>5</v>
      </c>
      <c r="L465" s="3" t="s">
        <v>185</v>
      </c>
      <c r="M465" s="3" t="s">
        <v>186</v>
      </c>
      <c r="N465" s="3" t="s">
        <v>116</v>
      </c>
      <c r="O465" s="3" t="s">
        <v>30</v>
      </c>
      <c r="P465" s="30">
        <v>33016</v>
      </c>
      <c r="Q465" s="3" t="s">
        <v>552</v>
      </c>
      <c r="R465" s="3">
        <v>9</v>
      </c>
      <c r="S465" s="3">
        <v>308</v>
      </c>
      <c r="T465" s="3">
        <v>28.9</v>
      </c>
      <c r="U465" s="3" t="s">
        <v>32</v>
      </c>
      <c r="V465" s="18" t="s">
        <v>45</v>
      </c>
    </row>
    <row r="466" spans="1:22" ht="15" customHeight="1" x14ac:dyDescent="0.25">
      <c r="A466" s="15" t="s">
        <v>1028</v>
      </c>
      <c r="B466" s="2" t="s">
        <v>3598</v>
      </c>
      <c r="C466">
        <v>37</v>
      </c>
      <c r="D466" s="1" t="s">
        <v>98</v>
      </c>
      <c r="E466" s="1" t="s">
        <v>48</v>
      </c>
      <c r="F466" s="1" t="s">
        <v>155</v>
      </c>
      <c r="G466" s="1" t="s">
        <v>870</v>
      </c>
      <c r="H466" s="1" t="s">
        <v>26</v>
      </c>
      <c r="I466" s="6">
        <v>43765</v>
      </c>
      <c r="J466" s="7">
        <v>43774</v>
      </c>
      <c r="K466" s="1">
        <v>9</v>
      </c>
      <c r="L466" s="1" t="s">
        <v>185</v>
      </c>
      <c r="M466" s="1" t="s">
        <v>186</v>
      </c>
      <c r="N466" s="1" t="s">
        <v>147</v>
      </c>
      <c r="O466" s="1" t="s">
        <v>104</v>
      </c>
      <c r="P466" s="29">
        <v>23477.77</v>
      </c>
      <c r="Q466" s="1" t="s">
        <v>291</v>
      </c>
      <c r="R466" s="1">
        <v>7</v>
      </c>
      <c r="S466" s="1">
        <v>356</v>
      </c>
      <c r="T466" s="1">
        <v>27.7</v>
      </c>
      <c r="U466" s="1" t="s">
        <v>44</v>
      </c>
      <c r="V466" s="17" t="s">
        <v>33</v>
      </c>
    </row>
    <row r="467" spans="1:22" ht="15" customHeight="1" x14ac:dyDescent="0.25">
      <c r="A467" s="16" t="s">
        <v>1029</v>
      </c>
      <c r="B467" s="3" t="s">
        <v>1030</v>
      </c>
      <c r="C467">
        <v>87</v>
      </c>
      <c r="D467" s="3" t="s">
        <v>36</v>
      </c>
      <c r="E467" s="3" t="s">
        <v>48</v>
      </c>
      <c r="F467" s="3" t="s">
        <v>83</v>
      </c>
      <c r="G467" s="3" t="s">
        <v>60</v>
      </c>
      <c r="H467" s="3" t="s">
        <v>26</v>
      </c>
      <c r="I467" s="8">
        <v>45511</v>
      </c>
      <c r="J467" s="8">
        <v>45497</v>
      </c>
      <c r="K467" s="3">
        <v>16</v>
      </c>
      <c r="L467" s="3" t="s">
        <v>112</v>
      </c>
      <c r="M467" s="3" t="s">
        <v>40</v>
      </c>
      <c r="N467" s="3" t="s">
        <v>61</v>
      </c>
      <c r="O467" s="3" t="s">
        <v>104</v>
      </c>
      <c r="P467" s="30">
        <v>90591</v>
      </c>
      <c r="Q467" s="3" t="s">
        <v>105</v>
      </c>
      <c r="R467" s="3">
        <v>6</v>
      </c>
      <c r="S467" s="3">
        <v>145</v>
      </c>
      <c r="T467" s="3">
        <v>24.9</v>
      </c>
      <c r="U467" s="3" t="s">
        <v>32</v>
      </c>
      <c r="V467" s="18" t="s">
        <v>33</v>
      </c>
    </row>
    <row r="468" spans="1:22" ht="15" customHeight="1" x14ac:dyDescent="0.25">
      <c r="A468" s="15" t="s">
        <v>1031</v>
      </c>
      <c r="B468" s="1" t="s">
        <v>1032</v>
      </c>
      <c r="C468">
        <v>46</v>
      </c>
      <c r="D468" s="1" t="s">
        <v>98</v>
      </c>
      <c r="E468" s="1" t="s">
        <v>48</v>
      </c>
      <c r="F468" s="1" t="s">
        <v>83</v>
      </c>
      <c r="G468" s="1" t="s">
        <v>1033</v>
      </c>
      <c r="H468" s="1" t="s">
        <v>156</v>
      </c>
      <c r="I468" s="7">
        <v>44138</v>
      </c>
      <c r="J468" s="7">
        <v>44142</v>
      </c>
      <c r="K468" s="1">
        <v>4</v>
      </c>
      <c r="L468" s="1" t="s">
        <v>185</v>
      </c>
      <c r="M468" s="1" t="s">
        <v>186</v>
      </c>
      <c r="N468" s="1" t="s">
        <v>346</v>
      </c>
      <c r="O468" s="1" t="s">
        <v>104</v>
      </c>
      <c r="P468" s="29">
        <v>15083.08</v>
      </c>
      <c r="Q468" s="1" t="s">
        <v>62</v>
      </c>
      <c r="R468" s="1">
        <v>6</v>
      </c>
      <c r="S468" s="1">
        <v>379</v>
      </c>
      <c r="T468" s="1">
        <v>23.1</v>
      </c>
      <c r="U468" s="1" t="s">
        <v>44</v>
      </c>
      <c r="V468" s="17" t="s">
        <v>33</v>
      </c>
    </row>
    <row r="469" spans="1:22" ht="15" customHeight="1" x14ac:dyDescent="0.25">
      <c r="A469" s="16" t="s">
        <v>1034</v>
      </c>
      <c r="B469" s="3" t="s">
        <v>1035</v>
      </c>
      <c r="C469">
        <v>85</v>
      </c>
      <c r="D469" s="3" t="s">
        <v>36</v>
      </c>
      <c r="E469" s="3" t="s">
        <v>23</v>
      </c>
      <c r="F469" s="3" t="s">
        <v>37</v>
      </c>
      <c r="G469" s="3" t="s">
        <v>60</v>
      </c>
      <c r="H469" s="3" t="s">
        <v>26</v>
      </c>
      <c r="I469" s="6">
        <v>45316</v>
      </c>
      <c r="J469" s="8">
        <v>45322</v>
      </c>
      <c r="K469" s="3">
        <v>6</v>
      </c>
      <c r="L469" s="3" t="s">
        <v>185</v>
      </c>
      <c r="M469" s="3" t="s">
        <v>186</v>
      </c>
      <c r="N469" s="3" t="s">
        <v>210</v>
      </c>
      <c r="O469" s="3" t="s">
        <v>104</v>
      </c>
      <c r="P469" s="30">
        <v>49708.1</v>
      </c>
      <c r="Q469" s="3" t="s">
        <v>62</v>
      </c>
      <c r="R469" s="3">
        <v>3</v>
      </c>
      <c r="S469" s="3">
        <v>401</v>
      </c>
      <c r="T469" s="4"/>
      <c r="U469" s="3" t="s">
        <v>32</v>
      </c>
      <c r="V469" s="18" t="s">
        <v>33</v>
      </c>
    </row>
    <row r="470" spans="1:22" ht="15" customHeight="1" x14ac:dyDescent="0.25">
      <c r="A470" s="15" t="s">
        <v>1036</v>
      </c>
      <c r="B470" s="1" t="s">
        <v>1037</v>
      </c>
      <c r="C470">
        <v>88</v>
      </c>
      <c r="D470" s="1" t="s">
        <v>36</v>
      </c>
      <c r="E470" s="1" t="s">
        <v>23</v>
      </c>
      <c r="F470" s="1" t="s">
        <v>49</v>
      </c>
      <c r="G470" s="1" t="s">
        <v>131</v>
      </c>
      <c r="H470" s="1" t="s">
        <v>78</v>
      </c>
      <c r="I470" s="7">
        <v>44169</v>
      </c>
      <c r="J470" s="10"/>
      <c r="K470" s="1"/>
      <c r="L470" s="1" t="s">
        <v>52</v>
      </c>
      <c r="M470" s="1" t="s">
        <v>53</v>
      </c>
      <c r="N470" s="1" t="s">
        <v>157</v>
      </c>
      <c r="O470" s="1" t="s">
        <v>104</v>
      </c>
      <c r="P470" s="29">
        <v>10238.83</v>
      </c>
      <c r="Q470" s="1" t="s">
        <v>148</v>
      </c>
      <c r="R470" s="1">
        <v>6</v>
      </c>
      <c r="S470" s="1">
        <v>131</v>
      </c>
      <c r="T470" s="1">
        <v>19.399999999999999</v>
      </c>
      <c r="U470" s="1" t="s">
        <v>44</v>
      </c>
      <c r="V470" s="17" t="s">
        <v>33</v>
      </c>
    </row>
    <row r="471" spans="1:22" ht="15" customHeight="1" x14ac:dyDescent="0.25">
      <c r="A471" s="16" t="s">
        <v>1038</v>
      </c>
      <c r="B471" s="3" t="s">
        <v>1039</v>
      </c>
      <c r="C471">
        <v>57</v>
      </c>
      <c r="D471" s="3" t="s">
        <v>59</v>
      </c>
      <c r="E471" s="3" t="s">
        <v>48</v>
      </c>
      <c r="F471" s="3" t="s">
        <v>49</v>
      </c>
      <c r="G471" s="3" t="s">
        <v>77</v>
      </c>
      <c r="H471" s="3" t="s">
        <v>78</v>
      </c>
      <c r="I471" s="8">
        <v>44541</v>
      </c>
      <c r="J471" s="8">
        <v>44549</v>
      </c>
      <c r="K471" s="3">
        <v>8</v>
      </c>
      <c r="L471" s="3" t="s">
        <v>102</v>
      </c>
      <c r="M471" s="3" t="s">
        <v>28</v>
      </c>
      <c r="N471" s="3" t="s">
        <v>84</v>
      </c>
      <c r="O471" s="3" t="s">
        <v>42</v>
      </c>
      <c r="P471" s="30">
        <v>85017.23</v>
      </c>
      <c r="Q471" s="3" t="s">
        <v>123</v>
      </c>
      <c r="R471" s="3">
        <v>8</v>
      </c>
      <c r="S471" s="3">
        <v>392</v>
      </c>
      <c r="T471" s="3">
        <v>29.2</v>
      </c>
      <c r="U471" s="3" t="s">
        <v>32</v>
      </c>
      <c r="V471" s="18" t="s">
        <v>33</v>
      </c>
    </row>
    <row r="472" spans="1:22" ht="15" customHeight="1" x14ac:dyDescent="0.25">
      <c r="A472" s="15" t="s">
        <v>1040</v>
      </c>
      <c r="B472" s="1" t="s">
        <v>1041</v>
      </c>
      <c r="C472">
        <v>92</v>
      </c>
      <c r="D472" s="1" t="s">
        <v>36</v>
      </c>
      <c r="E472" s="1" t="s">
        <v>48</v>
      </c>
      <c r="F472" s="1" t="s">
        <v>76</v>
      </c>
      <c r="G472" s="1" t="s">
        <v>163</v>
      </c>
      <c r="H472" s="1" t="s">
        <v>78</v>
      </c>
      <c r="I472" s="6">
        <v>44114</v>
      </c>
      <c r="J472" s="7">
        <v>44117</v>
      </c>
      <c r="K472" s="1">
        <v>3</v>
      </c>
      <c r="L472" s="1" t="s">
        <v>52</v>
      </c>
      <c r="M472" s="1" t="s">
        <v>53</v>
      </c>
      <c r="N472" s="1" t="s">
        <v>164</v>
      </c>
      <c r="O472" s="1" t="s">
        <v>42</v>
      </c>
      <c r="P472" s="29">
        <v>46963.86</v>
      </c>
      <c r="Q472" s="1" t="s">
        <v>259</v>
      </c>
      <c r="R472" s="1">
        <v>4</v>
      </c>
      <c r="S472" s="1">
        <v>455</v>
      </c>
      <c r="T472" s="1">
        <v>28.9</v>
      </c>
      <c r="U472" s="1" t="s">
        <v>32</v>
      </c>
      <c r="V472" s="17" t="s">
        <v>33</v>
      </c>
    </row>
    <row r="473" spans="1:22" ht="15" customHeight="1" x14ac:dyDescent="0.25">
      <c r="A473" s="16" t="s">
        <v>1042</v>
      </c>
      <c r="B473" s="3" t="s">
        <v>1043</v>
      </c>
      <c r="C473">
        <v>72</v>
      </c>
      <c r="D473" s="3" t="s">
        <v>82</v>
      </c>
      <c r="E473" s="3" t="s">
        <v>23</v>
      </c>
      <c r="F473" s="3" t="s">
        <v>37</v>
      </c>
      <c r="G473" s="3" t="s">
        <v>77</v>
      </c>
      <c r="H473" s="3" t="s">
        <v>26</v>
      </c>
      <c r="I473" s="8">
        <v>43726</v>
      </c>
      <c r="J473" s="8">
        <v>43748</v>
      </c>
      <c r="K473" s="3">
        <v>22</v>
      </c>
      <c r="L473" s="3" t="s">
        <v>112</v>
      </c>
      <c r="M473" s="3" t="s">
        <v>40</v>
      </c>
      <c r="N473" s="3" t="s">
        <v>94</v>
      </c>
      <c r="O473" s="3" t="s">
        <v>30</v>
      </c>
      <c r="P473" s="30">
        <v>92345.75</v>
      </c>
      <c r="Q473" s="3" t="s">
        <v>181</v>
      </c>
      <c r="R473" s="3">
        <v>10</v>
      </c>
      <c r="S473" s="3">
        <v>395</v>
      </c>
      <c r="T473" s="3">
        <v>23.5</v>
      </c>
      <c r="U473" s="3" t="s">
        <v>44</v>
      </c>
      <c r="V473" s="18" t="s">
        <v>33</v>
      </c>
    </row>
    <row r="474" spans="1:22" ht="15" customHeight="1" x14ac:dyDescent="0.25">
      <c r="A474" s="15" t="s">
        <v>1044</v>
      </c>
      <c r="B474" s="2" t="s">
        <v>3599</v>
      </c>
      <c r="C474">
        <v>57</v>
      </c>
      <c r="D474" s="1" t="s">
        <v>59</v>
      </c>
      <c r="E474" s="1" t="s">
        <v>48</v>
      </c>
      <c r="F474" s="1" t="s">
        <v>70</v>
      </c>
      <c r="G474" s="1" t="s">
        <v>38</v>
      </c>
      <c r="H474" s="1" t="s">
        <v>78</v>
      </c>
      <c r="I474" s="7">
        <v>45064</v>
      </c>
      <c r="J474" s="7">
        <v>45067</v>
      </c>
      <c r="K474" s="1">
        <v>3</v>
      </c>
      <c r="L474" s="1" t="s">
        <v>89</v>
      </c>
      <c r="M474" s="1" t="s">
        <v>90</v>
      </c>
      <c r="N474" s="1" t="s">
        <v>41</v>
      </c>
      <c r="O474" s="1" t="s">
        <v>55</v>
      </c>
      <c r="P474" s="29">
        <v>13810.18</v>
      </c>
      <c r="Q474" s="1" t="s">
        <v>174</v>
      </c>
      <c r="R474" s="1">
        <v>6</v>
      </c>
      <c r="S474" s="1">
        <v>413</v>
      </c>
      <c r="T474" s="1">
        <v>34.799999999999997</v>
      </c>
      <c r="U474" s="1" t="s">
        <v>86</v>
      </c>
      <c r="V474" s="17" t="s">
        <v>33</v>
      </c>
    </row>
    <row r="475" spans="1:22" ht="15" customHeight="1" x14ac:dyDescent="0.25">
      <c r="A475" s="16" t="s">
        <v>1045</v>
      </c>
      <c r="B475" s="3" t="s">
        <v>1046</v>
      </c>
      <c r="C475">
        <v>64</v>
      </c>
      <c r="D475" s="3" t="s">
        <v>59</v>
      </c>
      <c r="E475" s="3" t="s">
        <v>48</v>
      </c>
      <c r="F475" s="3" t="s">
        <v>83</v>
      </c>
      <c r="G475" s="3" t="s">
        <v>77</v>
      </c>
      <c r="H475" s="3" t="s">
        <v>26</v>
      </c>
      <c r="I475" s="8">
        <v>44144</v>
      </c>
      <c r="J475" s="8">
        <v>44152</v>
      </c>
      <c r="K475" s="3">
        <v>8</v>
      </c>
      <c r="L475" s="3" t="s">
        <v>231</v>
      </c>
      <c r="M475" s="3" t="s">
        <v>53</v>
      </c>
      <c r="N475" s="3" t="s">
        <v>94</v>
      </c>
      <c r="O475" s="3" t="s">
        <v>42</v>
      </c>
      <c r="P475" s="30">
        <v>172063.25</v>
      </c>
      <c r="Q475" s="3" t="s">
        <v>223</v>
      </c>
      <c r="R475" s="3">
        <v>9</v>
      </c>
      <c r="S475" s="3">
        <v>347</v>
      </c>
      <c r="T475" s="3">
        <v>33.9</v>
      </c>
      <c r="U475" s="3" t="s">
        <v>44</v>
      </c>
      <c r="V475" s="18" t="s">
        <v>33</v>
      </c>
    </row>
    <row r="476" spans="1:22" ht="15" customHeight="1" x14ac:dyDescent="0.25">
      <c r="A476" s="15" t="s">
        <v>1047</v>
      </c>
      <c r="B476" s="1" t="s">
        <v>1048</v>
      </c>
      <c r="C476">
        <v>70</v>
      </c>
      <c r="D476" s="1" t="s">
        <v>82</v>
      </c>
      <c r="E476" s="1" t="s">
        <v>23</v>
      </c>
      <c r="F476" s="1" t="s">
        <v>83</v>
      </c>
      <c r="G476" s="1" t="s">
        <v>77</v>
      </c>
      <c r="H476" s="1" t="s">
        <v>26</v>
      </c>
      <c r="I476" s="7">
        <v>45463</v>
      </c>
      <c r="J476" s="7">
        <v>45471</v>
      </c>
      <c r="K476" s="1">
        <v>8</v>
      </c>
      <c r="L476" s="1" t="s">
        <v>102</v>
      </c>
      <c r="M476" s="1" t="s">
        <v>28</v>
      </c>
      <c r="N476" s="1" t="s">
        <v>94</v>
      </c>
      <c r="O476" s="1" t="s">
        <v>66</v>
      </c>
      <c r="P476" s="29">
        <v>262274.68</v>
      </c>
      <c r="Q476" s="1" t="s">
        <v>223</v>
      </c>
      <c r="R476" s="1">
        <v>10</v>
      </c>
      <c r="S476" s="1">
        <v>330</v>
      </c>
      <c r="T476" s="1">
        <v>37.1</v>
      </c>
      <c r="U476" s="1" t="s">
        <v>44</v>
      </c>
      <c r="V476" s="17" t="s">
        <v>33</v>
      </c>
    </row>
    <row r="477" spans="1:22" ht="15" customHeight="1" x14ac:dyDescent="0.25">
      <c r="A477" s="16" t="s">
        <v>1049</v>
      </c>
      <c r="B477" s="3" t="s">
        <v>176</v>
      </c>
      <c r="C477">
        <v>60</v>
      </c>
      <c r="D477" s="3" t="s">
        <v>59</v>
      </c>
      <c r="E477" s="3" t="s">
        <v>23</v>
      </c>
      <c r="F477" s="3" t="s">
        <v>49</v>
      </c>
      <c r="G477" s="3" t="s">
        <v>77</v>
      </c>
      <c r="H477" s="3" t="s">
        <v>26</v>
      </c>
      <c r="I477" s="8">
        <v>45184</v>
      </c>
      <c r="J477" s="8">
        <v>45196</v>
      </c>
      <c r="K477" s="3">
        <v>12</v>
      </c>
      <c r="L477" s="3" t="s">
        <v>231</v>
      </c>
      <c r="M477" s="3" t="s">
        <v>53</v>
      </c>
      <c r="N477" s="3" t="s">
        <v>183</v>
      </c>
      <c r="O477" s="3" t="s">
        <v>30</v>
      </c>
      <c r="P477" s="30">
        <v>49548.03</v>
      </c>
      <c r="Q477" s="3" t="s">
        <v>100</v>
      </c>
      <c r="R477" s="3">
        <v>10</v>
      </c>
      <c r="S477" s="3">
        <v>345</v>
      </c>
      <c r="T477" s="3">
        <v>35.299999999999997</v>
      </c>
      <c r="U477" s="3" t="s">
        <v>86</v>
      </c>
      <c r="V477" s="18" t="s">
        <v>45</v>
      </c>
    </row>
    <row r="478" spans="1:22" ht="15" customHeight="1" x14ac:dyDescent="0.25">
      <c r="A478" s="15" t="s">
        <v>1050</v>
      </c>
      <c r="B478" s="1" t="s">
        <v>1051</v>
      </c>
      <c r="C478">
        <v>73</v>
      </c>
      <c r="D478" s="1" t="s">
        <v>82</v>
      </c>
      <c r="E478" s="1" t="s">
        <v>23</v>
      </c>
      <c r="F478" s="1" t="s">
        <v>76</v>
      </c>
      <c r="G478" s="1" t="s">
        <v>60</v>
      </c>
      <c r="H478" s="1" t="s">
        <v>26</v>
      </c>
      <c r="I478" s="6">
        <v>45572</v>
      </c>
      <c r="J478" s="7">
        <v>45578</v>
      </c>
      <c r="K478" s="1">
        <v>6</v>
      </c>
      <c r="L478" s="1" t="s">
        <v>112</v>
      </c>
      <c r="M478" s="1" t="s">
        <v>40</v>
      </c>
      <c r="N478" s="1" t="s">
        <v>210</v>
      </c>
      <c r="O478" s="1" t="s">
        <v>42</v>
      </c>
      <c r="P478" s="29">
        <v>39828.57</v>
      </c>
      <c r="Q478" s="1" t="s">
        <v>137</v>
      </c>
      <c r="R478" s="1">
        <v>6</v>
      </c>
      <c r="S478" s="1">
        <v>252</v>
      </c>
      <c r="T478" s="1">
        <v>31</v>
      </c>
      <c r="U478" s="1" t="s">
        <v>32</v>
      </c>
      <c r="V478" s="17" t="s">
        <v>33</v>
      </c>
    </row>
    <row r="479" spans="1:22" ht="15" customHeight="1" x14ac:dyDescent="0.25">
      <c r="A479" s="16" t="s">
        <v>1052</v>
      </c>
      <c r="B479" s="3" t="s">
        <v>1053</v>
      </c>
      <c r="C479">
        <v>83</v>
      </c>
      <c r="D479" s="3" t="s">
        <v>36</v>
      </c>
      <c r="E479" s="3" t="s">
        <v>48</v>
      </c>
      <c r="F479" s="3" t="s">
        <v>83</v>
      </c>
      <c r="G479" s="3" t="s">
        <v>38</v>
      </c>
      <c r="H479" s="3" t="s">
        <v>51</v>
      </c>
      <c r="I479" s="8">
        <v>44645</v>
      </c>
      <c r="J479" s="8">
        <v>44647</v>
      </c>
      <c r="K479" s="3">
        <v>2</v>
      </c>
      <c r="L479" s="3" t="s">
        <v>39</v>
      </c>
      <c r="M479" s="3" t="s">
        <v>40</v>
      </c>
      <c r="N479" s="3" t="s">
        <v>203</v>
      </c>
      <c r="O479" s="3" t="s">
        <v>55</v>
      </c>
      <c r="P479" s="30">
        <v>28504.67</v>
      </c>
      <c r="Q479" s="3" t="s">
        <v>204</v>
      </c>
      <c r="R479" s="3">
        <v>8</v>
      </c>
      <c r="S479" s="3">
        <v>109</v>
      </c>
      <c r="T479" s="3">
        <v>40.5</v>
      </c>
      <c r="U479" s="3" t="s">
        <v>44</v>
      </c>
      <c r="V479" s="18" t="s">
        <v>33</v>
      </c>
    </row>
    <row r="480" spans="1:22" ht="15" customHeight="1" x14ac:dyDescent="0.25">
      <c r="A480" s="15" t="s">
        <v>1054</v>
      </c>
      <c r="B480" s="2" t="s">
        <v>1462</v>
      </c>
      <c r="C480">
        <v>85</v>
      </c>
      <c r="D480" s="1" t="s">
        <v>36</v>
      </c>
      <c r="E480" s="1" t="s">
        <v>48</v>
      </c>
      <c r="F480" s="1" t="s">
        <v>76</v>
      </c>
      <c r="G480" s="1" t="s">
        <v>71</v>
      </c>
      <c r="H480" s="1" t="s">
        <v>51</v>
      </c>
      <c r="I480" s="7">
        <v>45209</v>
      </c>
      <c r="J480" s="7">
        <v>45212</v>
      </c>
      <c r="K480" s="1">
        <v>3</v>
      </c>
      <c r="L480" s="1" t="s">
        <v>39</v>
      </c>
      <c r="M480" s="1" t="s">
        <v>40</v>
      </c>
      <c r="N480" s="1" t="s">
        <v>312</v>
      </c>
      <c r="O480" s="1" t="s">
        <v>104</v>
      </c>
      <c r="P480" s="29">
        <v>12514.08</v>
      </c>
      <c r="Q480" s="1" t="s">
        <v>178</v>
      </c>
      <c r="R480" s="1">
        <v>5</v>
      </c>
      <c r="S480" s="1">
        <v>182</v>
      </c>
      <c r="T480" s="1">
        <v>20.6</v>
      </c>
      <c r="U480" s="1" t="s">
        <v>44</v>
      </c>
      <c r="V480" s="17" t="s">
        <v>33</v>
      </c>
    </row>
    <row r="481" spans="1:22" ht="15" customHeight="1" x14ac:dyDescent="0.25">
      <c r="A481" s="16" t="s">
        <v>1055</v>
      </c>
      <c r="B481" s="3" t="s">
        <v>1056</v>
      </c>
      <c r="C481">
        <v>80</v>
      </c>
      <c r="D481" s="3" t="s">
        <v>36</v>
      </c>
      <c r="E481" s="3" t="s">
        <v>48</v>
      </c>
      <c r="F481" s="3" t="s">
        <v>83</v>
      </c>
      <c r="G481" s="3" t="s">
        <v>50</v>
      </c>
      <c r="H481" s="3" t="s">
        <v>26</v>
      </c>
      <c r="I481" s="8">
        <v>43899</v>
      </c>
      <c r="J481" s="8">
        <v>43908</v>
      </c>
      <c r="K481" s="3">
        <v>9</v>
      </c>
      <c r="L481" s="3" t="s">
        <v>185</v>
      </c>
      <c r="M481" s="3" t="s">
        <v>186</v>
      </c>
      <c r="N481" s="3" t="s">
        <v>116</v>
      </c>
      <c r="O481" s="3" t="s">
        <v>42</v>
      </c>
      <c r="P481" s="30">
        <v>70012.62</v>
      </c>
      <c r="Q481" s="3" t="s">
        <v>351</v>
      </c>
      <c r="R481" s="3">
        <v>9</v>
      </c>
      <c r="S481" s="3">
        <v>320</v>
      </c>
      <c r="T481" s="3">
        <v>25.8</v>
      </c>
      <c r="U481" s="3" t="s">
        <v>44</v>
      </c>
      <c r="V481" s="18" t="s">
        <v>33</v>
      </c>
    </row>
    <row r="482" spans="1:22" ht="15" customHeight="1" x14ac:dyDescent="0.25">
      <c r="A482" s="15" t="s">
        <v>1057</v>
      </c>
      <c r="B482" s="1" t="s">
        <v>1058</v>
      </c>
      <c r="C482">
        <v>71</v>
      </c>
      <c r="D482" s="1" t="s">
        <v>82</v>
      </c>
      <c r="E482" s="1" t="s">
        <v>23</v>
      </c>
      <c r="F482" s="1" t="s">
        <v>76</v>
      </c>
      <c r="G482" s="1" t="s">
        <v>38</v>
      </c>
      <c r="H482" s="1" t="s">
        <v>51</v>
      </c>
      <c r="I482" s="7">
        <v>44953</v>
      </c>
      <c r="J482" s="7">
        <v>44957</v>
      </c>
      <c r="K482" s="1">
        <v>4</v>
      </c>
      <c r="L482" s="1" t="s">
        <v>112</v>
      </c>
      <c r="M482" s="1" t="s">
        <v>40</v>
      </c>
      <c r="N482" s="1" t="s">
        <v>41</v>
      </c>
      <c r="O482" s="1" t="s">
        <v>55</v>
      </c>
      <c r="P482" s="29">
        <v>15402.67</v>
      </c>
      <c r="Q482" s="1" t="s">
        <v>43</v>
      </c>
      <c r="R482" s="1">
        <v>8</v>
      </c>
      <c r="S482" s="1">
        <v>187</v>
      </c>
      <c r="T482" s="1">
        <v>33.5</v>
      </c>
      <c r="U482" s="1" t="s">
        <v>44</v>
      </c>
      <c r="V482" s="17" t="s">
        <v>33</v>
      </c>
    </row>
    <row r="483" spans="1:22" ht="15" customHeight="1" x14ac:dyDescent="0.25">
      <c r="A483" s="16" t="s">
        <v>1059</v>
      </c>
      <c r="B483" s="3" t="s">
        <v>522</v>
      </c>
      <c r="C483">
        <v>74</v>
      </c>
      <c r="D483" s="3" t="s">
        <v>82</v>
      </c>
      <c r="E483" s="3" t="s">
        <v>48</v>
      </c>
      <c r="F483" s="3" t="s">
        <v>83</v>
      </c>
      <c r="G483" s="3" t="s">
        <v>77</v>
      </c>
      <c r="H483" s="3" t="s">
        <v>51</v>
      </c>
      <c r="I483" s="8">
        <v>44167</v>
      </c>
      <c r="J483" s="8">
        <v>44178</v>
      </c>
      <c r="K483" s="3">
        <v>11</v>
      </c>
      <c r="L483" s="3" t="s">
        <v>112</v>
      </c>
      <c r="M483" s="3" t="s">
        <v>40</v>
      </c>
      <c r="N483" s="3" t="s">
        <v>79</v>
      </c>
      <c r="O483" s="3" t="s">
        <v>42</v>
      </c>
      <c r="P483" s="30">
        <v>64608.87</v>
      </c>
      <c r="Q483" s="3" t="s">
        <v>85</v>
      </c>
      <c r="R483" s="3">
        <v>10</v>
      </c>
      <c r="S483" s="3">
        <v>115</v>
      </c>
      <c r="T483" s="3">
        <v>33.6</v>
      </c>
      <c r="U483" s="3" t="s">
        <v>44</v>
      </c>
      <c r="V483" s="18" t="s">
        <v>45</v>
      </c>
    </row>
    <row r="484" spans="1:22" ht="15" customHeight="1" x14ac:dyDescent="0.25">
      <c r="A484" s="15" t="s">
        <v>1060</v>
      </c>
      <c r="B484" s="1" t="s">
        <v>1061</v>
      </c>
      <c r="C484">
        <v>47</v>
      </c>
      <c r="D484" s="1" t="s">
        <v>98</v>
      </c>
      <c r="E484" s="1" t="s">
        <v>23</v>
      </c>
      <c r="F484" s="1" t="s">
        <v>49</v>
      </c>
      <c r="G484" s="1" t="s">
        <v>71</v>
      </c>
      <c r="H484" s="1" t="s">
        <v>51</v>
      </c>
      <c r="I484" s="7">
        <v>43943</v>
      </c>
      <c r="J484" s="7">
        <v>43944</v>
      </c>
      <c r="K484" s="1">
        <v>1</v>
      </c>
      <c r="L484" s="1" t="s">
        <v>89</v>
      </c>
      <c r="M484" s="1" t="s">
        <v>90</v>
      </c>
      <c r="N484" s="1" t="s">
        <v>177</v>
      </c>
      <c r="O484" s="1" t="s">
        <v>42</v>
      </c>
      <c r="P484" s="29">
        <v>9606</v>
      </c>
      <c r="Q484" s="1" t="s">
        <v>73</v>
      </c>
      <c r="R484" s="1">
        <v>2</v>
      </c>
      <c r="S484" s="1">
        <v>141</v>
      </c>
      <c r="T484" s="1">
        <v>18.7</v>
      </c>
      <c r="U484" s="1" t="s">
        <v>32</v>
      </c>
      <c r="V484" s="17" t="s">
        <v>33</v>
      </c>
    </row>
    <row r="485" spans="1:22" ht="15" customHeight="1" x14ac:dyDescent="0.25">
      <c r="A485" s="16" t="s">
        <v>1062</v>
      </c>
      <c r="B485" s="3" t="s">
        <v>1063</v>
      </c>
      <c r="C485">
        <v>35</v>
      </c>
      <c r="D485" s="3" t="s">
        <v>98</v>
      </c>
      <c r="E485" s="3" t="s">
        <v>48</v>
      </c>
      <c r="F485" s="3" t="s">
        <v>70</v>
      </c>
      <c r="G485" s="3" t="s">
        <v>38</v>
      </c>
      <c r="H485" s="3" t="s">
        <v>26</v>
      </c>
      <c r="I485" s="8">
        <v>44237</v>
      </c>
      <c r="J485" s="8">
        <v>44240</v>
      </c>
      <c r="K485" s="3">
        <v>3</v>
      </c>
      <c r="L485" s="3" t="s">
        <v>102</v>
      </c>
      <c r="M485" s="3" t="s">
        <v>28</v>
      </c>
      <c r="N485" s="3" t="s">
        <v>203</v>
      </c>
      <c r="O485" s="3" t="s">
        <v>42</v>
      </c>
      <c r="P485" s="30">
        <v>26677.72</v>
      </c>
      <c r="Q485" s="3" t="s">
        <v>174</v>
      </c>
      <c r="R485" s="3">
        <v>7</v>
      </c>
      <c r="S485" s="3">
        <v>203</v>
      </c>
      <c r="T485" s="3">
        <v>35.200000000000003</v>
      </c>
      <c r="U485" s="3" t="s">
        <v>32</v>
      </c>
      <c r="V485" s="18" t="s">
        <v>33</v>
      </c>
    </row>
    <row r="486" spans="1:22" ht="15" customHeight="1" x14ac:dyDescent="0.25">
      <c r="A486" s="15" t="s">
        <v>1064</v>
      </c>
      <c r="B486" s="1" t="s">
        <v>316</v>
      </c>
      <c r="C486">
        <v>28</v>
      </c>
      <c r="D486" s="1" t="s">
        <v>47</v>
      </c>
      <c r="E486" s="1" t="s">
        <v>23</v>
      </c>
      <c r="F486" s="1" t="s">
        <v>70</v>
      </c>
      <c r="G486" s="1" t="s">
        <v>131</v>
      </c>
      <c r="H486" s="1" t="s">
        <v>51</v>
      </c>
      <c r="I486" s="6">
        <v>43849</v>
      </c>
      <c r="J486" s="7">
        <v>43853</v>
      </c>
      <c r="K486" s="1">
        <v>4</v>
      </c>
      <c r="L486" s="1" t="s">
        <v>112</v>
      </c>
      <c r="M486" s="1" t="s">
        <v>40</v>
      </c>
      <c r="N486" s="1" t="s">
        <v>133</v>
      </c>
      <c r="O486" s="1" t="s">
        <v>66</v>
      </c>
      <c r="P486" s="29">
        <v>9882.64</v>
      </c>
      <c r="Q486" s="1" t="s">
        <v>291</v>
      </c>
      <c r="R486" s="1">
        <v>5</v>
      </c>
      <c r="S486" s="1">
        <v>126</v>
      </c>
      <c r="T486" s="1">
        <v>38.299999999999997</v>
      </c>
      <c r="U486" s="1" t="s">
        <v>86</v>
      </c>
      <c r="V486" s="17" t="s">
        <v>33</v>
      </c>
    </row>
    <row r="487" spans="1:22" ht="15" customHeight="1" x14ac:dyDescent="0.25">
      <c r="A487" s="16" t="s">
        <v>1065</v>
      </c>
      <c r="B487" s="3" t="s">
        <v>1066</v>
      </c>
      <c r="C487">
        <v>57</v>
      </c>
      <c r="D487" s="3" t="s">
        <v>59</v>
      </c>
      <c r="E487" s="3" t="s">
        <v>48</v>
      </c>
      <c r="F487" s="2" t="s">
        <v>76</v>
      </c>
      <c r="G487" s="3" t="s">
        <v>77</v>
      </c>
      <c r="H487" s="3" t="s">
        <v>26</v>
      </c>
      <c r="I487" s="8">
        <v>45629</v>
      </c>
      <c r="J487" s="8">
        <v>45637</v>
      </c>
      <c r="K487" s="3">
        <v>8</v>
      </c>
      <c r="L487" s="3" t="s">
        <v>132</v>
      </c>
      <c r="M487" s="3" t="s">
        <v>53</v>
      </c>
      <c r="N487" s="3" t="s">
        <v>84</v>
      </c>
      <c r="O487" s="3" t="s">
        <v>104</v>
      </c>
      <c r="P487" s="30">
        <v>66104</v>
      </c>
      <c r="Q487" s="3" t="s">
        <v>109</v>
      </c>
      <c r="R487" s="3">
        <v>8</v>
      </c>
      <c r="S487" s="3">
        <v>343</v>
      </c>
      <c r="T487" s="3">
        <v>39.299999999999997</v>
      </c>
      <c r="U487" s="3" t="s">
        <v>32</v>
      </c>
      <c r="V487" s="18" t="s">
        <v>33</v>
      </c>
    </row>
    <row r="488" spans="1:22" ht="15" customHeight="1" x14ac:dyDescent="0.25">
      <c r="A488" s="15" t="s">
        <v>1067</v>
      </c>
      <c r="B488" s="1" t="s">
        <v>1068</v>
      </c>
      <c r="C488">
        <v>69</v>
      </c>
      <c r="D488" s="1" t="s">
        <v>82</v>
      </c>
      <c r="E488" s="1" t="s">
        <v>48</v>
      </c>
      <c r="F488" s="1" t="s">
        <v>49</v>
      </c>
      <c r="G488" s="1" t="s">
        <v>25</v>
      </c>
      <c r="H488" s="1" t="s">
        <v>26</v>
      </c>
      <c r="I488" s="7">
        <v>45083</v>
      </c>
      <c r="J488" s="7">
        <v>45103</v>
      </c>
      <c r="K488" s="1">
        <v>20</v>
      </c>
      <c r="L488" s="1" t="s">
        <v>89</v>
      </c>
      <c r="M488" s="1" t="s">
        <v>90</v>
      </c>
      <c r="N488" s="1" t="s">
        <v>248</v>
      </c>
      <c r="O488" s="1" t="s">
        <v>30</v>
      </c>
      <c r="P488" s="29">
        <v>82649.440000000002</v>
      </c>
      <c r="Q488" s="1" t="s">
        <v>269</v>
      </c>
      <c r="R488" s="1">
        <v>12</v>
      </c>
      <c r="S488" s="1">
        <v>435</v>
      </c>
      <c r="T488" s="1">
        <v>27</v>
      </c>
      <c r="U488" s="1" t="s">
        <v>44</v>
      </c>
      <c r="V488" s="17" t="s">
        <v>33</v>
      </c>
    </row>
    <row r="489" spans="1:22" ht="15" customHeight="1" x14ac:dyDescent="0.25">
      <c r="A489" s="16" t="s">
        <v>1069</v>
      </c>
      <c r="B489" s="3" t="s">
        <v>1070</v>
      </c>
      <c r="C489">
        <v>64</v>
      </c>
      <c r="D489" s="3" t="s">
        <v>59</v>
      </c>
      <c r="E489" s="3" t="s">
        <v>48</v>
      </c>
      <c r="F489" s="3" t="s">
        <v>155</v>
      </c>
      <c r="G489" s="3" t="s">
        <v>587</v>
      </c>
      <c r="H489" s="3" t="s">
        <v>51</v>
      </c>
      <c r="I489" s="8">
        <v>44936</v>
      </c>
      <c r="J489" s="8">
        <v>44949</v>
      </c>
      <c r="K489" s="3">
        <v>13</v>
      </c>
      <c r="L489" s="3" t="s">
        <v>132</v>
      </c>
      <c r="M489" s="3" t="s">
        <v>53</v>
      </c>
      <c r="N489" s="3" t="s">
        <v>29</v>
      </c>
      <c r="O489" s="3" t="s">
        <v>30</v>
      </c>
      <c r="P489" s="30">
        <v>59911.199999999997</v>
      </c>
      <c r="Q489" s="3" t="s">
        <v>322</v>
      </c>
      <c r="R489" s="3">
        <v>12</v>
      </c>
      <c r="S489" s="3">
        <v>161</v>
      </c>
      <c r="T489" s="3">
        <v>25</v>
      </c>
      <c r="U489" s="3" t="s">
        <v>32</v>
      </c>
      <c r="V489" s="18" t="s">
        <v>45</v>
      </c>
    </row>
    <row r="490" spans="1:22" ht="15" customHeight="1" x14ac:dyDescent="0.25">
      <c r="A490" s="15" t="s">
        <v>1071</v>
      </c>
      <c r="B490" s="1" t="s">
        <v>1072</v>
      </c>
      <c r="C490">
        <v>20</v>
      </c>
      <c r="D490" s="1" t="s">
        <v>47</v>
      </c>
      <c r="E490" s="1" t="s">
        <v>48</v>
      </c>
      <c r="F490" s="1" t="s">
        <v>76</v>
      </c>
      <c r="G490" s="1" t="s">
        <v>25</v>
      </c>
      <c r="H490" s="1" t="s">
        <v>156</v>
      </c>
      <c r="I490" s="7">
        <v>43904</v>
      </c>
      <c r="J490" s="7">
        <v>43914</v>
      </c>
      <c r="K490" s="1">
        <v>10</v>
      </c>
      <c r="L490" s="1" t="s">
        <v>112</v>
      </c>
      <c r="M490" s="1" t="s">
        <v>40</v>
      </c>
      <c r="N490" s="1" t="s">
        <v>248</v>
      </c>
      <c r="O490" s="1" t="s">
        <v>55</v>
      </c>
      <c r="P490" s="29">
        <v>48741.55</v>
      </c>
      <c r="Q490" s="1" t="s">
        <v>249</v>
      </c>
      <c r="R490" s="1">
        <v>9</v>
      </c>
      <c r="S490" s="1">
        <v>331</v>
      </c>
      <c r="T490" s="1">
        <v>27.7</v>
      </c>
      <c r="U490" s="1" t="s">
        <v>44</v>
      </c>
      <c r="V490" s="17" t="s">
        <v>33</v>
      </c>
    </row>
    <row r="491" spans="1:22" ht="15" customHeight="1" x14ac:dyDescent="0.25">
      <c r="A491" s="16" t="s">
        <v>1073</v>
      </c>
      <c r="B491" s="3" t="s">
        <v>1074</v>
      </c>
      <c r="C491">
        <v>60</v>
      </c>
      <c r="D491" s="3" t="s">
        <v>59</v>
      </c>
      <c r="E491" s="3" t="s">
        <v>23</v>
      </c>
      <c r="F491" s="3" t="s">
        <v>155</v>
      </c>
      <c r="G491" s="3" t="s">
        <v>77</v>
      </c>
      <c r="H491" s="3" t="s">
        <v>78</v>
      </c>
      <c r="I491" s="8">
        <v>43773</v>
      </c>
      <c r="J491" s="8">
        <v>43780</v>
      </c>
      <c r="K491" s="3">
        <v>7</v>
      </c>
      <c r="L491" s="3" t="s">
        <v>89</v>
      </c>
      <c r="M491" s="3" t="s">
        <v>90</v>
      </c>
      <c r="N491" s="3" t="s">
        <v>94</v>
      </c>
      <c r="O491" s="3" t="s">
        <v>104</v>
      </c>
      <c r="P491" s="30">
        <v>50829.01</v>
      </c>
      <c r="Q491" s="3" t="s">
        <v>123</v>
      </c>
      <c r="R491" s="3">
        <v>9</v>
      </c>
      <c r="S491" s="3">
        <v>329</v>
      </c>
      <c r="T491" s="4"/>
      <c r="U491" s="3" t="s">
        <v>44</v>
      </c>
      <c r="V491" s="18" t="s">
        <v>33</v>
      </c>
    </row>
    <row r="492" spans="1:22" ht="15" customHeight="1" x14ac:dyDescent="0.25">
      <c r="A492" s="15" t="s">
        <v>1075</v>
      </c>
      <c r="B492" s="2" t="s">
        <v>3600</v>
      </c>
      <c r="C492">
        <v>55</v>
      </c>
      <c r="D492" s="1" t="s">
        <v>59</v>
      </c>
      <c r="E492" s="1" t="s">
        <v>23</v>
      </c>
      <c r="F492" s="1" t="s">
        <v>70</v>
      </c>
      <c r="G492" s="1" t="s">
        <v>77</v>
      </c>
      <c r="H492" s="1" t="s">
        <v>26</v>
      </c>
      <c r="I492" s="6">
        <v>44644</v>
      </c>
      <c r="J492" s="7">
        <v>44655</v>
      </c>
      <c r="K492" s="1">
        <v>11</v>
      </c>
      <c r="L492" s="1" t="s">
        <v>132</v>
      </c>
      <c r="M492" s="1" t="s">
        <v>53</v>
      </c>
      <c r="N492" s="1" t="s">
        <v>216</v>
      </c>
      <c r="O492" s="1" t="s">
        <v>30</v>
      </c>
      <c r="P492" s="29">
        <v>31788</v>
      </c>
      <c r="Q492" s="1" t="s">
        <v>223</v>
      </c>
      <c r="R492" s="1">
        <v>10</v>
      </c>
      <c r="S492" s="1">
        <v>315</v>
      </c>
      <c r="T492" s="1">
        <v>36.700000000000003</v>
      </c>
      <c r="U492" s="1" t="s">
        <v>44</v>
      </c>
      <c r="V492" s="17" t="s">
        <v>33</v>
      </c>
    </row>
    <row r="493" spans="1:22" ht="15" customHeight="1" x14ac:dyDescent="0.25">
      <c r="A493" s="16" t="s">
        <v>1076</v>
      </c>
      <c r="B493" s="3" t="s">
        <v>1077</v>
      </c>
      <c r="C493">
        <v>74</v>
      </c>
      <c r="D493" s="3" t="s">
        <v>82</v>
      </c>
      <c r="E493" s="3" t="s">
        <v>23</v>
      </c>
      <c r="F493" s="3" t="s">
        <v>49</v>
      </c>
      <c r="G493" s="3" t="s">
        <v>50</v>
      </c>
      <c r="H493" s="3" t="s">
        <v>26</v>
      </c>
      <c r="I493" s="6">
        <v>43728</v>
      </c>
      <c r="J493" s="8">
        <v>43475</v>
      </c>
      <c r="K493" s="3">
        <v>11</v>
      </c>
      <c r="L493" s="3" t="s">
        <v>102</v>
      </c>
      <c r="M493" s="3" t="s">
        <v>28</v>
      </c>
      <c r="N493" s="3" t="s">
        <v>54</v>
      </c>
      <c r="O493" s="3" t="s">
        <v>104</v>
      </c>
      <c r="P493" s="30">
        <v>54614.15</v>
      </c>
      <c r="Q493" s="3" t="s">
        <v>127</v>
      </c>
      <c r="R493" s="3">
        <v>7</v>
      </c>
      <c r="S493" s="3">
        <v>357</v>
      </c>
      <c r="T493" s="4"/>
      <c r="U493" s="3" t="s">
        <v>86</v>
      </c>
      <c r="V493" s="18" t="s">
        <v>33</v>
      </c>
    </row>
    <row r="494" spans="1:22" ht="15" customHeight="1" x14ac:dyDescent="0.25">
      <c r="A494" s="15" t="s">
        <v>1078</v>
      </c>
      <c r="B494" s="2" t="s">
        <v>3601</v>
      </c>
      <c r="C494">
        <v>10</v>
      </c>
      <c r="D494" s="1" t="s">
        <v>22</v>
      </c>
      <c r="E494" s="1" t="s">
        <v>48</v>
      </c>
      <c r="F494" s="1" t="s">
        <v>76</v>
      </c>
      <c r="G494" s="1" t="s">
        <v>131</v>
      </c>
      <c r="H494" s="1" t="s">
        <v>51</v>
      </c>
      <c r="I494" s="7">
        <v>44477</v>
      </c>
      <c r="J494" s="7">
        <v>44482</v>
      </c>
      <c r="K494" s="1">
        <v>5</v>
      </c>
      <c r="L494" s="1" t="s">
        <v>52</v>
      </c>
      <c r="M494" s="1" t="s">
        <v>53</v>
      </c>
      <c r="N494" s="1" t="s">
        <v>157</v>
      </c>
      <c r="O494" s="1" t="s">
        <v>42</v>
      </c>
      <c r="P494" s="29">
        <v>13053.24</v>
      </c>
      <c r="Q494" s="1" t="s">
        <v>291</v>
      </c>
      <c r="R494" s="1">
        <v>7</v>
      </c>
      <c r="S494" s="1">
        <v>108</v>
      </c>
      <c r="T494" s="1">
        <v>33.4</v>
      </c>
      <c r="U494" s="1" t="s">
        <v>86</v>
      </c>
      <c r="V494" s="17" t="s">
        <v>33</v>
      </c>
    </row>
    <row r="495" spans="1:22" ht="15" customHeight="1" x14ac:dyDescent="0.25">
      <c r="A495" s="16" t="s">
        <v>1079</v>
      </c>
      <c r="B495" s="3" t="s">
        <v>1080</v>
      </c>
      <c r="C495">
        <v>63</v>
      </c>
      <c r="D495" s="3" t="s">
        <v>59</v>
      </c>
      <c r="E495" s="3" t="s">
        <v>48</v>
      </c>
      <c r="F495" s="3" t="s">
        <v>76</v>
      </c>
      <c r="G495" s="3" t="s">
        <v>50</v>
      </c>
      <c r="H495" s="3" t="s">
        <v>156</v>
      </c>
      <c r="I495" s="6">
        <v>45452</v>
      </c>
      <c r="J495" s="8">
        <v>45461</v>
      </c>
      <c r="K495" s="3">
        <v>9</v>
      </c>
      <c r="L495" s="3" t="s">
        <v>185</v>
      </c>
      <c r="M495" s="3" t="s">
        <v>186</v>
      </c>
      <c r="N495" s="3" t="s">
        <v>54</v>
      </c>
      <c r="O495" s="3" t="s">
        <v>30</v>
      </c>
      <c r="P495" s="30">
        <v>23788.41</v>
      </c>
      <c r="Q495" s="3" t="s">
        <v>127</v>
      </c>
      <c r="R495" s="3">
        <v>9</v>
      </c>
      <c r="S495" s="3">
        <v>464</v>
      </c>
      <c r="T495" s="3">
        <v>14</v>
      </c>
      <c r="U495" s="3" t="s">
        <v>32</v>
      </c>
      <c r="V495" s="18" t="s">
        <v>33</v>
      </c>
    </row>
    <row r="496" spans="1:22" ht="15" customHeight="1" x14ac:dyDescent="0.25">
      <c r="A496" s="15" t="s">
        <v>1081</v>
      </c>
      <c r="B496" s="1" t="s">
        <v>1082</v>
      </c>
      <c r="C496">
        <v>79</v>
      </c>
      <c r="D496" s="1" t="s">
        <v>36</v>
      </c>
      <c r="E496" s="1" t="s">
        <v>23</v>
      </c>
      <c r="F496" s="1" t="s">
        <v>76</v>
      </c>
      <c r="G496" s="1" t="s">
        <v>50</v>
      </c>
      <c r="H496" s="1" t="s">
        <v>26</v>
      </c>
      <c r="I496" s="7">
        <v>44114</v>
      </c>
      <c r="J496" s="7">
        <v>44125</v>
      </c>
      <c r="K496" s="1">
        <v>11</v>
      </c>
      <c r="L496" s="1" t="s">
        <v>27</v>
      </c>
      <c r="M496" s="1" t="s">
        <v>28</v>
      </c>
      <c r="N496" s="1" t="s">
        <v>54</v>
      </c>
      <c r="O496" s="1" t="s">
        <v>55</v>
      </c>
      <c r="P496" s="29">
        <v>280000</v>
      </c>
      <c r="Q496" s="1" t="s">
        <v>194</v>
      </c>
      <c r="R496" s="1">
        <v>7</v>
      </c>
      <c r="S496" s="1">
        <v>310</v>
      </c>
      <c r="T496" s="1">
        <v>19.100000000000001</v>
      </c>
      <c r="U496" s="1" t="s">
        <v>32</v>
      </c>
      <c r="V496" s="17" t="s">
        <v>33</v>
      </c>
    </row>
    <row r="497" spans="1:22" ht="15" customHeight="1" x14ac:dyDescent="0.25">
      <c r="A497" s="16" t="s">
        <v>1083</v>
      </c>
      <c r="B497" s="3" t="s">
        <v>1084</v>
      </c>
      <c r="C497">
        <v>69</v>
      </c>
      <c r="D497" s="3" t="s">
        <v>82</v>
      </c>
      <c r="E497" s="3" t="s">
        <v>48</v>
      </c>
      <c r="F497" s="3" t="s">
        <v>155</v>
      </c>
      <c r="G497" s="3" t="s">
        <v>38</v>
      </c>
      <c r="H497" s="3" t="s">
        <v>78</v>
      </c>
      <c r="I497" s="8">
        <v>44711</v>
      </c>
      <c r="J497" s="8">
        <v>44714</v>
      </c>
      <c r="K497" s="3">
        <v>3</v>
      </c>
      <c r="L497" s="3" t="s">
        <v>185</v>
      </c>
      <c r="M497" s="3" t="s">
        <v>186</v>
      </c>
      <c r="N497" s="3" t="s">
        <v>203</v>
      </c>
      <c r="O497" s="3" t="s">
        <v>66</v>
      </c>
      <c r="P497" s="30">
        <v>29916.04</v>
      </c>
      <c r="Q497" s="3" t="s">
        <v>174</v>
      </c>
      <c r="R497" s="3">
        <v>8</v>
      </c>
      <c r="S497" s="3">
        <v>314</v>
      </c>
      <c r="T497" s="3">
        <v>28.5</v>
      </c>
      <c r="U497" s="3" t="s">
        <v>44</v>
      </c>
      <c r="V497" s="18" t="s">
        <v>45</v>
      </c>
    </row>
    <row r="498" spans="1:22" ht="15" customHeight="1" x14ac:dyDescent="0.25">
      <c r="A498" s="15" t="s">
        <v>1085</v>
      </c>
      <c r="B498" s="1" t="s">
        <v>731</v>
      </c>
      <c r="C498">
        <v>87</v>
      </c>
      <c r="D498" s="1" t="s">
        <v>36</v>
      </c>
      <c r="E498" s="1" t="s">
        <v>48</v>
      </c>
      <c r="F498" s="1" t="s">
        <v>99</v>
      </c>
      <c r="G498" s="1" t="s">
        <v>665</v>
      </c>
      <c r="H498" s="1" t="s">
        <v>26</v>
      </c>
      <c r="I498" s="7">
        <v>44573</v>
      </c>
      <c r="J498" s="7">
        <v>44581</v>
      </c>
      <c r="K498" s="1">
        <v>8</v>
      </c>
      <c r="L498" s="1" t="s">
        <v>185</v>
      </c>
      <c r="M498" s="1" t="s">
        <v>186</v>
      </c>
      <c r="N498" s="1" t="s">
        <v>54</v>
      </c>
      <c r="O498" s="1" t="s">
        <v>66</v>
      </c>
      <c r="P498" s="29">
        <v>147365.32</v>
      </c>
      <c r="Q498" s="1" t="s">
        <v>552</v>
      </c>
      <c r="R498" s="1">
        <v>9</v>
      </c>
      <c r="S498" s="1">
        <v>374</v>
      </c>
      <c r="T498" s="1">
        <v>30.5</v>
      </c>
      <c r="U498" s="1" t="s">
        <v>32</v>
      </c>
      <c r="V498" s="17" t="s">
        <v>45</v>
      </c>
    </row>
    <row r="499" spans="1:22" ht="15" customHeight="1" x14ac:dyDescent="0.25">
      <c r="A499" s="16" t="s">
        <v>1086</v>
      </c>
      <c r="B499" s="3" t="s">
        <v>1087</v>
      </c>
      <c r="C499">
        <v>67</v>
      </c>
      <c r="D499" s="3" t="s">
        <v>82</v>
      </c>
      <c r="E499" s="3" t="s">
        <v>23</v>
      </c>
      <c r="F499" s="3" t="s">
        <v>37</v>
      </c>
      <c r="G499" s="3" t="s">
        <v>71</v>
      </c>
      <c r="H499" s="3" t="s">
        <v>51</v>
      </c>
      <c r="I499" s="6">
        <v>45096</v>
      </c>
      <c r="J499" s="8">
        <v>45098</v>
      </c>
      <c r="K499" s="3">
        <v>2</v>
      </c>
      <c r="L499" s="3" t="s">
        <v>39</v>
      </c>
      <c r="M499" s="3" t="s">
        <v>40</v>
      </c>
      <c r="N499" s="3" t="s">
        <v>72</v>
      </c>
      <c r="O499" s="3" t="s">
        <v>30</v>
      </c>
      <c r="P499" s="30">
        <v>9139.35</v>
      </c>
      <c r="Q499" s="3" t="s">
        <v>503</v>
      </c>
      <c r="R499" s="3">
        <v>5</v>
      </c>
      <c r="S499" s="3">
        <v>119</v>
      </c>
      <c r="T499" s="3">
        <v>29</v>
      </c>
      <c r="U499" s="3" t="s">
        <v>32</v>
      </c>
      <c r="V499" s="18" t="s">
        <v>33</v>
      </c>
    </row>
    <row r="500" spans="1:22" ht="15" customHeight="1" x14ac:dyDescent="0.25">
      <c r="A500" s="15" t="s">
        <v>1088</v>
      </c>
      <c r="B500" s="1" t="s">
        <v>1089</v>
      </c>
      <c r="C500">
        <v>58</v>
      </c>
      <c r="D500" s="1" t="s">
        <v>59</v>
      </c>
      <c r="E500" s="1" t="s">
        <v>48</v>
      </c>
      <c r="F500" s="1" t="s">
        <v>99</v>
      </c>
      <c r="G500" s="1" t="s">
        <v>60</v>
      </c>
      <c r="H500" s="1" t="s">
        <v>156</v>
      </c>
      <c r="I500" s="6">
        <v>44375</v>
      </c>
      <c r="J500" s="7">
        <v>44262</v>
      </c>
      <c r="K500" s="1">
        <v>5</v>
      </c>
      <c r="L500" s="1" t="s">
        <v>112</v>
      </c>
      <c r="M500" s="1" t="s">
        <v>40</v>
      </c>
      <c r="N500" s="1" t="s">
        <v>61</v>
      </c>
      <c r="O500" s="1" t="s">
        <v>30</v>
      </c>
      <c r="P500" s="29">
        <v>25859.84</v>
      </c>
      <c r="Q500" s="1" t="s">
        <v>105</v>
      </c>
      <c r="R500" s="1">
        <v>5</v>
      </c>
      <c r="S500" s="1">
        <v>400</v>
      </c>
      <c r="T500" s="4"/>
      <c r="U500" s="1" t="s">
        <v>32</v>
      </c>
      <c r="V500" s="17" t="s">
        <v>33</v>
      </c>
    </row>
    <row r="501" spans="1:22" ht="15" customHeight="1" x14ac:dyDescent="0.25">
      <c r="A501" s="16" t="s">
        <v>1090</v>
      </c>
      <c r="B501" s="3" t="s">
        <v>989</v>
      </c>
      <c r="C501">
        <v>80</v>
      </c>
      <c r="D501" s="3" t="s">
        <v>36</v>
      </c>
      <c r="E501" s="3" t="s">
        <v>48</v>
      </c>
      <c r="F501" s="3" t="s">
        <v>76</v>
      </c>
      <c r="G501" s="3" t="s">
        <v>256</v>
      </c>
      <c r="H501" s="3" t="s">
        <v>78</v>
      </c>
      <c r="I501" s="8">
        <v>44865</v>
      </c>
      <c r="J501" s="8">
        <v>44869</v>
      </c>
      <c r="K501" s="3">
        <v>4</v>
      </c>
      <c r="L501" s="3" t="s">
        <v>231</v>
      </c>
      <c r="M501" s="3" t="s">
        <v>53</v>
      </c>
      <c r="N501" s="3" t="s">
        <v>164</v>
      </c>
      <c r="O501" s="3" t="s">
        <v>30</v>
      </c>
      <c r="P501" s="30">
        <v>26691.35</v>
      </c>
      <c r="Q501" s="3" t="s">
        <v>257</v>
      </c>
      <c r="R501" s="3">
        <v>6</v>
      </c>
      <c r="S501" s="3">
        <v>415</v>
      </c>
      <c r="T501" s="3">
        <v>18.399999999999999</v>
      </c>
      <c r="U501" s="3" t="s">
        <v>32</v>
      </c>
      <c r="V501" s="18" t="s">
        <v>33</v>
      </c>
    </row>
    <row r="502" spans="1:22" ht="15" customHeight="1" x14ac:dyDescent="0.25">
      <c r="A502" s="15" t="s">
        <v>1091</v>
      </c>
      <c r="B502" s="1" t="s">
        <v>1092</v>
      </c>
      <c r="C502">
        <v>55</v>
      </c>
      <c r="D502" s="1" t="s">
        <v>59</v>
      </c>
      <c r="E502" s="1" t="s">
        <v>48</v>
      </c>
      <c r="F502" s="1" t="s">
        <v>49</v>
      </c>
      <c r="G502" s="1" t="s">
        <v>77</v>
      </c>
      <c r="H502" s="1" t="s">
        <v>78</v>
      </c>
      <c r="I502" s="6">
        <v>45578</v>
      </c>
      <c r="J502" s="7">
        <v>45583</v>
      </c>
      <c r="K502" s="1">
        <v>5</v>
      </c>
      <c r="L502" s="1" t="s">
        <v>132</v>
      </c>
      <c r="M502" s="1" t="s">
        <v>53</v>
      </c>
      <c r="N502" s="1" t="s">
        <v>79</v>
      </c>
      <c r="O502" s="1" t="s">
        <v>42</v>
      </c>
      <c r="P502" s="29">
        <v>118708.34</v>
      </c>
      <c r="Q502" s="1" t="s">
        <v>181</v>
      </c>
      <c r="R502" s="1">
        <v>9</v>
      </c>
      <c r="S502" s="1">
        <v>301</v>
      </c>
      <c r="T502" s="1">
        <v>32.9</v>
      </c>
      <c r="U502" s="1" t="s">
        <v>44</v>
      </c>
      <c r="V502" s="17" t="s">
        <v>33</v>
      </c>
    </row>
    <row r="503" spans="1:22" ht="15" customHeight="1" x14ac:dyDescent="0.25">
      <c r="A503" s="16" t="s">
        <v>1093</v>
      </c>
      <c r="B503" s="3" t="s">
        <v>1094</v>
      </c>
      <c r="C503">
        <v>58</v>
      </c>
      <c r="D503" s="3" t="s">
        <v>59</v>
      </c>
      <c r="E503" s="3" t="s">
        <v>48</v>
      </c>
      <c r="F503" s="3" t="s">
        <v>155</v>
      </c>
      <c r="G503" s="3" t="s">
        <v>25</v>
      </c>
      <c r="H503" s="3" t="s">
        <v>51</v>
      </c>
      <c r="I503" s="6">
        <v>43952</v>
      </c>
      <c r="J503" s="8">
        <v>43844</v>
      </c>
      <c r="K503" s="3">
        <v>9</v>
      </c>
      <c r="L503" s="3" t="s">
        <v>132</v>
      </c>
      <c r="M503" s="3" t="s">
        <v>53</v>
      </c>
      <c r="N503" s="3" t="s">
        <v>65</v>
      </c>
      <c r="O503" s="3" t="s">
        <v>30</v>
      </c>
      <c r="P503" s="30">
        <v>32987.74</v>
      </c>
      <c r="Q503" s="3" t="s">
        <v>484</v>
      </c>
      <c r="R503" s="3">
        <v>12</v>
      </c>
      <c r="S503" s="3">
        <v>154</v>
      </c>
      <c r="T503" s="3">
        <v>31.7</v>
      </c>
      <c r="U503" s="3" t="s">
        <v>86</v>
      </c>
      <c r="V503" s="18" t="s">
        <v>33</v>
      </c>
    </row>
    <row r="504" spans="1:22" ht="15" customHeight="1" x14ac:dyDescent="0.25">
      <c r="A504" s="15" t="s">
        <v>1095</v>
      </c>
      <c r="B504" s="1" t="s">
        <v>1096</v>
      </c>
      <c r="C504">
        <v>71</v>
      </c>
      <c r="D504" s="1" t="s">
        <v>82</v>
      </c>
      <c r="E504" s="1" t="s">
        <v>23</v>
      </c>
      <c r="F504" s="1" t="s">
        <v>99</v>
      </c>
      <c r="G504" s="1" t="s">
        <v>38</v>
      </c>
      <c r="H504" s="1" t="s">
        <v>51</v>
      </c>
      <c r="I504" s="6">
        <v>43694</v>
      </c>
      <c r="J504" s="7">
        <v>43699</v>
      </c>
      <c r="K504" s="1">
        <v>5</v>
      </c>
      <c r="L504" s="1" t="s">
        <v>112</v>
      </c>
      <c r="M504" s="1" t="s">
        <v>40</v>
      </c>
      <c r="N504" s="1" t="s">
        <v>41</v>
      </c>
      <c r="O504" s="1" t="s">
        <v>30</v>
      </c>
      <c r="P504" s="29">
        <v>25703.85</v>
      </c>
      <c r="Q504" s="1" t="s">
        <v>437</v>
      </c>
      <c r="R504" s="1">
        <v>8</v>
      </c>
      <c r="S504" s="1">
        <v>162</v>
      </c>
      <c r="T504" s="1">
        <v>30.4</v>
      </c>
      <c r="U504" s="1" t="s">
        <v>44</v>
      </c>
      <c r="V504" s="17" t="s">
        <v>33</v>
      </c>
    </row>
    <row r="505" spans="1:22" ht="15" customHeight="1" x14ac:dyDescent="0.25">
      <c r="A505" s="16" t="s">
        <v>1097</v>
      </c>
      <c r="B505" s="3" t="s">
        <v>1098</v>
      </c>
      <c r="C505">
        <v>69</v>
      </c>
      <c r="D505" s="3" t="s">
        <v>82</v>
      </c>
      <c r="E505" s="3" t="s">
        <v>48</v>
      </c>
      <c r="F505" s="3" t="s">
        <v>83</v>
      </c>
      <c r="G505" s="3" t="s">
        <v>25</v>
      </c>
      <c r="H505" s="3" t="s">
        <v>78</v>
      </c>
      <c r="I505" s="8">
        <v>44979</v>
      </c>
      <c r="J505" s="8">
        <v>44990</v>
      </c>
      <c r="K505" s="3">
        <v>11</v>
      </c>
      <c r="L505" s="3" t="s">
        <v>52</v>
      </c>
      <c r="M505" s="3" t="s">
        <v>53</v>
      </c>
      <c r="N505" s="3" t="s">
        <v>65</v>
      </c>
      <c r="O505" s="3" t="s">
        <v>30</v>
      </c>
      <c r="P505" s="30">
        <v>28195.7</v>
      </c>
      <c r="Q505" s="3" t="s">
        <v>515</v>
      </c>
      <c r="R505" s="3">
        <v>11</v>
      </c>
      <c r="S505" s="3">
        <v>445</v>
      </c>
      <c r="T505" s="3">
        <v>25.9</v>
      </c>
      <c r="U505" s="3" t="s">
        <v>44</v>
      </c>
      <c r="V505" s="18" t="s">
        <v>33</v>
      </c>
    </row>
    <row r="506" spans="1:22" ht="15" customHeight="1" x14ac:dyDescent="0.25">
      <c r="A506" s="15" t="s">
        <v>1099</v>
      </c>
      <c r="B506" s="1" t="s">
        <v>591</v>
      </c>
      <c r="C506">
        <v>49</v>
      </c>
      <c r="D506" s="1" t="s">
        <v>98</v>
      </c>
      <c r="E506" s="1" t="s">
        <v>23</v>
      </c>
      <c r="F506" s="1" t="s">
        <v>70</v>
      </c>
      <c r="G506" s="1" t="s">
        <v>77</v>
      </c>
      <c r="H506" s="1" t="s">
        <v>51</v>
      </c>
      <c r="I506" s="7">
        <v>43890</v>
      </c>
      <c r="J506" s="7">
        <v>43896</v>
      </c>
      <c r="K506" s="1">
        <v>6</v>
      </c>
      <c r="L506" s="1" t="s">
        <v>89</v>
      </c>
      <c r="M506" s="1" t="s">
        <v>90</v>
      </c>
      <c r="N506" s="1" t="s">
        <v>79</v>
      </c>
      <c r="O506" s="1" t="s">
        <v>104</v>
      </c>
      <c r="P506" s="29">
        <v>12019.81</v>
      </c>
      <c r="Q506" s="1" t="s">
        <v>95</v>
      </c>
      <c r="R506" s="1">
        <v>10</v>
      </c>
      <c r="S506" s="1">
        <v>116</v>
      </c>
      <c r="T506" s="1">
        <v>27.9</v>
      </c>
      <c r="U506" s="1" t="s">
        <v>44</v>
      </c>
      <c r="V506" s="17" t="s">
        <v>33</v>
      </c>
    </row>
    <row r="507" spans="1:22" ht="15" customHeight="1" x14ac:dyDescent="0.25">
      <c r="A507" s="16" t="s">
        <v>1100</v>
      </c>
      <c r="B507" s="3" t="s">
        <v>1101</v>
      </c>
      <c r="C507">
        <v>55</v>
      </c>
      <c r="D507" s="3" t="s">
        <v>59</v>
      </c>
      <c r="E507" s="3" t="s">
        <v>48</v>
      </c>
      <c r="F507" s="3" t="s">
        <v>37</v>
      </c>
      <c r="G507" s="3" t="s">
        <v>71</v>
      </c>
      <c r="H507" s="3" t="s">
        <v>51</v>
      </c>
      <c r="I507" s="8">
        <v>45206</v>
      </c>
      <c r="J507" s="8">
        <v>45208</v>
      </c>
      <c r="K507" s="3">
        <v>2</v>
      </c>
      <c r="L507" s="3" t="s">
        <v>102</v>
      </c>
      <c r="M507" s="3" t="s">
        <v>28</v>
      </c>
      <c r="N507" s="3" t="s">
        <v>312</v>
      </c>
      <c r="O507" s="3" t="s">
        <v>55</v>
      </c>
      <c r="P507" s="30">
        <v>13212.09</v>
      </c>
      <c r="Q507" s="3" t="s">
        <v>503</v>
      </c>
      <c r="R507" s="3">
        <v>3</v>
      </c>
      <c r="S507" s="3">
        <v>165</v>
      </c>
      <c r="T507" s="3">
        <v>23.1</v>
      </c>
      <c r="U507" s="3" t="s">
        <v>44</v>
      </c>
      <c r="V507" s="18" t="s">
        <v>33</v>
      </c>
    </row>
    <row r="508" spans="1:22" ht="15" customHeight="1" x14ac:dyDescent="0.25">
      <c r="A508" s="15" t="s">
        <v>1102</v>
      </c>
      <c r="B508" s="2" t="s">
        <v>3602</v>
      </c>
      <c r="C508">
        <v>45</v>
      </c>
      <c r="D508" s="1" t="s">
        <v>98</v>
      </c>
      <c r="E508" s="1" t="s">
        <v>48</v>
      </c>
      <c r="F508" s="1" t="s">
        <v>49</v>
      </c>
      <c r="G508" s="1" t="s">
        <v>163</v>
      </c>
      <c r="H508" s="1" t="s">
        <v>51</v>
      </c>
      <c r="I508" s="7">
        <v>45379</v>
      </c>
      <c r="J508" s="7">
        <v>45295</v>
      </c>
      <c r="K508" s="1">
        <v>4</v>
      </c>
      <c r="L508" s="1" t="s">
        <v>102</v>
      </c>
      <c r="M508" s="1" t="s">
        <v>28</v>
      </c>
      <c r="N508" s="1" t="s">
        <v>213</v>
      </c>
      <c r="O508" s="1" t="s">
        <v>30</v>
      </c>
      <c r="P508" s="29">
        <v>22043.41</v>
      </c>
      <c r="Q508" s="1" t="s">
        <v>165</v>
      </c>
      <c r="R508" s="1">
        <v>6</v>
      </c>
      <c r="S508" s="1">
        <v>197</v>
      </c>
      <c r="T508" s="1">
        <v>14.6</v>
      </c>
      <c r="U508" s="1" t="s">
        <v>32</v>
      </c>
      <c r="V508" s="17" t="s">
        <v>33</v>
      </c>
    </row>
    <row r="509" spans="1:22" ht="15" customHeight="1" x14ac:dyDescent="0.25">
      <c r="A509" s="16" t="s">
        <v>1103</v>
      </c>
      <c r="B509" s="3" t="s">
        <v>1104</v>
      </c>
      <c r="C509">
        <v>40</v>
      </c>
      <c r="D509" s="3" t="s">
        <v>98</v>
      </c>
      <c r="E509" s="3" t="s">
        <v>23</v>
      </c>
      <c r="F509" s="3" t="s">
        <v>83</v>
      </c>
      <c r="G509" s="3" t="s">
        <v>163</v>
      </c>
      <c r="H509" s="3" t="s">
        <v>26</v>
      </c>
      <c r="I509" s="8">
        <v>43714</v>
      </c>
      <c r="J509" s="8">
        <v>43720</v>
      </c>
      <c r="K509" s="3">
        <v>6</v>
      </c>
      <c r="L509" s="3" t="s">
        <v>185</v>
      </c>
      <c r="M509" s="3" t="s">
        <v>186</v>
      </c>
      <c r="N509" s="3" t="s">
        <v>164</v>
      </c>
      <c r="O509" s="3" t="s">
        <v>55</v>
      </c>
      <c r="P509" s="30">
        <v>32781.71</v>
      </c>
      <c r="Q509" s="3" t="s">
        <v>165</v>
      </c>
      <c r="R509" s="3">
        <v>6</v>
      </c>
      <c r="S509" s="3">
        <v>256</v>
      </c>
      <c r="T509" s="3">
        <v>27</v>
      </c>
      <c r="U509" s="3" t="s">
        <v>32</v>
      </c>
      <c r="V509" s="18" t="s">
        <v>33</v>
      </c>
    </row>
    <row r="510" spans="1:22" ht="15" customHeight="1" x14ac:dyDescent="0.25">
      <c r="A510" s="15" t="s">
        <v>1105</v>
      </c>
      <c r="B510" s="1" t="s">
        <v>1106</v>
      </c>
      <c r="C510">
        <v>73</v>
      </c>
      <c r="D510" s="1" t="s">
        <v>82</v>
      </c>
      <c r="E510" s="1" t="s">
        <v>23</v>
      </c>
      <c r="F510" s="2" t="s">
        <v>3714</v>
      </c>
      <c r="G510" s="1" t="s">
        <v>50</v>
      </c>
      <c r="H510" s="1" t="s">
        <v>26</v>
      </c>
      <c r="I510" s="7">
        <v>43994</v>
      </c>
      <c r="J510" s="7">
        <v>44178</v>
      </c>
      <c r="K510" s="1">
        <v>7</v>
      </c>
      <c r="L510" s="1" t="s">
        <v>89</v>
      </c>
      <c r="M510" s="1" t="s">
        <v>90</v>
      </c>
      <c r="N510" s="1" t="s">
        <v>126</v>
      </c>
      <c r="O510" s="1" t="s">
        <v>42</v>
      </c>
      <c r="P510" s="29">
        <v>41117.03</v>
      </c>
      <c r="Q510" s="1" t="s">
        <v>194</v>
      </c>
      <c r="R510" s="1">
        <v>8</v>
      </c>
      <c r="S510" s="1">
        <v>396</v>
      </c>
      <c r="T510" s="1">
        <v>21.3</v>
      </c>
      <c r="U510" s="1" t="s">
        <v>32</v>
      </c>
      <c r="V510" s="17" t="s">
        <v>33</v>
      </c>
    </row>
    <row r="511" spans="1:22" ht="15" customHeight="1" x14ac:dyDescent="0.25">
      <c r="A511" s="16" t="s">
        <v>1107</v>
      </c>
      <c r="B511" s="3" t="s">
        <v>1108</v>
      </c>
      <c r="C511">
        <v>52</v>
      </c>
      <c r="D511" s="3" t="s">
        <v>98</v>
      </c>
      <c r="E511" s="3" t="s">
        <v>48</v>
      </c>
      <c r="F511" s="3" t="s">
        <v>49</v>
      </c>
      <c r="G511" s="3" t="s">
        <v>25</v>
      </c>
      <c r="H511" s="3" t="s">
        <v>51</v>
      </c>
      <c r="I511" s="6">
        <v>45209</v>
      </c>
      <c r="J511" s="8">
        <v>45222</v>
      </c>
      <c r="K511" s="3">
        <v>13</v>
      </c>
      <c r="L511" s="3" t="s">
        <v>27</v>
      </c>
      <c r="M511" s="3" t="s">
        <v>28</v>
      </c>
      <c r="N511" s="3" t="s">
        <v>248</v>
      </c>
      <c r="O511" s="3" t="s">
        <v>42</v>
      </c>
      <c r="P511" s="30">
        <v>111631.32</v>
      </c>
      <c r="Q511" s="3" t="s">
        <v>484</v>
      </c>
      <c r="R511" s="3">
        <v>12</v>
      </c>
      <c r="S511" s="3">
        <v>169</v>
      </c>
      <c r="T511" s="3">
        <v>21.1</v>
      </c>
      <c r="U511" s="3" t="s">
        <v>32</v>
      </c>
      <c r="V511" s="18" t="s">
        <v>33</v>
      </c>
    </row>
    <row r="512" spans="1:22" ht="15" customHeight="1" x14ac:dyDescent="0.25">
      <c r="A512" s="15" t="s">
        <v>1109</v>
      </c>
      <c r="B512" s="1" t="s">
        <v>1110</v>
      </c>
      <c r="C512">
        <v>92</v>
      </c>
      <c r="D512" s="1" t="s">
        <v>36</v>
      </c>
      <c r="E512" s="1" t="s">
        <v>48</v>
      </c>
      <c r="F512" s="1" t="s">
        <v>70</v>
      </c>
      <c r="G512" s="1" t="s">
        <v>131</v>
      </c>
      <c r="H512" s="1" t="s">
        <v>156</v>
      </c>
      <c r="I512" s="7">
        <v>45513</v>
      </c>
      <c r="J512" s="7">
        <v>45517</v>
      </c>
      <c r="K512" s="1">
        <v>4</v>
      </c>
      <c r="L512" s="1" t="s">
        <v>231</v>
      </c>
      <c r="M512" s="1" t="s">
        <v>53</v>
      </c>
      <c r="N512" s="1" t="s">
        <v>147</v>
      </c>
      <c r="O512" s="1" t="s">
        <v>42</v>
      </c>
      <c r="P512" s="29">
        <v>31230.93</v>
      </c>
      <c r="Q512" s="1" t="s">
        <v>148</v>
      </c>
      <c r="R512" s="1">
        <v>4</v>
      </c>
      <c r="S512" s="1">
        <v>158</v>
      </c>
      <c r="T512" s="4"/>
      <c r="U512" s="1" t="s">
        <v>32</v>
      </c>
      <c r="V512" s="17" t="s">
        <v>45</v>
      </c>
    </row>
    <row r="513" spans="1:22" ht="15" customHeight="1" x14ac:dyDescent="0.25">
      <c r="A513" s="16" t="s">
        <v>1111</v>
      </c>
      <c r="B513" s="3" t="s">
        <v>1112</v>
      </c>
      <c r="C513">
        <v>90</v>
      </c>
      <c r="D513" s="3" t="s">
        <v>36</v>
      </c>
      <c r="E513" s="3" t="s">
        <v>48</v>
      </c>
      <c r="F513" s="3" t="s">
        <v>37</v>
      </c>
      <c r="G513" s="3" t="s">
        <v>25</v>
      </c>
      <c r="H513" s="3" t="s">
        <v>26</v>
      </c>
      <c r="I513" s="8">
        <v>43718</v>
      </c>
      <c r="J513" s="8">
        <v>43687</v>
      </c>
      <c r="K513" s="3">
        <v>28</v>
      </c>
      <c r="L513" s="3" t="s">
        <v>89</v>
      </c>
      <c r="M513" s="3" t="s">
        <v>90</v>
      </c>
      <c r="N513" s="3" t="s">
        <v>29</v>
      </c>
      <c r="O513" s="3" t="s">
        <v>30</v>
      </c>
      <c r="P513" s="30">
        <v>125795.27</v>
      </c>
      <c r="Q513" s="3" t="s">
        <v>706</v>
      </c>
      <c r="R513" s="3">
        <v>12</v>
      </c>
      <c r="S513" s="3">
        <v>401</v>
      </c>
      <c r="T513" s="3">
        <v>24.1</v>
      </c>
      <c r="U513" s="3" t="s">
        <v>32</v>
      </c>
      <c r="V513" s="18" t="s">
        <v>33</v>
      </c>
    </row>
    <row r="514" spans="1:22" ht="15" customHeight="1" x14ac:dyDescent="0.25">
      <c r="A514" s="15" t="s">
        <v>1113</v>
      </c>
      <c r="B514" s="2" t="s">
        <v>2418</v>
      </c>
      <c r="C514">
        <v>65</v>
      </c>
      <c r="D514" s="1" t="s">
        <v>82</v>
      </c>
      <c r="E514" s="1" t="s">
        <v>23</v>
      </c>
      <c r="F514" s="1" t="s">
        <v>83</v>
      </c>
      <c r="G514" s="1" t="s">
        <v>77</v>
      </c>
      <c r="H514" s="1" t="s">
        <v>51</v>
      </c>
      <c r="I514" s="7">
        <v>43771</v>
      </c>
      <c r="J514" s="7">
        <v>43774</v>
      </c>
      <c r="K514" s="1">
        <v>3</v>
      </c>
      <c r="L514" s="1" t="s">
        <v>89</v>
      </c>
      <c r="M514" s="1" t="s">
        <v>90</v>
      </c>
      <c r="N514" s="1" t="s">
        <v>84</v>
      </c>
      <c r="O514" s="1" t="s">
        <v>66</v>
      </c>
      <c r="P514" s="29">
        <v>64094</v>
      </c>
      <c r="Q514" s="1" t="s">
        <v>181</v>
      </c>
      <c r="R514" s="1">
        <v>10</v>
      </c>
      <c r="S514" s="1">
        <v>169</v>
      </c>
      <c r="T514" s="1">
        <v>33.1</v>
      </c>
      <c r="U514" s="1" t="s">
        <v>86</v>
      </c>
      <c r="V514" s="17" t="s">
        <v>33</v>
      </c>
    </row>
    <row r="515" spans="1:22" ht="15" customHeight="1" x14ac:dyDescent="0.25">
      <c r="A515" s="16" t="s">
        <v>1114</v>
      </c>
      <c r="B515" s="2" t="s">
        <v>3603</v>
      </c>
      <c r="C515">
        <v>54</v>
      </c>
      <c r="D515" s="3" t="s">
        <v>98</v>
      </c>
      <c r="E515" s="3" t="s">
        <v>23</v>
      </c>
      <c r="F515" s="3" t="s">
        <v>49</v>
      </c>
      <c r="G515" s="3" t="s">
        <v>71</v>
      </c>
      <c r="H515" s="3" t="s">
        <v>51</v>
      </c>
      <c r="I515" s="6">
        <v>44671</v>
      </c>
      <c r="J515" s="8">
        <v>44673</v>
      </c>
      <c r="K515" s="3">
        <v>2</v>
      </c>
      <c r="L515" s="3" t="s">
        <v>27</v>
      </c>
      <c r="M515" s="3" t="s">
        <v>28</v>
      </c>
      <c r="N515" s="3" t="s">
        <v>177</v>
      </c>
      <c r="O515" s="3" t="s">
        <v>42</v>
      </c>
      <c r="P515" s="30">
        <v>12573.01</v>
      </c>
      <c r="Q515" s="3" t="s">
        <v>170</v>
      </c>
      <c r="R515" s="3">
        <v>5</v>
      </c>
      <c r="S515" s="3">
        <v>184</v>
      </c>
      <c r="T515" s="3">
        <v>26</v>
      </c>
      <c r="U515" s="3" t="s">
        <v>32</v>
      </c>
      <c r="V515" s="18" t="s">
        <v>33</v>
      </c>
    </row>
    <row r="516" spans="1:22" ht="15" customHeight="1" x14ac:dyDescent="0.25">
      <c r="A516" s="15" t="s">
        <v>1115</v>
      </c>
      <c r="B516" s="1" t="s">
        <v>1116</v>
      </c>
      <c r="C516">
        <v>71</v>
      </c>
      <c r="D516" s="1" t="s">
        <v>82</v>
      </c>
      <c r="E516" s="1" t="s">
        <v>23</v>
      </c>
      <c r="F516" s="1" t="s">
        <v>24</v>
      </c>
      <c r="G516" s="1" t="s">
        <v>77</v>
      </c>
      <c r="H516" s="1" t="s">
        <v>26</v>
      </c>
      <c r="I516" s="7">
        <v>44009</v>
      </c>
      <c r="J516" s="7">
        <v>44021</v>
      </c>
      <c r="K516" s="1">
        <v>12</v>
      </c>
      <c r="L516" s="1" t="s">
        <v>102</v>
      </c>
      <c r="M516" s="1" t="s">
        <v>28</v>
      </c>
      <c r="N516" s="1" t="s">
        <v>84</v>
      </c>
      <c r="O516" s="1" t="s">
        <v>30</v>
      </c>
      <c r="P516" s="29">
        <v>82232.39</v>
      </c>
      <c r="Q516" s="1" t="s">
        <v>181</v>
      </c>
      <c r="R516" s="1">
        <v>10</v>
      </c>
      <c r="S516" s="1">
        <v>346</v>
      </c>
      <c r="T516" s="1">
        <v>29.2</v>
      </c>
      <c r="U516" s="1" t="s">
        <v>44</v>
      </c>
      <c r="V516" s="17" t="s">
        <v>33</v>
      </c>
    </row>
    <row r="517" spans="1:22" ht="15" customHeight="1" x14ac:dyDescent="0.25">
      <c r="A517" s="16" t="s">
        <v>1117</v>
      </c>
      <c r="B517" s="3" t="s">
        <v>1118</v>
      </c>
      <c r="C517">
        <v>56</v>
      </c>
      <c r="D517" s="3" t="s">
        <v>59</v>
      </c>
      <c r="E517" s="3" t="s">
        <v>48</v>
      </c>
      <c r="F517" s="3" t="s">
        <v>49</v>
      </c>
      <c r="G517" s="3" t="s">
        <v>38</v>
      </c>
      <c r="H517" s="3" t="s">
        <v>26</v>
      </c>
      <c r="I517" s="8">
        <v>45115</v>
      </c>
      <c r="J517" s="8">
        <v>45126</v>
      </c>
      <c r="K517" s="3">
        <v>11</v>
      </c>
      <c r="L517" s="3" t="s">
        <v>52</v>
      </c>
      <c r="M517" s="3" t="s">
        <v>53</v>
      </c>
      <c r="N517" s="3" t="s">
        <v>41</v>
      </c>
      <c r="O517" s="3" t="s">
        <v>30</v>
      </c>
      <c r="P517" s="30">
        <v>18514.28</v>
      </c>
      <c r="Q517" s="3" t="s">
        <v>305</v>
      </c>
      <c r="R517" s="3">
        <v>8</v>
      </c>
      <c r="S517" s="3">
        <v>448</v>
      </c>
      <c r="T517" s="3">
        <v>18.399999999999999</v>
      </c>
      <c r="U517" s="3" t="s">
        <v>32</v>
      </c>
      <c r="V517" s="18" t="s">
        <v>33</v>
      </c>
    </row>
    <row r="518" spans="1:22" ht="15" customHeight="1" x14ac:dyDescent="0.25">
      <c r="A518" s="15" t="s">
        <v>1119</v>
      </c>
      <c r="B518" s="1" t="s">
        <v>1120</v>
      </c>
      <c r="C518">
        <v>67</v>
      </c>
      <c r="D518" s="1" t="s">
        <v>82</v>
      </c>
      <c r="E518" s="1" t="s">
        <v>23</v>
      </c>
      <c r="F518" s="1" t="s">
        <v>155</v>
      </c>
      <c r="G518" s="1" t="s">
        <v>131</v>
      </c>
      <c r="H518" s="1" t="s">
        <v>78</v>
      </c>
      <c r="I518" s="7">
        <v>44785</v>
      </c>
      <c r="J518" s="7">
        <v>44816</v>
      </c>
      <c r="K518" s="1">
        <v>1</v>
      </c>
      <c r="L518" s="1" t="s">
        <v>39</v>
      </c>
      <c r="M518" s="1" t="s">
        <v>40</v>
      </c>
      <c r="N518" s="1" t="s">
        <v>157</v>
      </c>
      <c r="O518" s="1" t="s">
        <v>104</v>
      </c>
      <c r="P518" s="29">
        <v>27847.47</v>
      </c>
      <c r="Q518" s="1" t="s">
        <v>266</v>
      </c>
      <c r="R518" s="1">
        <v>7</v>
      </c>
      <c r="S518" s="1">
        <v>433</v>
      </c>
      <c r="T518" s="1">
        <v>36.5</v>
      </c>
      <c r="U518" s="1" t="s">
        <v>86</v>
      </c>
      <c r="V518" s="17" t="s">
        <v>33</v>
      </c>
    </row>
    <row r="519" spans="1:22" ht="15" customHeight="1" x14ac:dyDescent="0.25">
      <c r="A519" s="16" t="s">
        <v>1121</v>
      </c>
      <c r="B519" s="3" t="s">
        <v>1122</v>
      </c>
      <c r="C519">
        <v>68</v>
      </c>
      <c r="D519" s="3" t="s">
        <v>82</v>
      </c>
      <c r="E519" s="3" t="s">
        <v>23</v>
      </c>
      <c r="F519" s="3" t="s">
        <v>24</v>
      </c>
      <c r="G519" s="3" t="s">
        <v>1033</v>
      </c>
      <c r="H519" s="3" t="s">
        <v>51</v>
      </c>
      <c r="I519" s="6">
        <v>45438</v>
      </c>
      <c r="J519" s="8">
        <v>45439</v>
      </c>
      <c r="K519" s="3">
        <v>1</v>
      </c>
      <c r="L519" s="3" t="s">
        <v>27</v>
      </c>
      <c r="M519" s="3" t="s">
        <v>28</v>
      </c>
      <c r="N519" s="3" t="s">
        <v>213</v>
      </c>
      <c r="O519" s="3" t="s">
        <v>66</v>
      </c>
      <c r="P519" s="30">
        <v>30452.54</v>
      </c>
      <c r="Q519" s="3" t="s">
        <v>62</v>
      </c>
      <c r="R519" s="3">
        <v>6</v>
      </c>
      <c r="S519" s="3">
        <v>106</v>
      </c>
      <c r="T519" s="3">
        <v>25.8</v>
      </c>
      <c r="U519" s="3" t="s">
        <v>44</v>
      </c>
      <c r="V519" s="18" t="s">
        <v>45</v>
      </c>
    </row>
    <row r="520" spans="1:22" ht="15" customHeight="1" x14ac:dyDescent="0.25">
      <c r="A520" s="15" t="s">
        <v>1123</v>
      </c>
      <c r="B520" s="1" t="s">
        <v>1124</v>
      </c>
      <c r="C520">
        <v>74</v>
      </c>
      <c r="D520" s="1" t="s">
        <v>82</v>
      </c>
      <c r="E520" s="1" t="s">
        <v>23</v>
      </c>
      <c r="F520" s="1" t="s">
        <v>99</v>
      </c>
      <c r="G520" s="1" t="s">
        <v>38</v>
      </c>
      <c r="H520" s="1" t="s">
        <v>51</v>
      </c>
      <c r="I520" s="7">
        <v>45531</v>
      </c>
      <c r="J520" s="7">
        <v>45535</v>
      </c>
      <c r="K520" s="1">
        <v>4</v>
      </c>
      <c r="L520" s="1" t="s">
        <v>89</v>
      </c>
      <c r="M520" s="1" t="s">
        <v>90</v>
      </c>
      <c r="N520" s="1" t="s">
        <v>41</v>
      </c>
      <c r="O520" s="1" t="s">
        <v>55</v>
      </c>
      <c r="P520" s="29">
        <v>28640.21</v>
      </c>
      <c r="Q520" s="1" t="s">
        <v>437</v>
      </c>
      <c r="R520" s="1">
        <v>5</v>
      </c>
      <c r="S520" s="1">
        <v>198</v>
      </c>
      <c r="T520" s="1">
        <v>35.1</v>
      </c>
      <c r="U520" s="1" t="s">
        <v>44</v>
      </c>
      <c r="V520" s="17" t="s">
        <v>33</v>
      </c>
    </row>
    <row r="521" spans="1:22" ht="15" customHeight="1" x14ac:dyDescent="0.25">
      <c r="A521" s="16" t="s">
        <v>1125</v>
      </c>
      <c r="B521" s="3" t="s">
        <v>1126</v>
      </c>
      <c r="C521">
        <v>67</v>
      </c>
      <c r="D521" s="3" t="s">
        <v>82</v>
      </c>
      <c r="E521" s="3" t="s">
        <v>48</v>
      </c>
      <c r="F521" s="3" t="s">
        <v>83</v>
      </c>
      <c r="G521" s="3" t="s">
        <v>25</v>
      </c>
      <c r="H521" s="3" t="s">
        <v>78</v>
      </c>
      <c r="I521" s="8">
        <v>43611</v>
      </c>
      <c r="J521" s="8">
        <v>43622</v>
      </c>
      <c r="K521" s="3">
        <v>11</v>
      </c>
      <c r="L521" s="3" t="s">
        <v>185</v>
      </c>
      <c r="M521" s="3" t="s">
        <v>186</v>
      </c>
      <c r="N521" s="3" t="s">
        <v>65</v>
      </c>
      <c r="O521" s="3" t="s">
        <v>30</v>
      </c>
      <c r="P521" s="30">
        <v>48402.71</v>
      </c>
      <c r="Q521" s="3" t="s">
        <v>322</v>
      </c>
      <c r="R521" s="3">
        <v>11</v>
      </c>
      <c r="S521" s="3">
        <v>130</v>
      </c>
      <c r="T521" s="3">
        <v>34.9</v>
      </c>
      <c r="U521" s="3" t="s">
        <v>44</v>
      </c>
      <c r="V521" s="18" t="s">
        <v>33</v>
      </c>
    </row>
    <row r="522" spans="1:22" ht="15" customHeight="1" x14ac:dyDescent="0.25">
      <c r="A522" s="15" t="s">
        <v>1127</v>
      </c>
      <c r="B522" s="1" t="s">
        <v>1128</v>
      </c>
      <c r="C522">
        <v>58</v>
      </c>
      <c r="D522" s="1" t="s">
        <v>59</v>
      </c>
      <c r="E522" s="1" t="s">
        <v>23</v>
      </c>
      <c r="F522" s="1" t="s">
        <v>49</v>
      </c>
      <c r="G522" s="1" t="s">
        <v>77</v>
      </c>
      <c r="H522" s="1" t="s">
        <v>26</v>
      </c>
      <c r="I522" s="7">
        <v>44768</v>
      </c>
      <c r="J522" s="7">
        <v>44779</v>
      </c>
      <c r="K522" s="1">
        <v>11</v>
      </c>
      <c r="L522" s="1" t="s">
        <v>89</v>
      </c>
      <c r="M522" s="1" t="s">
        <v>90</v>
      </c>
      <c r="N522" s="1" t="s">
        <v>79</v>
      </c>
      <c r="O522" s="1" t="s">
        <v>66</v>
      </c>
      <c r="P522" s="29">
        <v>116469</v>
      </c>
      <c r="Q522" s="1" t="s">
        <v>80</v>
      </c>
      <c r="R522" s="1">
        <v>10</v>
      </c>
      <c r="S522" s="1">
        <v>372</v>
      </c>
      <c r="T522" s="1">
        <v>25.5</v>
      </c>
      <c r="U522" s="1" t="s">
        <v>86</v>
      </c>
      <c r="V522" s="17" t="s">
        <v>33</v>
      </c>
    </row>
    <row r="523" spans="1:22" ht="15" customHeight="1" x14ac:dyDescent="0.25">
      <c r="A523" s="16" t="s">
        <v>1129</v>
      </c>
      <c r="B523" s="3" t="s">
        <v>276</v>
      </c>
      <c r="C523">
        <v>60</v>
      </c>
      <c r="D523" s="3" t="s">
        <v>59</v>
      </c>
      <c r="E523" s="3" t="s">
        <v>23</v>
      </c>
      <c r="F523" s="3" t="s">
        <v>37</v>
      </c>
      <c r="G523" s="3" t="s">
        <v>25</v>
      </c>
      <c r="H523" s="3" t="s">
        <v>78</v>
      </c>
      <c r="I523" s="8">
        <v>43874</v>
      </c>
      <c r="J523" s="8">
        <v>43883</v>
      </c>
      <c r="K523" s="3">
        <v>9</v>
      </c>
      <c r="L523" s="3" t="s">
        <v>122</v>
      </c>
      <c r="M523" s="3" t="s">
        <v>40</v>
      </c>
      <c r="N523" s="3" t="s">
        <v>29</v>
      </c>
      <c r="O523" s="3" t="s">
        <v>42</v>
      </c>
      <c r="P523" s="30">
        <v>93200.09</v>
      </c>
      <c r="Q523" s="3" t="s">
        <v>484</v>
      </c>
      <c r="R523" s="3">
        <v>12</v>
      </c>
      <c r="S523" s="3">
        <v>289</v>
      </c>
      <c r="T523" s="3">
        <v>15.9</v>
      </c>
      <c r="U523" s="3" t="s">
        <v>32</v>
      </c>
      <c r="V523" s="18" t="s">
        <v>45</v>
      </c>
    </row>
    <row r="524" spans="1:22" ht="15" customHeight="1" x14ac:dyDescent="0.25">
      <c r="A524" s="15" t="s">
        <v>1130</v>
      </c>
      <c r="B524" s="1" t="s">
        <v>1131</v>
      </c>
      <c r="C524">
        <v>80</v>
      </c>
      <c r="D524" s="1" t="s">
        <v>36</v>
      </c>
      <c r="E524" s="1" t="s">
        <v>48</v>
      </c>
      <c r="F524" s="2" t="s">
        <v>3714</v>
      </c>
      <c r="G524" s="1" t="s">
        <v>131</v>
      </c>
      <c r="H524" s="1" t="s">
        <v>78</v>
      </c>
      <c r="I524" s="6">
        <v>43474</v>
      </c>
      <c r="J524" s="7">
        <v>43717</v>
      </c>
      <c r="K524" s="1">
        <v>8</v>
      </c>
      <c r="L524" s="1" t="s">
        <v>132</v>
      </c>
      <c r="M524" s="1" t="s">
        <v>53</v>
      </c>
      <c r="N524" s="1" t="s">
        <v>147</v>
      </c>
      <c r="O524" s="1" t="s">
        <v>55</v>
      </c>
      <c r="P524" s="29">
        <v>42402.26</v>
      </c>
      <c r="Q524" s="1" t="s">
        <v>291</v>
      </c>
      <c r="R524" s="1">
        <v>7</v>
      </c>
      <c r="S524" s="1">
        <v>151</v>
      </c>
      <c r="T524" s="4"/>
      <c r="U524" s="1" t="s">
        <v>32</v>
      </c>
      <c r="V524" s="17" t="s">
        <v>33</v>
      </c>
    </row>
    <row r="525" spans="1:22" ht="15" customHeight="1" x14ac:dyDescent="0.25">
      <c r="A525" s="16" t="s">
        <v>1132</v>
      </c>
      <c r="B525" s="2" t="s">
        <v>3604</v>
      </c>
      <c r="C525">
        <v>70</v>
      </c>
      <c r="D525" s="3" t="s">
        <v>82</v>
      </c>
      <c r="E525" s="3" t="s">
        <v>48</v>
      </c>
      <c r="F525" s="2" t="s">
        <v>76</v>
      </c>
      <c r="G525" s="3" t="s">
        <v>38</v>
      </c>
      <c r="H525" s="3" t="s">
        <v>26</v>
      </c>
      <c r="I525" s="8">
        <v>45074</v>
      </c>
      <c r="J525" s="8">
        <v>45077</v>
      </c>
      <c r="K525" s="3">
        <v>3</v>
      </c>
      <c r="L525" s="3" t="s">
        <v>231</v>
      </c>
      <c r="M525" s="3" t="s">
        <v>53</v>
      </c>
      <c r="N525" s="3" t="s">
        <v>173</v>
      </c>
      <c r="O525" s="3" t="s">
        <v>42</v>
      </c>
      <c r="P525" s="30">
        <v>23898.959999999999</v>
      </c>
      <c r="Q525" s="3" t="s">
        <v>305</v>
      </c>
      <c r="R525" s="3">
        <v>8</v>
      </c>
      <c r="S525" s="3">
        <v>489</v>
      </c>
      <c r="T525" s="3">
        <v>28.4</v>
      </c>
      <c r="U525" s="3" t="s">
        <v>44</v>
      </c>
      <c r="V525" s="18" t="s">
        <v>33</v>
      </c>
    </row>
    <row r="526" spans="1:22" ht="15" customHeight="1" x14ac:dyDescent="0.25">
      <c r="A526" s="15" t="s">
        <v>1133</v>
      </c>
      <c r="B526" s="1" t="s">
        <v>1134</v>
      </c>
      <c r="C526">
        <v>25</v>
      </c>
      <c r="D526" s="1" t="s">
        <v>47</v>
      </c>
      <c r="E526" s="1" t="s">
        <v>48</v>
      </c>
      <c r="F526" s="1" t="s">
        <v>70</v>
      </c>
      <c r="G526" s="1" t="s">
        <v>25</v>
      </c>
      <c r="H526" s="1" t="s">
        <v>78</v>
      </c>
      <c r="I526" s="6">
        <v>44463</v>
      </c>
      <c r="J526" s="7">
        <v>44470</v>
      </c>
      <c r="K526" s="1">
        <v>7</v>
      </c>
      <c r="L526" s="1" t="s">
        <v>112</v>
      </c>
      <c r="M526" s="1" t="s">
        <v>40</v>
      </c>
      <c r="N526" s="1" t="s">
        <v>29</v>
      </c>
      <c r="O526" s="1" t="s">
        <v>66</v>
      </c>
      <c r="P526" s="29">
        <v>45780</v>
      </c>
      <c r="Q526" s="1" t="s">
        <v>31</v>
      </c>
      <c r="R526" s="1">
        <v>12</v>
      </c>
      <c r="S526" s="1">
        <v>498</v>
      </c>
      <c r="T526" s="4"/>
      <c r="U526" s="1" t="s">
        <v>44</v>
      </c>
      <c r="V526" s="17" t="s">
        <v>33</v>
      </c>
    </row>
    <row r="527" spans="1:22" ht="15" customHeight="1" x14ac:dyDescent="0.25">
      <c r="A527" s="16" t="s">
        <v>1135</v>
      </c>
      <c r="B527" s="3" t="s">
        <v>1136</v>
      </c>
      <c r="C527">
        <v>68</v>
      </c>
      <c r="D527" s="3" t="s">
        <v>82</v>
      </c>
      <c r="E527" s="3" t="s">
        <v>48</v>
      </c>
      <c r="F527" s="3" t="s">
        <v>155</v>
      </c>
      <c r="G527" s="3" t="s">
        <v>131</v>
      </c>
      <c r="H527" s="3" t="s">
        <v>51</v>
      </c>
      <c r="I527" s="6">
        <v>43961</v>
      </c>
      <c r="J527" s="10"/>
      <c r="K527" s="3"/>
      <c r="L527" s="3" t="s">
        <v>39</v>
      </c>
      <c r="M527" s="3" t="s">
        <v>40</v>
      </c>
      <c r="N527" s="3" t="s">
        <v>157</v>
      </c>
      <c r="O527" s="3" t="s">
        <v>55</v>
      </c>
      <c r="P527" s="30">
        <v>16710.14</v>
      </c>
      <c r="Q527" s="3" t="s">
        <v>134</v>
      </c>
      <c r="R527" s="3">
        <v>7</v>
      </c>
      <c r="S527" s="3">
        <v>173</v>
      </c>
      <c r="T527" s="3">
        <v>31.6</v>
      </c>
      <c r="U527" s="3" t="s">
        <v>44</v>
      </c>
      <c r="V527" s="18" t="s">
        <v>33</v>
      </c>
    </row>
    <row r="528" spans="1:22" ht="15" customHeight="1" x14ac:dyDescent="0.25">
      <c r="A528" s="15" t="s">
        <v>1137</v>
      </c>
      <c r="B528" s="2" t="s">
        <v>3605</v>
      </c>
      <c r="C528">
        <v>56</v>
      </c>
      <c r="D528" s="1" t="s">
        <v>59</v>
      </c>
      <c r="E528" s="1" t="s">
        <v>23</v>
      </c>
      <c r="F528" s="1" t="s">
        <v>76</v>
      </c>
      <c r="G528" s="1" t="s">
        <v>50</v>
      </c>
      <c r="H528" s="1" t="s">
        <v>26</v>
      </c>
      <c r="I528" s="7">
        <v>45161</v>
      </c>
      <c r="J528" s="7">
        <v>44935</v>
      </c>
      <c r="K528" s="1">
        <v>9</v>
      </c>
      <c r="L528" s="1" t="s">
        <v>102</v>
      </c>
      <c r="M528" s="1" t="s">
        <v>28</v>
      </c>
      <c r="N528" s="1" t="s">
        <v>126</v>
      </c>
      <c r="O528" s="1" t="s">
        <v>55</v>
      </c>
      <c r="P528" s="29">
        <v>60814</v>
      </c>
      <c r="Q528" s="1" t="s">
        <v>279</v>
      </c>
      <c r="R528" s="1">
        <v>9</v>
      </c>
      <c r="S528" s="1">
        <v>323</v>
      </c>
      <c r="T528" s="1">
        <v>38.200000000000003</v>
      </c>
      <c r="U528" s="1" t="s">
        <v>44</v>
      </c>
      <c r="V528" s="17" t="s">
        <v>33</v>
      </c>
    </row>
    <row r="529" spans="1:22" ht="15" customHeight="1" x14ac:dyDescent="0.25">
      <c r="A529" s="16" t="s">
        <v>1138</v>
      </c>
      <c r="B529" s="3" t="s">
        <v>1139</v>
      </c>
      <c r="C529">
        <v>36</v>
      </c>
      <c r="D529" s="3" t="s">
        <v>98</v>
      </c>
      <c r="E529" s="3" t="s">
        <v>23</v>
      </c>
      <c r="F529" s="3" t="s">
        <v>83</v>
      </c>
      <c r="G529" s="3" t="s">
        <v>38</v>
      </c>
      <c r="H529" s="3" t="s">
        <v>26</v>
      </c>
      <c r="I529" s="6">
        <v>44981</v>
      </c>
      <c r="J529" s="8">
        <v>44929</v>
      </c>
      <c r="K529" s="3">
        <v>5</v>
      </c>
      <c r="L529" s="3" t="s">
        <v>112</v>
      </c>
      <c r="M529" s="3" t="s">
        <v>40</v>
      </c>
      <c r="N529" s="3" t="s">
        <v>203</v>
      </c>
      <c r="O529" s="3" t="s">
        <v>55</v>
      </c>
      <c r="P529" s="30">
        <v>28533.69</v>
      </c>
      <c r="Q529" s="3" t="s">
        <v>567</v>
      </c>
      <c r="R529" s="3">
        <v>8</v>
      </c>
      <c r="S529" s="3">
        <v>150</v>
      </c>
      <c r="T529" s="4"/>
      <c r="U529" s="3" t="s">
        <v>44</v>
      </c>
      <c r="V529" s="18" t="s">
        <v>33</v>
      </c>
    </row>
    <row r="530" spans="1:22" ht="15" customHeight="1" x14ac:dyDescent="0.25">
      <c r="A530" s="15" t="s">
        <v>1140</v>
      </c>
      <c r="B530" s="1" t="s">
        <v>1141</v>
      </c>
      <c r="C530">
        <v>91</v>
      </c>
      <c r="D530" s="1" t="s">
        <v>36</v>
      </c>
      <c r="E530" s="1" t="s">
        <v>48</v>
      </c>
      <c r="F530" s="1" t="s">
        <v>24</v>
      </c>
      <c r="G530" s="1" t="s">
        <v>77</v>
      </c>
      <c r="H530" s="1" t="s">
        <v>26</v>
      </c>
      <c r="I530" s="6">
        <v>45526</v>
      </c>
      <c r="J530" s="7">
        <v>45534</v>
      </c>
      <c r="K530" s="1">
        <v>8</v>
      </c>
      <c r="L530" s="1" t="s">
        <v>122</v>
      </c>
      <c r="M530" s="1" t="s">
        <v>40</v>
      </c>
      <c r="N530" s="1" t="s">
        <v>79</v>
      </c>
      <c r="O530" s="1" t="s">
        <v>42</v>
      </c>
      <c r="P530" s="29">
        <v>212070.74</v>
      </c>
      <c r="Q530" s="1" t="s">
        <v>80</v>
      </c>
      <c r="R530" s="1">
        <v>10</v>
      </c>
      <c r="S530" s="1">
        <v>389</v>
      </c>
      <c r="T530" s="1">
        <v>24.4</v>
      </c>
      <c r="U530" s="1" t="s">
        <v>44</v>
      </c>
      <c r="V530" s="17" t="s">
        <v>33</v>
      </c>
    </row>
    <row r="531" spans="1:22" ht="15" customHeight="1" x14ac:dyDescent="0.25">
      <c r="A531" s="16" t="s">
        <v>1142</v>
      </c>
      <c r="B531" s="3" t="s">
        <v>1143</v>
      </c>
      <c r="C531">
        <v>91</v>
      </c>
      <c r="D531" s="3" t="s">
        <v>36</v>
      </c>
      <c r="E531" s="3" t="s">
        <v>48</v>
      </c>
      <c r="F531" s="3" t="s">
        <v>99</v>
      </c>
      <c r="G531" s="3" t="s">
        <v>131</v>
      </c>
      <c r="H531" s="3" t="s">
        <v>78</v>
      </c>
      <c r="I531" s="8">
        <v>45570</v>
      </c>
      <c r="J531" s="8">
        <v>45573</v>
      </c>
      <c r="K531" s="3">
        <v>3</v>
      </c>
      <c r="L531" s="3" t="s">
        <v>89</v>
      </c>
      <c r="M531" s="3" t="s">
        <v>90</v>
      </c>
      <c r="N531" s="3" t="s">
        <v>147</v>
      </c>
      <c r="O531" s="3" t="s">
        <v>30</v>
      </c>
      <c r="P531" s="30">
        <v>17561</v>
      </c>
      <c r="Q531" s="3" t="s">
        <v>266</v>
      </c>
      <c r="R531" s="3">
        <v>7</v>
      </c>
      <c r="S531" s="3">
        <v>435</v>
      </c>
      <c r="T531" s="3">
        <v>20.2</v>
      </c>
      <c r="U531" s="3" t="s">
        <v>32</v>
      </c>
      <c r="V531" s="18" t="s">
        <v>45</v>
      </c>
    </row>
    <row r="532" spans="1:22" ht="15" customHeight="1" x14ac:dyDescent="0.25">
      <c r="A532" s="15" t="s">
        <v>1144</v>
      </c>
      <c r="B532" s="1" t="s">
        <v>1145</v>
      </c>
      <c r="C532">
        <v>48</v>
      </c>
      <c r="D532" s="1" t="s">
        <v>98</v>
      </c>
      <c r="E532" s="1" t="s">
        <v>48</v>
      </c>
      <c r="F532" s="1" t="s">
        <v>37</v>
      </c>
      <c r="G532" s="1" t="s">
        <v>38</v>
      </c>
      <c r="H532" s="1" t="s">
        <v>78</v>
      </c>
      <c r="I532" s="6">
        <v>43519</v>
      </c>
      <c r="J532" s="7">
        <v>43522</v>
      </c>
      <c r="K532" s="1">
        <v>3</v>
      </c>
      <c r="L532" s="1" t="s">
        <v>231</v>
      </c>
      <c r="M532" s="1" t="s">
        <v>53</v>
      </c>
      <c r="N532" s="1" t="s">
        <v>41</v>
      </c>
      <c r="O532" s="1" t="s">
        <v>42</v>
      </c>
      <c r="P532" s="29">
        <v>11251.13</v>
      </c>
      <c r="Q532" s="1" t="s">
        <v>567</v>
      </c>
      <c r="R532" s="1">
        <v>8</v>
      </c>
      <c r="S532" s="1">
        <v>271</v>
      </c>
      <c r="T532" s="1">
        <v>28.3</v>
      </c>
      <c r="U532" s="1" t="s">
        <v>32</v>
      </c>
      <c r="V532" s="17" t="s">
        <v>33</v>
      </c>
    </row>
    <row r="533" spans="1:22" ht="15" customHeight="1" x14ac:dyDescent="0.25">
      <c r="A533" s="16" t="s">
        <v>1146</v>
      </c>
      <c r="B533" s="3" t="s">
        <v>867</v>
      </c>
      <c r="C533">
        <v>76</v>
      </c>
      <c r="D533" s="3" t="s">
        <v>36</v>
      </c>
      <c r="E533" s="3" t="s">
        <v>23</v>
      </c>
      <c r="F533" s="3" t="s">
        <v>49</v>
      </c>
      <c r="G533" s="3" t="s">
        <v>77</v>
      </c>
      <c r="H533" s="3" t="s">
        <v>51</v>
      </c>
      <c r="I533" s="8">
        <v>45566</v>
      </c>
      <c r="J533" s="8">
        <v>45572</v>
      </c>
      <c r="K533" s="3">
        <v>6</v>
      </c>
      <c r="L533" s="3" t="s">
        <v>39</v>
      </c>
      <c r="M533" s="3" t="s">
        <v>40</v>
      </c>
      <c r="N533" s="3" t="s">
        <v>79</v>
      </c>
      <c r="O533" s="3" t="s">
        <v>104</v>
      </c>
      <c r="P533" s="30">
        <v>153743.95000000001</v>
      </c>
      <c r="Q533" s="3" t="s">
        <v>592</v>
      </c>
      <c r="R533" s="3">
        <v>10</v>
      </c>
      <c r="S533" s="3">
        <v>172</v>
      </c>
      <c r="T533" s="3">
        <v>29.4</v>
      </c>
      <c r="U533" s="3" t="s">
        <v>86</v>
      </c>
      <c r="V533" s="18" t="s">
        <v>33</v>
      </c>
    </row>
    <row r="534" spans="1:22" ht="15" customHeight="1" x14ac:dyDescent="0.25">
      <c r="A534" s="15" t="s">
        <v>1147</v>
      </c>
      <c r="B534" s="1" t="s">
        <v>1148</v>
      </c>
      <c r="C534">
        <v>3</v>
      </c>
      <c r="D534" s="1" t="s">
        <v>22</v>
      </c>
      <c r="E534" s="1" t="s">
        <v>23</v>
      </c>
      <c r="F534" s="1" t="s">
        <v>99</v>
      </c>
      <c r="G534" s="1" t="s">
        <v>417</v>
      </c>
      <c r="H534" s="1" t="s">
        <v>78</v>
      </c>
      <c r="I534" s="7">
        <v>45035</v>
      </c>
      <c r="J534" s="7">
        <v>45039</v>
      </c>
      <c r="K534" s="1">
        <v>4</v>
      </c>
      <c r="L534" s="1" t="s">
        <v>102</v>
      </c>
      <c r="M534" s="1" t="s">
        <v>28</v>
      </c>
      <c r="N534" s="1" t="s">
        <v>203</v>
      </c>
      <c r="O534" s="1" t="s">
        <v>104</v>
      </c>
      <c r="P534" s="29">
        <v>7423.36</v>
      </c>
      <c r="Q534" s="1" t="s">
        <v>305</v>
      </c>
      <c r="R534" s="1">
        <v>8</v>
      </c>
      <c r="S534" s="1">
        <v>467</v>
      </c>
      <c r="T534" s="1">
        <v>38</v>
      </c>
      <c r="U534" s="1" t="s">
        <v>44</v>
      </c>
      <c r="V534" s="17" t="s">
        <v>45</v>
      </c>
    </row>
    <row r="535" spans="1:22" ht="15" customHeight="1" x14ac:dyDescent="0.25">
      <c r="A535" s="16" t="s">
        <v>1149</v>
      </c>
      <c r="B535" s="3" t="s">
        <v>1150</v>
      </c>
      <c r="C535">
        <v>62</v>
      </c>
      <c r="D535" s="3" t="s">
        <v>59</v>
      </c>
      <c r="E535" s="3" t="s">
        <v>23</v>
      </c>
      <c r="F535" s="3" t="s">
        <v>49</v>
      </c>
      <c r="G535" s="3" t="s">
        <v>25</v>
      </c>
      <c r="H535" s="3" t="s">
        <v>51</v>
      </c>
      <c r="I535" s="6">
        <v>45238</v>
      </c>
      <c r="J535" s="8">
        <v>45162</v>
      </c>
      <c r="K535" s="3">
        <v>13</v>
      </c>
      <c r="L535" s="3" t="s">
        <v>185</v>
      </c>
      <c r="M535" s="3" t="s">
        <v>186</v>
      </c>
      <c r="N535" s="3" t="s">
        <v>29</v>
      </c>
      <c r="O535" s="3" t="s">
        <v>30</v>
      </c>
      <c r="P535" s="30">
        <v>24109.9</v>
      </c>
      <c r="Q535" s="3" t="s">
        <v>322</v>
      </c>
      <c r="R535" s="3">
        <v>12</v>
      </c>
      <c r="S535" s="3">
        <v>130</v>
      </c>
      <c r="T535" s="3">
        <v>22.2</v>
      </c>
      <c r="U535" s="3" t="s">
        <v>44</v>
      </c>
      <c r="V535" s="18" t="s">
        <v>33</v>
      </c>
    </row>
    <row r="536" spans="1:22" ht="15" customHeight="1" x14ac:dyDescent="0.25">
      <c r="A536" s="15" t="s">
        <v>1151</v>
      </c>
      <c r="B536" s="1" t="s">
        <v>1152</v>
      </c>
      <c r="C536">
        <v>71</v>
      </c>
      <c r="D536" s="1" t="s">
        <v>82</v>
      </c>
      <c r="E536" s="1" t="s">
        <v>23</v>
      </c>
      <c r="F536" s="2" t="s">
        <v>3714</v>
      </c>
      <c r="G536" s="1" t="s">
        <v>25</v>
      </c>
      <c r="H536" s="1" t="s">
        <v>78</v>
      </c>
      <c r="I536" s="6">
        <v>44619</v>
      </c>
      <c r="J536" s="7">
        <v>44627</v>
      </c>
      <c r="K536" s="1">
        <v>8</v>
      </c>
      <c r="L536" s="1" t="s">
        <v>231</v>
      </c>
      <c r="M536" s="1" t="s">
        <v>53</v>
      </c>
      <c r="N536" s="1" t="s">
        <v>29</v>
      </c>
      <c r="O536" s="1" t="s">
        <v>55</v>
      </c>
      <c r="P536" s="29">
        <v>63189.21</v>
      </c>
      <c r="Q536" s="1" t="s">
        <v>322</v>
      </c>
      <c r="R536" s="1">
        <v>12</v>
      </c>
      <c r="S536" s="1">
        <v>339</v>
      </c>
      <c r="T536" s="1">
        <v>27.2</v>
      </c>
      <c r="U536" s="1" t="s">
        <v>44</v>
      </c>
      <c r="V536" s="17" t="s">
        <v>45</v>
      </c>
    </row>
    <row r="537" spans="1:22" ht="15" customHeight="1" x14ac:dyDescent="0.25">
      <c r="A537" s="16" t="s">
        <v>1153</v>
      </c>
      <c r="B537" s="3" t="s">
        <v>1154</v>
      </c>
      <c r="C537">
        <v>62</v>
      </c>
      <c r="D537" s="3" t="s">
        <v>59</v>
      </c>
      <c r="E537" s="3" t="s">
        <v>23</v>
      </c>
      <c r="F537" s="3" t="s">
        <v>155</v>
      </c>
      <c r="G537" s="3" t="s">
        <v>163</v>
      </c>
      <c r="H537" s="3" t="s">
        <v>51</v>
      </c>
      <c r="I537" s="8">
        <v>45400</v>
      </c>
      <c r="J537" s="8">
        <v>45402</v>
      </c>
      <c r="K537" s="3">
        <v>2</v>
      </c>
      <c r="L537" s="3" t="s">
        <v>231</v>
      </c>
      <c r="M537" s="3" t="s">
        <v>53</v>
      </c>
      <c r="N537" s="3" t="s">
        <v>346</v>
      </c>
      <c r="O537" s="3" t="s">
        <v>104</v>
      </c>
      <c r="P537" s="30">
        <v>14101.79</v>
      </c>
      <c r="Q537" s="3" t="s">
        <v>257</v>
      </c>
      <c r="R537" s="3">
        <v>6</v>
      </c>
      <c r="S537" s="3">
        <v>139</v>
      </c>
      <c r="T537" s="3">
        <v>26</v>
      </c>
      <c r="U537" s="3" t="s">
        <v>32</v>
      </c>
      <c r="V537" s="18" t="s">
        <v>33</v>
      </c>
    </row>
    <row r="538" spans="1:22" ht="15" customHeight="1" x14ac:dyDescent="0.25">
      <c r="A538" s="15" t="s">
        <v>1155</v>
      </c>
      <c r="B538" s="1" t="s">
        <v>1156</v>
      </c>
      <c r="C538">
        <v>46</v>
      </c>
      <c r="D538" s="1" t="s">
        <v>98</v>
      </c>
      <c r="E538" s="1" t="s">
        <v>48</v>
      </c>
      <c r="F538" s="1" t="s">
        <v>70</v>
      </c>
      <c r="G538" s="1" t="s">
        <v>131</v>
      </c>
      <c r="H538" s="1" t="s">
        <v>26</v>
      </c>
      <c r="I538" s="7">
        <v>44597</v>
      </c>
      <c r="J538" s="7">
        <v>44602</v>
      </c>
      <c r="K538" s="1">
        <v>5</v>
      </c>
      <c r="L538" s="1" t="s">
        <v>112</v>
      </c>
      <c r="M538" s="1" t="s">
        <v>40</v>
      </c>
      <c r="N538" s="1" t="s">
        <v>147</v>
      </c>
      <c r="O538" s="1" t="s">
        <v>30</v>
      </c>
      <c r="P538" s="29">
        <v>7962.92</v>
      </c>
      <c r="Q538" s="1" t="s">
        <v>291</v>
      </c>
      <c r="R538" s="1">
        <v>2</v>
      </c>
      <c r="S538" s="1">
        <v>399</v>
      </c>
      <c r="T538" s="1">
        <v>24.4</v>
      </c>
      <c r="U538" s="1" t="s">
        <v>86</v>
      </c>
      <c r="V538" s="17" t="s">
        <v>33</v>
      </c>
    </row>
    <row r="539" spans="1:22" ht="15" customHeight="1" x14ac:dyDescent="0.25">
      <c r="A539" s="16" t="s">
        <v>1157</v>
      </c>
      <c r="B539" s="2" t="s">
        <v>1945</v>
      </c>
      <c r="C539">
        <v>68</v>
      </c>
      <c r="D539" s="3" t="s">
        <v>82</v>
      </c>
      <c r="E539" s="3" t="s">
        <v>48</v>
      </c>
      <c r="F539" s="3" t="s">
        <v>37</v>
      </c>
      <c r="G539" s="3" t="s">
        <v>77</v>
      </c>
      <c r="H539" s="3" t="s">
        <v>51</v>
      </c>
      <c r="I539" s="8">
        <v>45640</v>
      </c>
      <c r="J539" s="8">
        <v>45646</v>
      </c>
      <c r="K539" s="3">
        <v>6</v>
      </c>
      <c r="L539" s="3" t="s">
        <v>122</v>
      </c>
      <c r="M539" s="3" t="s">
        <v>40</v>
      </c>
      <c r="N539" s="3" t="s">
        <v>94</v>
      </c>
      <c r="O539" s="3" t="s">
        <v>30</v>
      </c>
      <c r="P539" s="30">
        <v>44887.31</v>
      </c>
      <c r="Q539" s="3" t="s">
        <v>85</v>
      </c>
      <c r="R539" s="3">
        <v>10</v>
      </c>
      <c r="S539" s="3">
        <v>133</v>
      </c>
      <c r="T539" s="3">
        <v>33.4</v>
      </c>
      <c r="U539" s="3" t="s">
        <v>32</v>
      </c>
      <c r="V539" s="18" t="s">
        <v>33</v>
      </c>
    </row>
    <row r="540" spans="1:22" ht="15" customHeight="1" x14ac:dyDescent="0.25">
      <c r="A540" s="15" t="s">
        <v>1158</v>
      </c>
      <c r="B540" s="1" t="s">
        <v>1159</v>
      </c>
      <c r="C540">
        <v>41</v>
      </c>
      <c r="D540" s="1" t="s">
        <v>98</v>
      </c>
      <c r="E540" s="1" t="s">
        <v>48</v>
      </c>
      <c r="F540" s="1" t="s">
        <v>24</v>
      </c>
      <c r="G540" s="1" t="s">
        <v>38</v>
      </c>
      <c r="H540" s="1" t="s">
        <v>51</v>
      </c>
      <c r="I540" s="7">
        <v>44070</v>
      </c>
      <c r="J540" s="7">
        <v>44072</v>
      </c>
      <c r="K540" s="1">
        <v>2</v>
      </c>
      <c r="L540" s="1" t="s">
        <v>122</v>
      </c>
      <c r="M540" s="1" t="s">
        <v>40</v>
      </c>
      <c r="N540" s="1" t="s">
        <v>41</v>
      </c>
      <c r="O540" s="1" t="s">
        <v>42</v>
      </c>
      <c r="P540" s="29">
        <v>12517</v>
      </c>
      <c r="Q540" s="1" t="s">
        <v>43</v>
      </c>
      <c r="R540" s="1">
        <v>8</v>
      </c>
      <c r="S540" s="1">
        <v>168</v>
      </c>
      <c r="T540" s="1">
        <v>38.6</v>
      </c>
      <c r="U540" s="1" t="s">
        <v>44</v>
      </c>
      <c r="V540" s="17" t="s">
        <v>45</v>
      </c>
    </row>
    <row r="541" spans="1:22" ht="15" customHeight="1" x14ac:dyDescent="0.25">
      <c r="A541" s="16" t="s">
        <v>1160</v>
      </c>
      <c r="B541" s="3" t="s">
        <v>692</v>
      </c>
      <c r="C541">
        <v>65</v>
      </c>
      <c r="D541" s="3" t="s">
        <v>82</v>
      </c>
      <c r="E541" s="3" t="s">
        <v>23</v>
      </c>
      <c r="F541" s="3" t="s">
        <v>24</v>
      </c>
      <c r="G541" s="3" t="s">
        <v>1161</v>
      </c>
      <c r="H541" s="3" t="s">
        <v>51</v>
      </c>
      <c r="I541" s="8">
        <v>44264</v>
      </c>
      <c r="J541" s="8">
        <v>44273</v>
      </c>
      <c r="K541" s="3">
        <v>9</v>
      </c>
      <c r="L541" s="3" t="s">
        <v>112</v>
      </c>
      <c r="M541" s="3" t="s">
        <v>40</v>
      </c>
      <c r="N541" s="3" t="s">
        <v>248</v>
      </c>
      <c r="O541" s="3" t="s">
        <v>42</v>
      </c>
      <c r="P541" s="30">
        <v>113510.58</v>
      </c>
      <c r="Q541" s="3" t="s">
        <v>31</v>
      </c>
      <c r="R541" s="3">
        <v>12</v>
      </c>
      <c r="S541" s="3">
        <v>199</v>
      </c>
      <c r="T541" s="3">
        <v>31.2</v>
      </c>
      <c r="U541" s="3" t="s">
        <v>44</v>
      </c>
      <c r="V541" s="18" t="s">
        <v>33</v>
      </c>
    </row>
    <row r="542" spans="1:22" ht="15" customHeight="1" x14ac:dyDescent="0.25">
      <c r="A542" s="15" t="s">
        <v>1162</v>
      </c>
      <c r="B542" s="1" t="s">
        <v>1163</v>
      </c>
      <c r="C542">
        <v>72</v>
      </c>
      <c r="D542" s="1" t="s">
        <v>82</v>
      </c>
      <c r="E542" s="1" t="s">
        <v>48</v>
      </c>
      <c r="F542" s="1" t="s">
        <v>24</v>
      </c>
      <c r="G542" s="1" t="s">
        <v>25</v>
      </c>
      <c r="H542" s="1" t="s">
        <v>51</v>
      </c>
      <c r="I542" s="7">
        <v>44339</v>
      </c>
      <c r="J542" s="7">
        <v>44344</v>
      </c>
      <c r="K542" s="1">
        <v>5</v>
      </c>
      <c r="L542" s="1" t="s">
        <v>52</v>
      </c>
      <c r="M542" s="1" t="s">
        <v>53</v>
      </c>
      <c r="N542" s="1" t="s">
        <v>65</v>
      </c>
      <c r="O542" s="1" t="s">
        <v>104</v>
      </c>
      <c r="P542" s="29">
        <v>109706.59</v>
      </c>
      <c r="Q542" s="1" t="s">
        <v>249</v>
      </c>
      <c r="R542" s="1">
        <v>11</v>
      </c>
      <c r="S542" s="1">
        <v>111</v>
      </c>
      <c r="T542" s="1">
        <v>18.8</v>
      </c>
      <c r="U542" s="1" t="s">
        <v>44</v>
      </c>
      <c r="V542" s="17" t="s">
        <v>33</v>
      </c>
    </row>
    <row r="543" spans="1:22" ht="15" customHeight="1" x14ac:dyDescent="0.25">
      <c r="A543" s="16" t="s">
        <v>1164</v>
      </c>
      <c r="B543" s="3" t="s">
        <v>1165</v>
      </c>
      <c r="C543">
        <v>32</v>
      </c>
      <c r="D543" s="3" t="s">
        <v>47</v>
      </c>
      <c r="E543" s="3" t="s">
        <v>23</v>
      </c>
      <c r="F543" s="3" t="s">
        <v>99</v>
      </c>
      <c r="G543" s="3" t="s">
        <v>77</v>
      </c>
      <c r="H543" s="3" t="s">
        <v>51</v>
      </c>
      <c r="I543" s="6">
        <v>43475</v>
      </c>
      <c r="J543" s="8">
        <v>43745</v>
      </c>
      <c r="K543" s="3">
        <v>6</v>
      </c>
      <c r="L543" s="3" t="s">
        <v>185</v>
      </c>
      <c r="M543" s="3" t="s">
        <v>186</v>
      </c>
      <c r="N543" s="3" t="s">
        <v>79</v>
      </c>
      <c r="O543" s="3" t="s">
        <v>42</v>
      </c>
      <c r="P543" s="30">
        <v>33198</v>
      </c>
      <c r="Q543" s="3" t="s">
        <v>181</v>
      </c>
      <c r="R543" s="3">
        <v>10</v>
      </c>
      <c r="S543" s="3">
        <v>156</v>
      </c>
      <c r="T543" s="3">
        <v>23.7</v>
      </c>
      <c r="U543" s="3" t="s">
        <v>86</v>
      </c>
      <c r="V543" s="18" t="s">
        <v>33</v>
      </c>
    </row>
    <row r="544" spans="1:22" ht="15" customHeight="1" x14ac:dyDescent="0.25">
      <c r="A544" s="15" t="s">
        <v>1166</v>
      </c>
      <c r="B544" s="1" t="s">
        <v>1167</v>
      </c>
      <c r="C544">
        <v>39</v>
      </c>
      <c r="D544" s="1" t="s">
        <v>98</v>
      </c>
      <c r="E544" s="1" t="s">
        <v>23</v>
      </c>
      <c r="F544" s="1" t="s">
        <v>155</v>
      </c>
      <c r="G544" s="1" t="s">
        <v>60</v>
      </c>
      <c r="H544" s="1" t="s">
        <v>78</v>
      </c>
      <c r="I544" s="6">
        <v>44883</v>
      </c>
      <c r="J544" s="7">
        <v>44888</v>
      </c>
      <c r="K544" s="1">
        <v>5</v>
      </c>
      <c r="L544" s="1" t="s">
        <v>185</v>
      </c>
      <c r="M544" s="1" t="s">
        <v>186</v>
      </c>
      <c r="N544" s="1" t="s">
        <v>61</v>
      </c>
      <c r="O544" s="1" t="s">
        <v>42</v>
      </c>
      <c r="P544" s="29">
        <v>15237.43</v>
      </c>
      <c r="Q544" s="1" t="s">
        <v>511</v>
      </c>
      <c r="R544" s="1">
        <v>5</v>
      </c>
      <c r="S544" s="1">
        <v>425</v>
      </c>
      <c r="T544" s="1">
        <v>14</v>
      </c>
      <c r="U544" s="1" t="s">
        <v>32</v>
      </c>
      <c r="V544" s="17" t="s">
        <v>33</v>
      </c>
    </row>
    <row r="545" spans="1:22" ht="15" customHeight="1" x14ac:dyDescent="0.25">
      <c r="A545" s="16" t="s">
        <v>1168</v>
      </c>
      <c r="B545" s="3" t="s">
        <v>1169</v>
      </c>
      <c r="C545">
        <v>73</v>
      </c>
      <c r="D545" s="3" t="s">
        <v>82</v>
      </c>
      <c r="E545" s="3" t="s">
        <v>23</v>
      </c>
      <c r="F545" s="3" t="s">
        <v>24</v>
      </c>
      <c r="G545" s="3" t="s">
        <v>77</v>
      </c>
      <c r="H545" s="3" t="s">
        <v>26</v>
      </c>
      <c r="I545" s="8">
        <v>44714</v>
      </c>
      <c r="J545" s="8">
        <v>44736</v>
      </c>
      <c r="K545" s="3">
        <v>22</v>
      </c>
      <c r="L545" s="3" t="s">
        <v>89</v>
      </c>
      <c r="M545" s="3" t="s">
        <v>90</v>
      </c>
      <c r="N545" s="3" t="s">
        <v>79</v>
      </c>
      <c r="O545" s="3" t="s">
        <v>30</v>
      </c>
      <c r="P545" s="30">
        <v>57963.040000000001</v>
      </c>
      <c r="Q545" s="3" t="s">
        <v>181</v>
      </c>
      <c r="R545" s="3">
        <v>10</v>
      </c>
      <c r="S545" s="3">
        <v>360</v>
      </c>
      <c r="T545" s="3">
        <v>33.700000000000003</v>
      </c>
      <c r="U545" s="3" t="s">
        <v>44</v>
      </c>
      <c r="V545" s="18" t="s">
        <v>33</v>
      </c>
    </row>
    <row r="546" spans="1:22" ht="15" customHeight="1" x14ac:dyDescent="0.25">
      <c r="A546" s="15" t="s">
        <v>1170</v>
      </c>
      <c r="B546" s="2" t="s">
        <v>3606</v>
      </c>
      <c r="C546">
        <v>77</v>
      </c>
      <c r="D546" s="1" t="s">
        <v>36</v>
      </c>
      <c r="E546" s="1" t="s">
        <v>23</v>
      </c>
      <c r="F546" s="1" t="s">
        <v>76</v>
      </c>
      <c r="G546" s="1" t="s">
        <v>50</v>
      </c>
      <c r="H546" s="1" t="s">
        <v>26</v>
      </c>
      <c r="I546" s="7">
        <v>44578</v>
      </c>
      <c r="J546" s="7">
        <v>44587</v>
      </c>
      <c r="K546" s="1">
        <v>9</v>
      </c>
      <c r="L546" s="1" t="s">
        <v>52</v>
      </c>
      <c r="M546" s="1" t="s">
        <v>53</v>
      </c>
      <c r="N546" s="1" t="s">
        <v>126</v>
      </c>
      <c r="O546" s="1" t="s">
        <v>42</v>
      </c>
      <c r="P546" s="29">
        <v>58336</v>
      </c>
      <c r="Q546" s="1" t="s">
        <v>85</v>
      </c>
      <c r="R546" s="1">
        <v>9</v>
      </c>
      <c r="S546" s="1">
        <v>384</v>
      </c>
      <c r="T546" s="4"/>
      <c r="U546" s="1" t="s">
        <v>44</v>
      </c>
      <c r="V546" s="17" t="s">
        <v>45</v>
      </c>
    </row>
    <row r="547" spans="1:22" ht="15" customHeight="1" x14ac:dyDescent="0.25">
      <c r="A547" s="16" t="s">
        <v>1171</v>
      </c>
      <c r="B547" s="3" t="s">
        <v>905</v>
      </c>
      <c r="C547">
        <v>71</v>
      </c>
      <c r="D547" s="3" t="s">
        <v>82</v>
      </c>
      <c r="E547" s="3" t="s">
        <v>48</v>
      </c>
      <c r="F547" s="3" t="s">
        <v>76</v>
      </c>
      <c r="G547" s="3" t="s">
        <v>25</v>
      </c>
      <c r="H547" s="3" t="s">
        <v>51</v>
      </c>
      <c r="I547" s="8">
        <v>44233</v>
      </c>
      <c r="J547" s="8">
        <v>44414</v>
      </c>
      <c r="K547" s="3">
        <v>6</v>
      </c>
      <c r="L547" s="3" t="s">
        <v>132</v>
      </c>
      <c r="M547" s="3" t="s">
        <v>53</v>
      </c>
      <c r="N547" s="3" t="s">
        <v>29</v>
      </c>
      <c r="O547" s="3" t="s">
        <v>104</v>
      </c>
      <c r="P547" s="30">
        <v>16714.05</v>
      </c>
      <c r="Q547" s="3" t="s">
        <v>706</v>
      </c>
      <c r="R547" s="3">
        <v>12</v>
      </c>
      <c r="S547" s="3">
        <v>181</v>
      </c>
      <c r="T547" s="3">
        <v>27.2</v>
      </c>
      <c r="U547" s="3" t="s">
        <v>44</v>
      </c>
      <c r="V547" s="18" t="s">
        <v>45</v>
      </c>
    </row>
    <row r="548" spans="1:22" ht="15" customHeight="1" x14ac:dyDescent="0.25">
      <c r="A548" s="15" t="s">
        <v>1172</v>
      </c>
      <c r="B548" s="1" t="s">
        <v>1173</v>
      </c>
      <c r="C548">
        <v>69</v>
      </c>
      <c r="D548" s="1" t="s">
        <v>82</v>
      </c>
      <c r="E548" s="1" t="s">
        <v>23</v>
      </c>
      <c r="F548" s="1" t="s">
        <v>155</v>
      </c>
      <c r="G548" s="1" t="s">
        <v>71</v>
      </c>
      <c r="H548" s="1" t="s">
        <v>26</v>
      </c>
      <c r="I548" s="7">
        <v>43976</v>
      </c>
      <c r="J548" s="10"/>
      <c r="K548" s="1"/>
      <c r="L548" s="1" t="s">
        <v>39</v>
      </c>
      <c r="M548" s="1" t="s">
        <v>40</v>
      </c>
      <c r="N548" s="1" t="s">
        <v>177</v>
      </c>
      <c r="O548" s="1" t="s">
        <v>30</v>
      </c>
      <c r="P548" s="29">
        <v>14806.48</v>
      </c>
      <c r="Q548" s="1" t="s">
        <v>374</v>
      </c>
      <c r="R548" s="1">
        <v>4</v>
      </c>
      <c r="S548" s="1">
        <v>337</v>
      </c>
      <c r="T548" s="1">
        <v>30.2</v>
      </c>
      <c r="U548" s="1" t="s">
        <v>32</v>
      </c>
      <c r="V548" s="17" t="s">
        <v>33</v>
      </c>
    </row>
    <row r="549" spans="1:22" ht="15" customHeight="1" x14ac:dyDescent="0.25">
      <c r="A549" s="16" t="s">
        <v>1174</v>
      </c>
      <c r="B549" s="3" t="s">
        <v>1175</v>
      </c>
      <c r="C549">
        <v>61</v>
      </c>
      <c r="D549" s="3" t="s">
        <v>59</v>
      </c>
      <c r="E549" s="3" t="s">
        <v>23</v>
      </c>
      <c r="F549" s="3" t="s">
        <v>99</v>
      </c>
      <c r="G549" s="3" t="s">
        <v>163</v>
      </c>
      <c r="H549" s="3" t="s">
        <v>78</v>
      </c>
      <c r="I549" s="8">
        <v>45045</v>
      </c>
      <c r="J549" s="8">
        <v>45050</v>
      </c>
      <c r="K549" s="3">
        <v>5</v>
      </c>
      <c r="L549" s="3" t="s">
        <v>89</v>
      </c>
      <c r="M549" s="3" t="s">
        <v>90</v>
      </c>
      <c r="N549" s="3" t="s">
        <v>346</v>
      </c>
      <c r="O549" s="3" t="s">
        <v>55</v>
      </c>
      <c r="P549" s="30">
        <v>26207</v>
      </c>
      <c r="Q549" s="3" t="s">
        <v>257</v>
      </c>
      <c r="R549" s="3">
        <v>5</v>
      </c>
      <c r="S549" s="3">
        <v>195</v>
      </c>
      <c r="T549" s="3">
        <v>32.4</v>
      </c>
      <c r="U549" s="3" t="s">
        <v>32</v>
      </c>
      <c r="V549" s="18" t="s">
        <v>45</v>
      </c>
    </row>
    <row r="550" spans="1:22" ht="15" customHeight="1" x14ac:dyDescent="0.25">
      <c r="A550" s="15" t="s">
        <v>1176</v>
      </c>
      <c r="B550" s="1" t="s">
        <v>1177</v>
      </c>
      <c r="C550">
        <v>67</v>
      </c>
      <c r="D550" s="1" t="s">
        <v>82</v>
      </c>
      <c r="E550" s="1" t="s">
        <v>48</v>
      </c>
      <c r="F550" s="1" t="s">
        <v>24</v>
      </c>
      <c r="G550" s="1" t="s">
        <v>25</v>
      </c>
      <c r="H550" s="1" t="s">
        <v>78</v>
      </c>
      <c r="I550" s="6">
        <v>44287</v>
      </c>
      <c r="J550" s="7">
        <v>44209</v>
      </c>
      <c r="K550" s="1">
        <v>9</v>
      </c>
      <c r="L550" s="1" t="s">
        <v>122</v>
      </c>
      <c r="M550" s="1" t="s">
        <v>40</v>
      </c>
      <c r="N550" s="1" t="s">
        <v>29</v>
      </c>
      <c r="O550" s="1" t="s">
        <v>42</v>
      </c>
      <c r="P550" s="29">
        <v>77653</v>
      </c>
      <c r="Q550" s="1" t="s">
        <v>400</v>
      </c>
      <c r="R550" s="1">
        <v>12</v>
      </c>
      <c r="S550" s="1">
        <v>311</v>
      </c>
      <c r="T550" s="1">
        <v>17.899999999999999</v>
      </c>
      <c r="U550" s="1" t="s">
        <v>44</v>
      </c>
      <c r="V550" s="17" t="s">
        <v>33</v>
      </c>
    </row>
    <row r="551" spans="1:22" ht="15" customHeight="1" x14ac:dyDescent="0.25">
      <c r="A551" s="16" t="s">
        <v>1178</v>
      </c>
      <c r="B551" s="3" t="s">
        <v>720</v>
      </c>
      <c r="C551">
        <v>84</v>
      </c>
      <c r="D551" s="3" t="s">
        <v>36</v>
      </c>
      <c r="E551" s="3" t="s">
        <v>48</v>
      </c>
      <c r="F551" s="3" t="s">
        <v>37</v>
      </c>
      <c r="G551" s="3" t="s">
        <v>163</v>
      </c>
      <c r="H551" s="3" t="s">
        <v>26</v>
      </c>
      <c r="I551" s="8">
        <v>44467</v>
      </c>
      <c r="J551" s="8">
        <v>44472</v>
      </c>
      <c r="K551" s="3">
        <v>5</v>
      </c>
      <c r="L551" s="3" t="s">
        <v>185</v>
      </c>
      <c r="M551" s="3" t="s">
        <v>186</v>
      </c>
      <c r="N551" s="3" t="s">
        <v>164</v>
      </c>
      <c r="O551" s="3" t="s">
        <v>55</v>
      </c>
      <c r="P551" s="30">
        <v>82128</v>
      </c>
      <c r="Q551" s="3" t="s">
        <v>234</v>
      </c>
      <c r="R551" s="3">
        <v>6</v>
      </c>
      <c r="S551" s="3">
        <v>403</v>
      </c>
      <c r="T551" s="3">
        <v>38</v>
      </c>
      <c r="U551" s="3" t="s">
        <v>44</v>
      </c>
      <c r="V551" s="18" t="s">
        <v>33</v>
      </c>
    </row>
    <row r="552" spans="1:22" ht="15" customHeight="1" x14ac:dyDescent="0.25">
      <c r="A552" s="15" t="s">
        <v>1179</v>
      </c>
      <c r="B552" s="1" t="s">
        <v>1180</v>
      </c>
      <c r="C552">
        <v>92</v>
      </c>
      <c r="D552" s="1" t="s">
        <v>36</v>
      </c>
      <c r="E552" s="1" t="s">
        <v>48</v>
      </c>
      <c r="F552" s="1" t="s">
        <v>37</v>
      </c>
      <c r="G552" s="1" t="s">
        <v>38</v>
      </c>
      <c r="H552" s="1" t="s">
        <v>156</v>
      </c>
      <c r="I552" s="7">
        <v>45290</v>
      </c>
      <c r="J552" s="7">
        <v>45293</v>
      </c>
      <c r="K552" s="1">
        <v>3</v>
      </c>
      <c r="L552" s="1" t="s">
        <v>89</v>
      </c>
      <c r="M552" s="1" t="s">
        <v>90</v>
      </c>
      <c r="N552" s="1" t="s">
        <v>203</v>
      </c>
      <c r="O552" s="1" t="s">
        <v>30</v>
      </c>
      <c r="P552" s="29">
        <v>7003.53</v>
      </c>
      <c r="Q552" s="1" t="s">
        <v>236</v>
      </c>
      <c r="R552" s="1">
        <v>8</v>
      </c>
      <c r="S552" s="1">
        <v>119</v>
      </c>
      <c r="T552" s="1">
        <v>25.2</v>
      </c>
      <c r="U552" s="1" t="s">
        <v>44</v>
      </c>
      <c r="V552" s="17" t="s">
        <v>33</v>
      </c>
    </row>
    <row r="553" spans="1:22" ht="15" customHeight="1" x14ac:dyDescent="0.25">
      <c r="A553" s="16" t="s">
        <v>1181</v>
      </c>
      <c r="B553" s="2" t="s">
        <v>3607</v>
      </c>
      <c r="C553">
        <v>56</v>
      </c>
      <c r="D553" s="3" t="s">
        <v>59</v>
      </c>
      <c r="E553" s="3" t="s">
        <v>23</v>
      </c>
      <c r="F553" s="3" t="s">
        <v>155</v>
      </c>
      <c r="G553" s="3" t="s">
        <v>38</v>
      </c>
      <c r="H553" s="3" t="s">
        <v>51</v>
      </c>
      <c r="I553" s="8">
        <v>44172</v>
      </c>
      <c r="J553" s="8">
        <v>44030</v>
      </c>
      <c r="K553" s="3">
        <v>6</v>
      </c>
      <c r="L553" s="3" t="s">
        <v>122</v>
      </c>
      <c r="M553" s="3" t="s">
        <v>40</v>
      </c>
      <c r="N553" s="3" t="s">
        <v>41</v>
      </c>
      <c r="O553" s="3" t="s">
        <v>30</v>
      </c>
      <c r="P553" s="30">
        <v>10852.66</v>
      </c>
      <c r="Q553" s="3" t="s">
        <v>174</v>
      </c>
      <c r="R553" s="3">
        <v>8</v>
      </c>
      <c r="S553" s="3">
        <v>110</v>
      </c>
      <c r="T553" s="3">
        <v>24.9</v>
      </c>
      <c r="U553" s="3" t="s">
        <v>32</v>
      </c>
      <c r="V553" s="18" t="s">
        <v>33</v>
      </c>
    </row>
    <row r="554" spans="1:22" ht="15" customHeight="1" x14ac:dyDescent="0.25">
      <c r="A554" s="15" t="s">
        <v>1182</v>
      </c>
      <c r="B554" s="1" t="s">
        <v>572</v>
      </c>
      <c r="C554">
        <v>59</v>
      </c>
      <c r="D554" s="1" t="s">
        <v>59</v>
      </c>
      <c r="E554" s="1" t="s">
        <v>23</v>
      </c>
      <c r="F554" s="1" t="s">
        <v>70</v>
      </c>
      <c r="G554" s="1" t="s">
        <v>131</v>
      </c>
      <c r="H554" s="1" t="s">
        <v>51</v>
      </c>
      <c r="I554" s="6">
        <v>44357</v>
      </c>
      <c r="J554" s="7">
        <v>44479</v>
      </c>
      <c r="K554" s="1">
        <v>4</v>
      </c>
      <c r="L554" s="1" t="s">
        <v>185</v>
      </c>
      <c r="M554" s="1" t="s">
        <v>186</v>
      </c>
      <c r="N554" s="1" t="s">
        <v>157</v>
      </c>
      <c r="O554" s="1" t="s">
        <v>30</v>
      </c>
      <c r="P554" s="29">
        <v>12035.1</v>
      </c>
      <c r="Q554" s="1" t="s">
        <v>134</v>
      </c>
      <c r="R554" s="1">
        <v>6</v>
      </c>
      <c r="S554" s="1">
        <v>186</v>
      </c>
      <c r="T554" s="1">
        <v>32.4</v>
      </c>
      <c r="U554" s="1" t="s">
        <v>44</v>
      </c>
      <c r="V554" s="17" t="s">
        <v>33</v>
      </c>
    </row>
    <row r="555" spans="1:22" ht="15" customHeight="1" x14ac:dyDescent="0.25">
      <c r="A555" s="16" t="s">
        <v>1183</v>
      </c>
      <c r="B555" s="3" t="s">
        <v>1184</v>
      </c>
      <c r="C555">
        <v>28</v>
      </c>
      <c r="D555" s="3" t="s">
        <v>47</v>
      </c>
      <c r="E555" s="3" t="s">
        <v>48</v>
      </c>
      <c r="F555" s="3" t="s">
        <v>99</v>
      </c>
      <c r="G555" s="3" t="s">
        <v>50</v>
      </c>
      <c r="H555" s="3" t="s">
        <v>26</v>
      </c>
      <c r="I555" s="8">
        <v>43833</v>
      </c>
      <c r="J555" s="8">
        <v>43841</v>
      </c>
      <c r="K555" s="3">
        <v>8</v>
      </c>
      <c r="L555" s="3" t="s">
        <v>102</v>
      </c>
      <c r="M555" s="3" t="s">
        <v>28</v>
      </c>
      <c r="N555" s="3" t="s">
        <v>116</v>
      </c>
      <c r="O555" s="3" t="s">
        <v>42</v>
      </c>
      <c r="P555" s="30">
        <v>31330.67</v>
      </c>
      <c r="Q555" s="3" t="s">
        <v>194</v>
      </c>
      <c r="R555" s="3">
        <v>6</v>
      </c>
      <c r="S555" s="3">
        <v>323</v>
      </c>
      <c r="T555" s="3">
        <v>24.2</v>
      </c>
      <c r="U555" s="3" t="s">
        <v>86</v>
      </c>
      <c r="V555" s="18" t="s">
        <v>33</v>
      </c>
    </row>
    <row r="556" spans="1:22" ht="15" customHeight="1" x14ac:dyDescent="0.25">
      <c r="A556" s="15" t="s">
        <v>1185</v>
      </c>
      <c r="B556" s="1" t="s">
        <v>1186</v>
      </c>
      <c r="C556">
        <v>41</v>
      </c>
      <c r="D556" s="1" t="s">
        <v>98</v>
      </c>
      <c r="E556" s="1" t="s">
        <v>23</v>
      </c>
      <c r="F556" s="1" t="s">
        <v>24</v>
      </c>
      <c r="G556" s="1" t="s">
        <v>71</v>
      </c>
      <c r="H556" s="1" t="s">
        <v>51</v>
      </c>
      <c r="I556" s="6">
        <v>43907</v>
      </c>
      <c r="J556" s="7">
        <v>43910</v>
      </c>
      <c r="K556" s="1">
        <v>3</v>
      </c>
      <c r="L556" s="1" t="s">
        <v>122</v>
      </c>
      <c r="M556" s="1" t="s">
        <v>40</v>
      </c>
      <c r="N556" s="1" t="s">
        <v>312</v>
      </c>
      <c r="O556" s="1" t="s">
        <v>30</v>
      </c>
      <c r="P556" s="29">
        <v>12414.46</v>
      </c>
      <c r="Q556" s="1" t="s">
        <v>178</v>
      </c>
      <c r="R556" s="1">
        <v>5</v>
      </c>
      <c r="S556" s="1">
        <v>131</v>
      </c>
      <c r="T556" s="1">
        <v>20.8</v>
      </c>
      <c r="U556" s="1" t="s">
        <v>32</v>
      </c>
      <c r="V556" s="17" t="s">
        <v>33</v>
      </c>
    </row>
    <row r="557" spans="1:22" ht="15" customHeight="1" x14ac:dyDescent="0.25">
      <c r="A557" s="16" t="s">
        <v>1187</v>
      </c>
      <c r="B557" s="3" t="s">
        <v>1188</v>
      </c>
      <c r="C557">
        <v>23</v>
      </c>
      <c r="D557" s="3" t="s">
        <v>47</v>
      </c>
      <c r="E557" s="3" t="s">
        <v>48</v>
      </c>
      <c r="F557" s="3" t="s">
        <v>99</v>
      </c>
      <c r="G557" s="3" t="s">
        <v>131</v>
      </c>
      <c r="H557" s="3" t="s">
        <v>156</v>
      </c>
      <c r="I557" s="6">
        <v>45209</v>
      </c>
      <c r="J557" s="8">
        <v>45213</v>
      </c>
      <c r="K557" s="3">
        <v>4</v>
      </c>
      <c r="L557" s="3" t="s">
        <v>122</v>
      </c>
      <c r="M557" s="3" t="s">
        <v>40</v>
      </c>
      <c r="N557" s="3" t="s">
        <v>157</v>
      </c>
      <c r="O557" s="3" t="s">
        <v>30</v>
      </c>
      <c r="P557" s="30">
        <v>10377.89</v>
      </c>
      <c r="Q557" s="3" t="s">
        <v>134</v>
      </c>
      <c r="R557" s="3">
        <v>7</v>
      </c>
      <c r="S557" s="3">
        <v>336</v>
      </c>
      <c r="T557" s="3">
        <v>23.6</v>
      </c>
      <c r="U557" s="3" t="s">
        <v>44</v>
      </c>
      <c r="V557" s="18" t="s">
        <v>33</v>
      </c>
    </row>
    <row r="558" spans="1:22" ht="15" customHeight="1" x14ac:dyDescent="0.25">
      <c r="A558" s="15" t="s">
        <v>1189</v>
      </c>
      <c r="B558" s="2" t="s">
        <v>3608</v>
      </c>
      <c r="C558">
        <v>72</v>
      </c>
      <c r="D558" s="1" t="s">
        <v>82</v>
      </c>
      <c r="E558" s="1" t="s">
        <v>23</v>
      </c>
      <c r="F558" s="1" t="s">
        <v>24</v>
      </c>
      <c r="G558" s="1" t="s">
        <v>38</v>
      </c>
      <c r="H558" s="1" t="s">
        <v>26</v>
      </c>
      <c r="I558" s="6">
        <v>44962</v>
      </c>
      <c r="J558" s="7">
        <v>45021</v>
      </c>
      <c r="K558" s="1">
        <v>2</v>
      </c>
      <c r="L558" s="1" t="s">
        <v>52</v>
      </c>
      <c r="M558" s="1" t="s">
        <v>53</v>
      </c>
      <c r="N558" s="1" t="s">
        <v>173</v>
      </c>
      <c r="O558" s="1" t="s">
        <v>66</v>
      </c>
      <c r="P558" s="29">
        <v>59515.96</v>
      </c>
      <c r="Q558" s="1" t="s">
        <v>43</v>
      </c>
      <c r="R558" s="1">
        <v>7</v>
      </c>
      <c r="S558" s="1">
        <v>244</v>
      </c>
      <c r="T558" s="1">
        <v>46.9</v>
      </c>
      <c r="U558" s="1" t="s">
        <v>44</v>
      </c>
      <c r="V558" s="17" t="s">
        <v>45</v>
      </c>
    </row>
    <row r="559" spans="1:22" ht="15" customHeight="1" x14ac:dyDescent="0.25">
      <c r="A559" s="16" t="s">
        <v>1190</v>
      </c>
      <c r="B559" s="3" t="s">
        <v>1191</v>
      </c>
      <c r="C559">
        <v>42</v>
      </c>
      <c r="D559" s="3" t="s">
        <v>98</v>
      </c>
      <c r="E559" s="3" t="s">
        <v>48</v>
      </c>
      <c r="F559" s="3" t="s">
        <v>99</v>
      </c>
      <c r="G559" s="3" t="s">
        <v>77</v>
      </c>
      <c r="H559" s="3" t="s">
        <v>26</v>
      </c>
      <c r="I559" s="8">
        <v>43954</v>
      </c>
      <c r="J559" s="8">
        <v>43972</v>
      </c>
      <c r="K559" s="3">
        <v>18</v>
      </c>
      <c r="L559" s="3" t="s">
        <v>185</v>
      </c>
      <c r="M559" s="3" t="s">
        <v>186</v>
      </c>
      <c r="N559" s="3" t="s">
        <v>94</v>
      </c>
      <c r="O559" s="3" t="s">
        <v>55</v>
      </c>
      <c r="P559" s="30">
        <v>87892.7</v>
      </c>
      <c r="Q559" s="3" t="s">
        <v>123</v>
      </c>
      <c r="R559" s="3">
        <v>10</v>
      </c>
      <c r="S559" s="3">
        <v>376</v>
      </c>
      <c r="T559" s="3">
        <v>35.1</v>
      </c>
      <c r="U559" s="3" t="s">
        <v>44</v>
      </c>
      <c r="V559" s="18" t="s">
        <v>45</v>
      </c>
    </row>
    <row r="560" spans="1:22" ht="15" customHeight="1" x14ac:dyDescent="0.25">
      <c r="A560" s="15" t="s">
        <v>1192</v>
      </c>
      <c r="B560" s="2" t="s">
        <v>3609</v>
      </c>
      <c r="C560">
        <v>67</v>
      </c>
      <c r="D560" s="1" t="s">
        <v>82</v>
      </c>
      <c r="E560" s="1" t="s">
        <v>48</v>
      </c>
      <c r="F560" s="1" t="s">
        <v>83</v>
      </c>
      <c r="G560" s="1" t="s">
        <v>25</v>
      </c>
      <c r="H560" s="1" t="s">
        <v>51</v>
      </c>
      <c r="I560" s="7">
        <v>44508</v>
      </c>
      <c r="J560" s="7">
        <v>44516</v>
      </c>
      <c r="K560" s="1">
        <v>8</v>
      </c>
      <c r="L560" s="1" t="s">
        <v>112</v>
      </c>
      <c r="M560" s="1" t="s">
        <v>40</v>
      </c>
      <c r="N560" s="1" t="s">
        <v>248</v>
      </c>
      <c r="O560" s="1" t="s">
        <v>30</v>
      </c>
      <c r="P560" s="29">
        <v>39832.39</v>
      </c>
      <c r="Q560" s="1" t="s">
        <v>67</v>
      </c>
      <c r="R560" s="1">
        <v>12</v>
      </c>
      <c r="S560" s="1">
        <v>194</v>
      </c>
      <c r="T560" s="1">
        <v>16.5</v>
      </c>
      <c r="U560" s="1" t="s">
        <v>44</v>
      </c>
      <c r="V560" s="17" t="s">
        <v>33</v>
      </c>
    </row>
    <row r="561" spans="1:22" ht="15" customHeight="1" x14ac:dyDescent="0.25">
      <c r="A561" s="16" t="s">
        <v>1193</v>
      </c>
      <c r="B561" s="3" t="s">
        <v>1194</v>
      </c>
      <c r="C561">
        <v>62</v>
      </c>
      <c r="D561" s="3" t="s">
        <v>59</v>
      </c>
      <c r="E561" s="3" t="s">
        <v>48</v>
      </c>
      <c r="F561" s="3" t="s">
        <v>70</v>
      </c>
      <c r="G561" s="3" t="s">
        <v>60</v>
      </c>
      <c r="H561" s="3" t="s">
        <v>156</v>
      </c>
      <c r="I561" s="8">
        <v>43514</v>
      </c>
      <c r="J561" s="8">
        <v>43520</v>
      </c>
      <c r="K561" s="3">
        <v>6</v>
      </c>
      <c r="L561" s="3" t="s">
        <v>27</v>
      </c>
      <c r="M561" s="3" t="s">
        <v>28</v>
      </c>
      <c r="N561" s="3" t="s">
        <v>61</v>
      </c>
      <c r="O561" s="3" t="s">
        <v>104</v>
      </c>
      <c r="P561" s="30">
        <v>19744.439999999999</v>
      </c>
      <c r="Q561" s="3" t="s">
        <v>137</v>
      </c>
      <c r="R561" s="3">
        <v>6</v>
      </c>
      <c r="S561" s="3">
        <v>181</v>
      </c>
      <c r="T561" s="3">
        <v>34.799999999999997</v>
      </c>
      <c r="U561" s="3" t="s">
        <v>44</v>
      </c>
      <c r="V561" s="18" t="s">
        <v>33</v>
      </c>
    </row>
    <row r="562" spans="1:22" ht="15" customHeight="1" x14ac:dyDescent="0.25">
      <c r="A562" s="15" t="s">
        <v>1195</v>
      </c>
      <c r="B562" s="1" t="s">
        <v>1196</v>
      </c>
      <c r="C562">
        <v>50</v>
      </c>
      <c r="D562" s="1" t="s">
        <v>98</v>
      </c>
      <c r="E562" s="1" t="s">
        <v>23</v>
      </c>
      <c r="F562" s="1" t="s">
        <v>24</v>
      </c>
      <c r="G562" s="1" t="s">
        <v>77</v>
      </c>
      <c r="H562" s="1" t="s">
        <v>78</v>
      </c>
      <c r="I562" s="7">
        <v>43808</v>
      </c>
      <c r="J562" s="7">
        <v>43814</v>
      </c>
      <c r="K562" s="1">
        <v>6</v>
      </c>
      <c r="L562" s="1" t="s">
        <v>52</v>
      </c>
      <c r="M562" s="1" t="s">
        <v>53</v>
      </c>
      <c r="N562" s="1" t="s">
        <v>94</v>
      </c>
      <c r="O562" s="1" t="s">
        <v>30</v>
      </c>
      <c r="P562" s="29">
        <v>20382</v>
      </c>
      <c r="Q562" s="1" t="s">
        <v>85</v>
      </c>
      <c r="R562" s="1">
        <v>10</v>
      </c>
      <c r="S562" s="1">
        <v>305</v>
      </c>
      <c r="T562" s="1">
        <v>31.3</v>
      </c>
      <c r="U562" s="1" t="s">
        <v>86</v>
      </c>
      <c r="V562" s="17" t="s">
        <v>33</v>
      </c>
    </row>
    <row r="563" spans="1:22" ht="15" customHeight="1" x14ac:dyDescent="0.25">
      <c r="A563" s="16" t="s">
        <v>1197</v>
      </c>
      <c r="B563" s="3" t="s">
        <v>1198</v>
      </c>
      <c r="C563">
        <v>67</v>
      </c>
      <c r="D563" s="3" t="s">
        <v>82</v>
      </c>
      <c r="E563" s="3" t="s">
        <v>48</v>
      </c>
      <c r="F563" s="3" t="s">
        <v>83</v>
      </c>
      <c r="G563" s="3" t="s">
        <v>50</v>
      </c>
      <c r="H563" s="3" t="s">
        <v>26</v>
      </c>
      <c r="I563" s="6">
        <v>44527</v>
      </c>
      <c r="J563" s="8">
        <v>44540</v>
      </c>
      <c r="K563" s="3">
        <v>13</v>
      </c>
      <c r="L563" s="3" t="s">
        <v>112</v>
      </c>
      <c r="M563" s="3" t="s">
        <v>40</v>
      </c>
      <c r="N563" s="3" t="s">
        <v>54</v>
      </c>
      <c r="O563" s="3" t="s">
        <v>30</v>
      </c>
      <c r="P563" s="30">
        <v>53864.82</v>
      </c>
      <c r="Q563" s="3" t="s">
        <v>279</v>
      </c>
      <c r="R563" s="3">
        <v>9</v>
      </c>
      <c r="S563" s="3">
        <v>308</v>
      </c>
      <c r="T563" s="3">
        <v>32.200000000000003</v>
      </c>
      <c r="U563" s="3" t="s">
        <v>44</v>
      </c>
      <c r="V563" s="18" t="s">
        <v>33</v>
      </c>
    </row>
    <row r="564" spans="1:22" ht="15" customHeight="1" x14ac:dyDescent="0.25">
      <c r="A564" s="15" t="s">
        <v>1199</v>
      </c>
      <c r="B564" s="1" t="s">
        <v>1200</v>
      </c>
      <c r="C564">
        <v>77</v>
      </c>
      <c r="D564" s="1" t="s">
        <v>36</v>
      </c>
      <c r="E564" s="1" t="s">
        <v>23</v>
      </c>
      <c r="F564" s="1" t="s">
        <v>76</v>
      </c>
      <c r="G564" s="1" t="s">
        <v>77</v>
      </c>
      <c r="H564" s="1" t="s">
        <v>78</v>
      </c>
      <c r="I564" s="6">
        <v>45481</v>
      </c>
      <c r="J564" s="7">
        <v>45634</v>
      </c>
      <c r="K564" s="1">
        <v>5</v>
      </c>
      <c r="L564" s="1" t="s">
        <v>185</v>
      </c>
      <c r="M564" s="1" t="s">
        <v>186</v>
      </c>
      <c r="N564" s="1" t="s">
        <v>79</v>
      </c>
      <c r="O564" s="1" t="s">
        <v>42</v>
      </c>
      <c r="P564" s="29">
        <v>62400.800000000003</v>
      </c>
      <c r="Q564" s="1" t="s">
        <v>95</v>
      </c>
      <c r="R564" s="1">
        <v>10</v>
      </c>
      <c r="S564" s="1">
        <v>260</v>
      </c>
      <c r="T564" s="1">
        <v>23.2</v>
      </c>
      <c r="U564" s="1" t="s">
        <v>44</v>
      </c>
      <c r="V564" s="17" t="s">
        <v>33</v>
      </c>
    </row>
    <row r="565" spans="1:22" ht="15" customHeight="1" x14ac:dyDescent="0.25">
      <c r="A565" s="16" t="s">
        <v>1201</v>
      </c>
      <c r="B565" s="3" t="s">
        <v>1202</v>
      </c>
      <c r="C565">
        <v>61</v>
      </c>
      <c r="D565" s="3" t="s">
        <v>59</v>
      </c>
      <c r="E565" s="3" t="s">
        <v>48</v>
      </c>
      <c r="F565" s="3" t="s">
        <v>99</v>
      </c>
      <c r="G565" s="3" t="s">
        <v>25</v>
      </c>
      <c r="H565" s="3" t="s">
        <v>26</v>
      </c>
      <c r="I565" s="6">
        <v>44043</v>
      </c>
      <c r="J565" s="8">
        <v>44067</v>
      </c>
      <c r="K565" s="3">
        <v>24</v>
      </c>
      <c r="L565" s="3" t="s">
        <v>112</v>
      </c>
      <c r="M565" s="3" t="s">
        <v>40</v>
      </c>
      <c r="N565" s="3" t="s">
        <v>248</v>
      </c>
      <c r="O565" s="3" t="s">
        <v>30</v>
      </c>
      <c r="P565" s="30">
        <v>56541.37</v>
      </c>
      <c r="Q565" s="3" t="s">
        <v>269</v>
      </c>
      <c r="R565" s="3">
        <v>12</v>
      </c>
      <c r="S565" s="3">
        <v>390</v>
      </c>
      <c r="T565" s="3">
        <v>24.7</v>
      </c>
      <c r="U565" s="3" t="s">
        <v>44</v>
      </c>
      <c r="V565" s="18" t="s">
        <v>33</v>
      </c>
    </row>
    <row r="566" spans="1:22" ht="15" customHeight="1" x14ac:dyDescent="0.25">
      <c r="A566" s="15" t="s">
        <v>1203</v>
      </c>
      <c r="B566" s="1" t="s">
        <v>1204</v>
      </c>
      <c r="C566">
        <v>67</v>
      </c>
      <c r="D566" s="1" t="s">
        <v>82</v>
      </c>
      <c r="E566" s="1" t="s">
        <v>48</v>
      </c>
      <c r="F566" s="1" t="s">
        <v>24</v>
      </c>
      <c r="G566" s="1" t="s">
        <v>38</v>
      </c>
      <c r="H566" s="1" t="s">
        <v>26</v>
      </c>
      <c r="I566" s="6">
        <v>44124</v>
      </c>
      <c r="J566" s="7">
        <v>44131</v>
      </c>
      <c r="K566" s="1">
        <v>7</v>
      </c>
      <c r="L566" s="1" t="s">
        <v>52</v>
      </c>
      <c r="M566" s="1" t="s">
        <v>53</v>
      </c>
      <c r="N566" s="1" t="s">
        <v>41</v>
      </c>
      <c r="O566" s="1" t="s">
        <v>30</v>
      </c>
      <c r="P566" s="29">
        <v>25592.3</v>
      </c>
      <c r="Q566" s="1" t="s">
        <v>567</v>
      </c>
      <c r="R566" s="1">
        <v>8</v>
      </c>
      <c r="S566" s="1">
        <v>196</v>
      </c>
      <c r="T566" s="1">
        <v>27.9</v>
      </c>
      <c r="U566" s="1" t="s">
        <v>32</v>
      </c>
      <c r="V566" s="17" t="s">
        <v>45</v>
      </c>
    </row>
    <row r="567" spans="1:22" ht="15" customHeight="1" x14ac:dyDescent="0.25">
      <c r="A567" s="16" t="s">
        <v>1205</v>
      </c>
      <c r="B567" s="3" t="s">
        <v>1206</v>
      </c>
      <c r="C567">
        <v>42</v>
      </c>
      <c r="D567" s="3" t="s">
        <v>98</v>
      </c>
      <c r="E567" s="3" t="s">
        <v>48</v>
      </c>
      <c r="F567" s="3" t="s">
        <v>83</v>
      </c>
      <c r="G567" s="3" t="s">
        <v>131</v>
      </c>
      <c r="H567" s="3" t="s">
        <v>26</v>
      </c>
      <c r="I567" s="6">
        <v>44166</v>
      </c>
      <c r="J567" s="8">
        <v>44086</v>
      </c>
      <c r="K567" s="3">
        <v>8</v>
      </c>
      <c r="L567" s="3" t="s">
        <v>39</v>
      </c>
      <c r="M567" s="3" t="s">
        <v>40</v>
      </c>
      <c r="N567" s="3" t="s">
        <v>157</v>
      </c>
      <c r="O567" s="3" t="s">
        <v>42</v>
      </c>
      <c r="P567" s="30">
        <v>19561.25</v>
      </c>
      <c r="Q567" s="3" t="s">
        <v>695</v>
      </c>
      <c r="R567" s="3">
        <v>7</v>
      </c>
      <c r="S567" s="3">
        <v>378</v>
      </c>
      <c r="T567" s="3">
        <v>33.700000000000003</v>
      </c>
      <c r="U567" s="3" t="s">
        <v>86</v>
      </c>
      <c r="V567" s="18" t="s">
        <v>33</v>
      </c>
    </row>
    <row r="568" spans="1:22" ht="15" customHeight="1" x14ac:dyDescent="0.25">
      <c r="A568" s="15" t="s">
        <v>1207</v>
      </c>
      <c r="B568" s="1" t="s">
        <v>498</v>
      </c>
      <c r="C568">
        <v>88</v>
      </c>
      <c r="D568" s="1" t="s">
        <v>36</v>
      </c>
      <c r="E568" s="1" t="s">
        <v>48</v>
      </c>
      <c r="F568" s="1" t="s">
        <v>83</v>
      </c>
      <c r="G568" s="1" t="s">
        <v>77</v>
      </c>
      <c r="H568" s="1" t="s">
        <v>78</v>
      </c>
      <c r="I568" s="6">
        <v>45114</v>
      </c>
      <c r="J568" s="7">
        <v>45120</v>
      </c>
      <c r="K568" s="1">
        <v>6</v>
      </c>
      <c r="L568" s="1" t="s">
        <v>185</v>
      </c>
      <c r="M568" s="1" t="s">
        <v>186</v>
      </c>
      <c r="N568" s="1" t="s">
        <v>84</v>
      </c>
      <c r="O568" s="1" t="s">
        <v>55</v>
      </c>
      <c r="P568" s="29">
        <v>36966.620000000003</v>
      </c>
      <c r="Q568" s="1" t="s">
        <v>592</v>
      </c>
      <c r="R568" s="1">
        <v>10</v>
      </c>
      <c r="S568" s="1">
        <v>407</v>
      </c>
      <c r="T568" s="1">
        <v>35.200000000000003</v>
      </c>
      <c r="U568" s="1" t="s">
        <v>86</v>
      </c>
      <c r="V568" s="17" t="s">
        <v>33</v>
      </c>
    </row>
    <row r="569" spans="1:22" ht="15" customHeight="1" x14ac:dyDescent="0.25">
      <c r="A569" s="16" t="s">
        <v>1208</v>
      </c>
      <c r="B569" s="3" t="s">
        <v>1209</v>
      </c>
      <c r="C569">
        <v>65</v>
      </c>
      <c r="D569" s="3" t="s">
        <v>82</v>
      </c>
      <c r="E569" s="3" t="s">
        <v>23</v>
      </c>
      <c r="F569" s="3" t="s">
        <v>24</v>
      </c>
      <c r="G569" s="3" t="s">
        <v>163</v>
      </c>
      <c r="H569" s="3" t="s">
        <v>51</v>
      </c>
      <c r="I569" s="6">
        <v>44150</v>
      </c>
      <c r="J569" s="8">
        <v>44154</v>
      </c>
      <c r="K569" s="3">
        <v>4</v>
      </c>
      <c r="L569" s="3" t="s">
        <v>122</v>
      </c>
      <c r="M569" s="3" t="s">
        <v>40</v>
      </c>
      <c r="N569" s="3" t="s">
        <v>213</v>
      </c>
      <c r="O569" s="3" t="s">
        <v>104</v>
      </c>
      <c r="P569" s="30">
        <v>13431.34</v>
      </c>
      <c r="Q569" s="3" t="s">
        <v>234</v>
      </c>
      <c r="R569" s="3">
        <v>3</v>
      </c>
      <c r="S569" s="3">
        <v>174</v>
      </c>
      <c r="T569" s="3">
        <v>28.8</v>
      </c>
      <c r="U569" s="3" t="s">
        <v>44</v>
      </c>
      <c r="V569" s="18" t="s">
        <v>33</v>
      </c>
    </row>
    <row r="570" spans="1:22" ht="15" customHeight="1" x14ac:dyDescent="0.25">
      <c r="A570" s="15" t="s">
        <v>1210</v>
      </c>
      <c r="B570" s="1" t="s">
        <v>872</v>
      </c>
      <c r="C570">
        <v>67</v>
      </c>
      <c r="D570" s="1" t="s">
        <v>82</v>
      </c>
      <c r="E570" s="1" t="s">
        <v>48</v>
      </c>
      <c r="F570" s="1" t="s">
        <v>70</v>
      </c>
      <c r="G570" s="1" t="s">
        <v>131</v>
      </c>
      <c r="H570" s="1" t="s">
        <v>51</v>
      </c>
      <c r="I570" s="7">
        <v>45652</v>
      </c>
      <c r="J570" s="7">
        <v>45656</v>
      </c>
      <c r="K570" s="1">
        <v>4</v>
      </c>
      <c r="L570" s="1" t="s">
        <v>112</v>
      </c>
      <c r="M570" s="1" t="s">
        <v>40</v>
      </c>
      <c r="N570" s="1" t="s">
        <v>133</v>
      </c>
      <c r="O570" s="1" t="s">
        <v>42</v>
      </c>
      <c r="P570" s="29">
        <v>20262.11</v>
      </c>
      <c r="Q570" s="1" t="s">
        <v>152</v>
      </c>
      <c r="R570" s="1">
        <v>5</v>
      </c>
      <c r="S570" s="1">
        <v>197</v>
      </c>
      <c r="T570" s="1">
        <v>25.1</v>
      </c>
      <c r="U570" s="1" t="s">
        <v>32</v>
      </c>
      <c r="V570" s="17" t="s">
        <v>33</v>
      </c>
    </row>
    <row r="571" spans="1:22" ht="15" customHeight="1" x14ac:dyDescent="0.25">
      <c r="A571" s="16" t="s">
        <v>1211</v>
      </c>
      <c r="B571" s="3" t="s">
        <v>1212</v>
      </c>
      <c r="C571">
        <v>10</v>
      </c>
      <c r="D571" s="3" t="s">
        <v>22</v>
      </c>
      <c r="E571" s="3" t="s">
        <v>48</v>
      </c>
      <c r="F571" s="3" t="s">
        <v>83</v>
      </c>
      <c r="G571" s="3" t="s">
        <v>71</v>
      </c>
      <c r="H571" s="3" t="s">
        <v>78</v>
      </c>
      <c r="I571" s="8">
        <v>45089</v>
      </c>
      <c r="J571" s="8">
        <v>45091</v>
      </c>
      <c r="K571" s="3">
        <v>2</v>
      </c>
      <c r="L571" s="3" t="s">
        <v>52</v>
      </c>
      <c r="M571" s="3" t="s">
        <v>53</v>
      </c>
      <c r="N571" s="3" t="s">
        <v>177</v>
      </c>
      <c r="O571" s="3" t="s">
        <v>66</v>
      </c>
      <c r="P571" s="30">
        <v>13369.07</v>
      </c>
      <c r="Q571" s="3" t="s">
        <v>503</v>
      </c>
      <c r="R571" s="3">
        <v>5</v>
      </c>
      <c r="S571" s="3">
        <v>254</v>
      </c>
      <c r="T571" s="3">
        <v>30.5</v>
      </c>
      <c r="U571" s="3" t="s">
        <v>86</v>
      </c>
      <c r="V571" s="18" t="s">
        <v>33</v>
      </c>
    </row>
    <row r="572" spans="1:22" ht="15" customHeight="1" x14ac:dyDescent="0.25">
      <c r="A572" s="15" t="s">
        <v>1213</v>
      </c>
      <c r="B572" s="1" t="s">
        <v>1214</v>
      </c>
      <c r="C572">
        <v>85</v>
      </c>
      <c r="D572" s="1" t="s">
        <v>36</v>
      </c>
      <c r="E572" s="1" t="s">
        <v>23</v>
      </c>
      <c r="F572" s="1" t="s">
        <v>37</v>
      </c>
      <c r="G572" s="1" t="s">
        <v>417</v>
      </c>
      <c r="H572" s="1" t="s">
        <v>51</v>
      </c>
      <c r="I572" s="6">
        <v>44148</v>
      </c>
      <c r="J572" s="7">
        <v>44152</v>
      </c>
      <c r="K572" s="1">
        <v>4</v>
      </c>
      <c r="L572" s="1" t="s">
        <v>52</v>
      </c>
      <c r="M572" s="1" t="s">
        <v>53</v>
      </c>
      <c r="N572" s="1" t="s">
        <v>41</v>
      </c>
      <c r="O572" s="1" t="s">
        <v>42</v>
      </c>
      <c r="P572" s="29">
        <v>13708.37</v>
      </c>
      <c r="Q572" s="1" t="s">
        <v>204</v>
      </c>
      <c r="R572" s="1">
        <v>8</v>
      </c>
      <c r="S572" s="1">
        <v>145</v>
      </c>
      <c r="T572" s="1">
        <v>28.5</v>
      </c>
      <c r="U572" s="1" t="s">
        <v>44</v>
      </c>
      <c r="V572" s="17" t="s">
        <v>45</v>
      </c>
    </row>
    <row r="573" spans="1:22" ht="15" customHeight="1" x14ac:dyDescent="0.25">
      <c r="A573" s="16" t="s">
        <v>1215</v>
      </c>
      <c r="B573" s="3" t="s">
        <v>1216</v>
      </c>
      <c r="C573">
        <v>68</v>
      </c>
      <c r="D573" s="3" t="s">
        <v>82</v>
      </c>
      <c r="E573" s="3" t="s">
        <v>48</v>
      </c>
      <c r="F573" s="3" t="s">
        <v>70</v>
      </c>
      <c r="G573" s="3" t="s">
        <v>71</v>
      </c>
      <c r="H573" s="3" t="s">
        <v>78</v>
      </c>
      <c r="I573" s="6">
        <v>44420</v>
      </c>
      <c r="J573" s="8">
        <v>44543</v>
      </c>
      <c r="K573" s="3">
        <v>5</v>
      </c>
      <c r="L573" s="3" t="s">
        <v>27</v>
      </c>
      <c r="M573" s="3" t="s">
        <v>28</v>
      </c>
      <c r="N573" s="3" t="s">
        <v>312</v>
      </c>
      <c r="O573" s="3" t="s">
        <v>42</v>
      </c>
      <c r="P573" s="30">
        <v>16018.27</v>
      </c>
      <c r="Q573" s="3" t="s">
        <v>73</v>
      </c>
      <c r="R573" s="3">
        <v>5</v>
      </c>
      <c r="S573" s="3">
        <v>152</v>
      </c>
      <c r="T573" s="3">
        <v>14</v>
      </c>
      <c r="U573" s="3" t="s">
        <v>44</v>
      </c>
      <c r="V573" s="18" t="s">
        <v>45</v>
      </c>
    </row>
    <row r="574" spans="1:22" ht="15" customHeight="1" x14ac:dyDescent="0.25">
      <c r="A574" s="15" t="s">
        <v>1217</v>
      </c>
      <c r="B574" s="1" t="s">
        <v>1218</v>
      </c>
      <c r="C574">
        <v>13</v>
      </c>
      <c r="D574" s="1" t="s">
        <v>22</v>
      </c>
      <c r="E574" s="1" t="s">
        <v>23</v>
      </c>
      <c r="F574" s="1" t="s">
        <v>155</v>
      </c>
      <c r="G574" s="1" t="s">
        <v>587</v>
      </c>
      <c r="H574" s="1" t="s">
        <v>51</v>
      </c>
      <c r="I574" s="7">
        <v>44671</v>
      </c>
      <c r="J574" s="7">
        <v>44566</v>
      </c>
      <c r="K574" s="1">
        <v>11</v>
      </c>
      <c r="L574" s="1" t="s">
        <v>52</v>
      </c>
      <c r="M574" s="1" t="s">
        <v>53</v>
      </c>
      <c r="N574" s="1" t="s">
        <v>29</v>
      </c>
      <c r="O574" s="1" t="s">
        <v>30</v>
      </c>
      <c r="P574" s="29">
        <v>27537.96</v>
      </c>
      <c r="Q574" s="1" t="s">
        <v>31</v>
      </c>
      <c r="R574" s="1">
        <v>12</v>
      </c>
      <c r="S574" s="1">
        <v>132</v>
      </c>
      <c r="T574" s="1">
        <v>24.4</v>
      </c>
      <c r="U574" s="1" t="s">
        <v>44</v>
      </c>
      <c r="V574" s="17" t="s">
        <v>33</v>
      </c>
    </row>
    <row r="575" spans="1:22" ht="15" customHeight="1" x14ac:dyDescent="0.25">
      <c r="A575" s="16" t="s">
        <v>1219</v>
      </c>
      <c r="B575" s="3" t="s">
        <v>372</v>
      </c>
      <c r="C575">
        <v>71</v>
      </c>
      <c r="D575" s="3" t="s">
        <v>82</v>
      </c>
      <c r="E575" s="3" t="s">
        <v>48</v>
      </c>
      <c r="F575" s="3" t="s">
        <v>99</v>
      </c>
      <c r="G575" s="3" t="s">
        <v>38</v>
      </c>
      <c r="H575" s="3" t="s">
        <v>26</v>
      </c>
      <c r="I575" s="8">
        <v>44791</v>
      </c>
      <c r="J575" s="8">
        <v>44802</v>
      </c>
      <c r="K575" s="3">
        <v>11</v>
      </c>
      <c r="L575" s="3" t="s">
        <v>122</v>
      </c>
      <c r="M575" s="3" t="s">
        <v>40</v>
      </c>
      <c r="N575" s="3" t="s">
        <v>203</v>
      </c>
      <c r="O575" s="3" t="s">
        <v>104</v>
      </c>
      <c r="P575" s="30">
        <v>24028.95</v>
      </c>
      <c r="Q575" s="3" t="s">
        <v>567</v>
      </c>
      <c r="R575" s="3">
        <v>8</v>
      </c>
      <c r="S575" s="3">
        <v>232</v>
      </c>
      <c r="T575" s="3">
        <v>44.9</v>
      </c>
      <c r="U575" s="3" t="s">
        <v>44</v>
      </c>
      <c r="V575" s="18" t="s">
        <v>45</v>
      </c>
    </row>
    <row r="576" spans="1:22" ht="15" customHeight="1" x14ac:dyDescent="0.25">
      <c r="A576" s="15" t="s">
        <v>1220</v>
      </c>
      <c r="B576" s="1" t="s">
        <v>434</v>
      </c>
      <c r="C576">
        <v>70</v>
      </c>
      <c r="D576" s="1" t="s">
        <v>82</v>
      </c>
      <c r="E576" s="1" t="s">
        <v>23</v>
      </c>
      <c r="F576" s="1" t="s">
        <v>49</v>
      </c>
      <c r="G576" s="1" t="s">
        <v>25</v>
      </c>
      <c r="H576" s="1" t="s">
        <v>51</v>
      </c>
      <c r="I576" s="6">
        <v>44507</v>
      </c>
      <c r="J576" s="7">
        <v>44397</v>
      </c>
      <c r="K576" s="1">
        <v>9</v>
      </c>
      <c r="L576" s="1" t="s">
        <v>112</v>
      </c>
      <c r="M576" s="1" t="s">
        <v>40</v>
      </c>
      <c r="N576" s="1" t="s">
        <v>29</v>
      </c>
      <c r="O576" s="1" t="s">
        <v>30</v>
      </c>
      <c r="P576" s="29">
        <v>47816.7</v>
      </c>
      <c r="Q576" s="1" t="s">
        <v>269</v>
      </c>
      <c r="R576" s="1">
        <v>12</v>
      </c>
      <c r="S576" s="1">
        <v>199</v>
      </c>
      <c r="T576" s="1">
        <v>16.7</v>
      </c>
      <c r="U576" s="1" t="s">
        <v>44</v>
      </c>
      <c r="V576" s="17" t="s">
        <v>33</v>
      </c>
    </row>
    <row r="577" spans="1:22" ht="15" customHeight="1" x14ac:dyDescent="0.25">
      <c r="A577" s="16" t="s">
        <v>1221</v>
      </c>
      <c r="B577" s="3" t="s">
        <v>1222</v>
      </c>
      <c r="C577">
        <v>73</v>
      </c>
      <c r="D577" s="3" t="s">
        <v>82</v>
      </c>
      <c r="E577" s="3" t="s">
        <v>48</v>
      </c>
      <c r="F577" s="3" t="s">
        <v>155</v>
      </c>
      <c r="G577" s="3" t="s">
        <v>77</v>
      </c>
      <c r="H577" s="3" t="s">
        <v>26</v>
      </c>
      <c r="I577" s="8">
        <v>44536</v>
      </c>
      <c r="J577" s="8">
        <v>44548</v>
      </c>
      <c r="K577" s="3">
        <v>12</v>
      </c>
      <c r="L577" s="3" t="s">
        <v>39</v>
      </c>
      <c r="M577" s="3" t="s">
        <v>40</v>
      </c>
      <c r="N577" s="3" t="s">
        <v>94</v>
      </c>
      <c r="O577" s="3" t="s">
        <v>42</v>
      </c>
      <c r="P577" s="30">
        <v>84047.05</v>
      </c>
      <c r="Q577" s="3" t="s">
        <v>123</v>
      </c>
      <c r="R577" s="3">
        <v>9</v>
      </c>
      <c r="S577" s="3">
        <v>357</v>
      </c>
      <c r="T577" s="3">
        <v>35.1</v>
      </c>
      <c r="U577" s="3" t="s">
        <v>44</v>
      </c>
      <c r="V577" s="18" t="s">
        <v>45</v>
      </c>
    </row>
    <row r="578" spans="1:22" ht="15" customHeight="1" x14ac:dyDescent="0.25">
      <c r="A578" s="15" t="s">
        <v>1223</v>
      </c>
      <c r="B578" s="1" t="s">
        <v>1224</v>
      </c>
      <c r="C578">
        <v>39</v>
      </c>
      <c r="D578" s="1" t="s">
        <v>98</v>
      </c>
      <c r="E578" s="1" t="s">
        <v>23</v>
      </c>
      <c r="F578" s="1" t="s">
        <v>37</v>
      </c>
      <c r="G578" s="1" t="s">
        <v>131</v>
      </c>
      <c r="H578" s="1" t="s">
        <v>51</v>
      </c>
      <c r="I578" s="7">
        <v>45347</v>
      </c>
      <c r="J578" s="7">
        <v>45294</v>
      </c>
      <c r="K578" s="1">
        <v>5</v>
      </c>
      <c r="L578" s="1" t="s">
        <v>132</v>
      </c>
      <c r="M578" s="1" t="s">
        <v>53</v>
      </c>
      <c r="N578" s="1" t="s">
        <v>133</v>
      </c>
      <c r="O578" s="1" t="s">
        <v>30</v>
      </c>
      <c r="P578" s="29">
        <v>12629.48</v>
      </c>
      <c r="Q578" s="1" t="s">
        <v>148</v>
      </c>
      <c r="R578" s="1">
        <v>6</v>
      </c>
      <c r="S578" s="1">
        <v>165</v>
      </c>
      <c r="T578" s="1">
        <v>29.7</v>
      </c>
      <c r="U578" s="1" t="s">
        <v>32</v>
      </c>
      <c r="V578" s="17" t="s">
        <v>33</v>
      </c>
    </row>
    <row r="579" spans="1:22" ht="15" customHeight="1" x14ac:dyDescent="0.25">
      <c r="A579" s="16" t="s">
        <v>1225</v>
      </c>
      <c r="B579" s="2" t="s">
        <v>3610</v>
      </c>
      <c r="C579">
        <v>23</v>
      </c>
      <c r="D579" s="3" t="s">
        <v>47</v>
      </c>
      <c r="E579" s="3" t="s">
        <v>23</v>
      </c>
      <c r="F579" s="3" t="s">
        <v>24</v>
      </c>
      <c r="G579" s="3" t="s">
        <v>71</v>
      </c>
      <c r="H579" s="3" t="s">
        <v>26</v>
      </c>
      <c r="I579" s="8">
        <v>44209</v>
      </c>
      <c r="J579" s="8">
        <v>44211</v>
      </c>
      <c r="K579" s="3">
        <v>2</v>
      </c>
      <c r="L579" s="3" t="s">
        <v>27</v>
      </c>
      <c r="M579" s="3" t="s">
        <v>28</v>
      </c>
      <c r="N579" s="3" t="s">
        <v>312</v>
      </c>
      <c r="O579" s="3" t="s">
        <v>104</v>
      </c>
      <c r="P579" s="30">
        <v>13438.54</v>
      </c>
      <c r="Q579" s="3" t="s">
        <v>503</v>
      </c>
      <c r="R579" s="3">
        <v>5</v>
      </c>
      <c r="S579" s="3">
        <v>196</v>
      </c>
      <c r="T579" s="3">
        <v>35</v>
      </c>
      <c r="U579" s="3" t="s">
        <v>44</v>
      </c>
      <c r="V579" s="18" t="s">
        <v>33</v>
      </c>
    </row>
    <row r="580" spans="1:22" ht="15" customHeight="1" x14ac:dyDescent="0.25">
      <c r="A580" s="15" t="s">
        <v>1226</v>
      </c>
      <c r="B580" s="1" t="s">
        <v>1227</v>
      </c>
      <c r="C580">
        <v>61</v>
      </c>
      <c r="D580" s="1" t="s">
        <v>59</v>
      </c>
      <c r="E580" s="1" t="s">
        <v>48</v>
      </c>
      <c r="F580" s="1" t="s">
        <v>155</v>
      </c>
      <c r="G580" s="1" t="s">
        <v>163</v>
      </c>
      <c r="H580" s="1" t="s">
        <v>26</v>
      </c>
      <c r="I580" s="6">
        <v>44518</v>
      </c>
      <c r="J580" s="7">
        <v>44528</v>
      </c>
      <c r="K580" s="1">
        <v>10</v>
      </c>
      <c r="L580" s="1" t="s">
        <v>89</v>
      </c>
      <c r="M580" s="1" t="s">
        <v>90</v>
      </c>
      <c r="N580" s="1" t="s">
        <v>164</v>
      </c>
      <c r="O580" s="1" t="s">
        <v>30</v>
      </c>
      <c r="P580" s="29">
        <v>44817.87</v>
      </c>
      <c r="Q580" s="1" t="s">
        <v>259</v>
      </c>
      <c r="R580" s="1">
        <v>6</v>
      </c>
      <c r="S580" s="1">
        <v>450</v>
      </c>
      <c r="T580" s="1">
        <v>23.5</v>
      </c>
      <c r="U580" s="1" t="s">
        <v>44</v>
      </c>
      <c r="V580" s="17" t="s">
        <v>45</v>
      </c>
    </row>
    <row r="581" spans="1:22" ht="15" customHeight="1" x14ac:dyDescent="0.25">
      <c r="A581" s="16" t="s">
        <v>1228</v>
      </c>
      <c r="B581" s="3" t="s">
        <v>1229</v>
      </c>
      <c r="C581">
        <v>63</v>
      </c>
      <c r="D581" s="3" t="s">
        <v>59</v>
      </c>
      <c r="E581" s="3" t="s">
        <v>23</v>
      </c>
      <c r="F581" s="3" t="s">
        <v>37</v>
      </c>
      <c r="G581" s="3" t="s">
        <v>25</v>
      </c>
      <c r="H581" s="3" t="s">
        <v>78</v>
      </c>
      <c r="I581" s="6">
        <v>44684</v>
      </c>
      <c r="J581" s="8">
        <v>44709</v>
      </c>
      <c r="K581" s="3">
        <v>25</v>
      </c>
      <c r="L581" s="3" t="s">
        <v>102</v>
      </c>
      <c r="M581" s="3" t="s">
        <v>28</v>
      </c>
      <c r="N581" s="3" t="s">
        <v>248</v>
      </c>
      <c r="O581" s="3" t="s">
        <v>30</v>
      </c>
      <c r="P581" s="30">
        <v>48070.83</v>
      </c>
      <c r="Q581" s="3" t="s">
        <v>484</v>
      </c>
      <c r="R581" s="3">
        <v>10</v>
      </c>
      <c r="S581" s="3">
        <v>156</v>
      </c>
      <c r="T581" s="3">
        <v>29.2</v>
      </c>
      <c r="U581" s="3" t="s">
        <v>44</v>
      </c>
      <c r="V581" s="18" t="s">
        <v>33</v>
      </c>
    </row>
    <row r="582" spans="1:22" ht="15" customHeight="1" x14ac:dyDescent="0.25">
      <c r="A582" s="15" t="s">
        <v>1230</v>
      </c>
      <c r="B582" s="1" t="s">
        <v>1231</v>
      </c>
      <c r="C582">
        <v>73</v>
      </c>
      <c r="D582" s="1" t="s">
        <v>82</v>
      </c>
      <c r="E582" s="1" t="s">
        <v>48</v>
      </c>
      <c r="F582" s="1" t="s">
        <v>70</v>
      </c>
      <c r="G582" s="1" t="s">
        <v>417</v>
      </c>
      <c r="H582" s="1" t="s">
        <v>78</v>
      </c>
      <c r="I582" s="7">
        <v>43801</v>
      </c>
      <c r="J582" s="7">
        <v>43805</v>
      </c>
      <c r="K582" s="1">
        <v>4</v>
      </c>
      <c r="L582" s="1" t="s">
        <v>27</v>
      </c>
      <c r="M582" s="1" t="s">
        <v>28</v>
      </c>
      <c r="N582" s="1" t="s">
        <v>203</v>
      </c>
      <c r="O582" s="1" t="s">
        <v>30</v>
      </c>
      <c r="P582" s="29">
        <v>14096</v>
      </c>
      <c r="Q582" s="1" t="s">
        <v>305</v>
      </c>
      <c r="R582" s="1">
        <v>6</v>
      </c>
      <c r="S582" s="1">
        <v>142</v>
      </c>
      <c r="T582" s="1">
        <v>16.600000000000001</v>
      </c>
      <c r="U582" s="1" t="s">
        <v>32</v>
      </c>
      <c r="V582" s="17" t="s">
        <v>45</v>
      </c>
    </row>
    <row r="583" spans="1:22" ht="15" customHeight="1" x14ac:dyDescent="0.25">
      <c r="A583" s="16" t="s">
        <v>1232</v>
      </c>
      <c r="B583" s="3" t="s">
        <v>1233</v>
      </c>
      <c r="C583">
        <v>61</v>
      </c>
      <c r="D583" s="3" t="s">
        <v>59</v>
      </c>
      <c r="E583" s="3" t="s">
        <v>48</v>
      </c>
      <c r="F583" s="3" t="s">
        <v>24</v>
      </c>
      <c r="G583" s="3" t="s">
        <v>38</v>
      </c>
      <c r="H583" s="3" t="s">
        <v>51</v>
      </c>
      <c r="I583" s="8">
        <v>44592</v>
      </c>
      <c r="J583" s="10"/>
      <c r="K583" s="3"/>
      <c r="L583" s="3" t="s">
        <v>52</v>
      </c>
      <c r="M583" s="3" t="s">
        <v>53</v>
      </c>
      <c r="N583" s="3" t="s">
        <v>173</v>
      </c>
      <c r="O583" s="3" t="s">
        <v>66</v>
      </c>
      <c r="P583" s="30">
        <v>42802.65</v>
      </c>
      <c r="Q583" s="3" t="s">
        <v>567</v>
      </c>
      <c r="R583" s="3">
        <v>8</v>
      </c>
      <c r="S583" s="3">
        <v>154</v>
      </c>
      <c r="T583" s="3">
        <v>22.6</v>
      </c>
      <c r="U583" s="3" t="s">
        <v>86</v>
      </c>
      <c r="V583" s="18" t="s">
        <v>33</v>
      </c>
    </row>
    <row r="584" spans="1:22" ht="15" customHeight="1" x14ac:dyDescent="0.25">
      <c r="A584" s="15" t="s">
        <v>1234</v>
      </c>
      <c r="B584" s="1" t="s">
        <v>1235</v>
      </c>
      <c r="C584">
        <v>66</v>
      </c>
      <c r="D584" s="1" t="s">
        <v>82</v>
      </c>
      <c r="E584" s="1" t="s">
        <v>48</v>
      </c>
      <c r="F584" s="1" t="s">
        <v>24</v>
      </c>
      <c r="G584" s="1" t="s">
        <v>77</v>
      </c>
      <c r="H584" s="1" t="s">
        <v>51</v>
      </c>
      <c r="I584" s="7">
        <v>44770</v>
      </c>
      <c r="J584" s="7">
        <v>44569</v>
      </c>
      <c r="K584" s="1">
        <v>4</v>
      </c>
      <c r="L584" s="1" t="s">
        <v>122</v>
      </c>
      <c r="M584" s="1" t="s">
        <v>40</v>
      </c>
      <c r="N584" s="1" t="s">
        <v>94</v>
      </c>
      <c r="O584" s="1" t="s">
        <v>42</v>
      </c>
      <c r="P584" s="29">
        <v>36984</v>
      </c>
      <c r="Q584" s="1" t="s">
        <v>109</v>
      </c>
      <c r="R584" s="1">
        <v>10</v>
      </c>
      <c r="S584" s="1">
        <v>173</v>
      </c>
      <c r="T584" s="1">
        <v>26.6</v>
      </c>
      <c r="U584" s="1" t="s">
        <v>44</v>
      </c>
      <c r="V584" s="17" t="s">
        <v>33</v>
      </c>
    </row>
    <row r="585" spans="1:22" ht="15" customHeight="1" x14ac:dyDescent="0.25">
      <c r="A585" s="16" t="s">
        <v>1236</v>
      </c>
      <c r="B585" s="3" t="s">
        <v>1237</v>
      </c>
      <c r="C585">
        <v>78</v>
      </c>
      <c r="D585" s="3" t="s">
        <v>36</v>
      </c>
      <c r="E585" s="3" t="s">
        <v>23</v>
      </c>
      <c r="F585" s="3" t="s">
        <v>155</v>
      </c>
      <c r="G585" s="3" t="s">
        <v>50</v>
      </c>
      <c r="H585" s="3" t="s">
        <v>26</v>
      </c>
      <c r="I585" s="6">
        <v>44723</v>
      </c>
      <c r="J585" s="8">
        <v>44883</v>
      </c>
      <c r="K585" s="3">
        <v>12</v>
      </c>
      <c r="L585" s="3" t="s">
        <v>89</v>
      </c>
      <c r="M585" s="3" t="s">
        <v>90</v>
      </c>
      <c r="N585" s="3" t="s">
        <v>126</v>
      </c>
      <c r="O585" s="3" t="s">
        <v>30</v>
      </c>
      <c r="P585" s="30">
        <v>43067.38</v>
      </c>
      <c r="Q585" s="3" t="s">
        <v>56</v>
      </c>
      <c r="R585" s="3">
        <v>7</v>
      </c>
      <c r="S585" s="3">
        <v>342</v>
      </c>
      <c r="T585" s="3">
        <v>32.6</v>
      </c>
      <c r="U585" s="3" t="s">
        <v>44</v>
      </c>
      <c r="V585" s="18" t="s">
        <v>45</v>
      </c>
    </row>
    <row r="586" spans="1:22" ht="15" customHeight="1" x14ac:dyDescent="0.25">
      <c r="A586" s="15" t="s">
        <v>1238</v>
      </c>
      <c r="B586" s="1" t="s">
        <v>1239</v>
      </c>
      <c r="C586">
        <v>60</v>
      </c>
      <c r="D586" s="1" t="s">
        <v>59</v>
      </c>
      <c r="E586" s="1" t="s">
        <v>48</v>
      </c>
      <c r="F586" s="1" t="s">
        <v>155</v>
      </c>
      <c r="G586" s="1" t="s">
        <v>50</v>
      </c>
      <c r="H586" s="1" t="s">
        <v>78</v>
      </c>
      <c r="I586" s="7">
        <v>44446</v>
      </c>
      <c r="J586" s="7">
        <v>44453</v>
      </c>
      <c r="K586" s="1">
        <v>7</v>
      </c>
      <c r="L586" s="1" t="s">
        <v>185</v>
      </c>
      <c r="M586" s="1" t="s">
        <v>186</v>
      </c>
      <c r="N586" s="1" t="s">
        <v>126</v>
      </c>
      <c r="O586" s="1" t="s">
        <v>42</v>
      </c>
      <c r="P586" s="29">
        <v>39470.92</v>
      </c>
      <c r="Q586" s="1" t="s">
        <v>279</v>
      </c>
      <c r="R586" s="1">
        <v>9</v>
      </c>
      <c r="S586" s="1">
        <v>404</v>
      </c>
      <c r="T586" s="1">
        <v>31.6</v>
      </c>
      <c r="U586" s="1" t="s">
        <v>32</v>
      </c>
      <c r="V586" s="17" t="s">
        <v>33</v>
      </c>
    </row>
    <row r="587" spans="1:22" ht="15" customHeight="1" x14ac:dyDescent="0.25">
      <c r="A587" s="16" t="s">
        <v>1240</v>
      </c>
      <c r="B587" s="3" t="s">
        <v>1241</v>
      </c>
      <c r="C587">
        <v>84</v>
      </c>
      <c r="D587" s="3" t="s">
        <v>36</v>
      </c>
      <c r="E587" s="3" t="s">
        <v>23</v>
      </c>
      <c r="F587" s="3" t="s">
        <v>83</v>
      </c>
      <c r="G587" s="3" t="s">
        <v>77</v>
      </c>
      <c r="H587" s="3" t="s">
        <v>26</v>
      </c>
      <c r="I587" s="8">
        <v>45222</v>
      </c>
      <c r="J587" s="8">
        <v>45230</v>
      </c>
      <c r="K587" s="3">
        <v>8</v>
      </c>
      <c r="L587" s="3" t="s">
        <v>89</v>
      </c>
      <c r="M587" s="3" t="s">
        <v>90</v>
      </c>
      <c r="N587" s="3" t="s">
        <v>189</v>
      </c>
      <c r="O587" s="3" t="s">
        <v>30</v>
      </c>
      <c r="P587" s="30">
        <v>56388.28</v>
      </c>
      <c r="Q587" s="3" t="s">
        <v>100</v>
      </c>
      <c r="R587" s="3">
        <v>10</v>
      </c>
      <c r="S587" s="3">
        <v>362</v>
      </c>
      <c r="T587" s="3">
        <v>26.8</v>
      </c>
      <c r="U587" s="3" t="s">
        <v>44</v>
      </c>
      <c r="V587" s="18" t="s">
        <v>45</v>
      </c>
    </row>
    <row r="588" spans="1:22" ht="15" customHeight="1" x14ac:dyDescent="0.25">
      <c r="A588" s="15" t="s">
        <v>1242</v>
      </c>
      <c r="B588" s="1" t="s">
        <v>1243</v>
      </c>
      <c r="C588">
        <v>63</v>
      </c>
      <c r="D588" s="1" t="s">
        <v>59</v>
      </c>
      <c r="E588" s="1" t="s">
        <v>48</v>
      </c>
      <c r="F588" s="1" t="s">
        <v>76</v>
      </c>
      <c r="G588" s="1" t="s">
        <v>38</v>
      </c>
      <c r="H588" s="1" t="s">
        <v>51</v>
      </c>
      <c r="I588" s="7">
        <v>44764</v>
      </c>
      <c r="J588" s="7">
        <v>44768</v>
      </c>
      <c r="K588" s="1">
        <v>4</v>
      </c>
      <c r="L588" s="1" t="s">
        <v>89</v>
      </c>
      <c r="M588" s="1" t="s">
        <v>90</v>
      </c>
      <c r="N588" s="1" t="s">
        <v>41</v>
      </c>
      <c r="O588" s="1" t="s">
        <v>104</v>
      </c>
      <c r="P588" s="29">
        <v>20010.54</v>
      </c>
      <c r="Q588" s="1" t="s">
        <v>204</v>
      </c>
      <c r="R588" s="1">
        <v>8</v>
      </c>
      <c r="S588" s="1">
        <v>196</v>
      </c>
      <c r="T588" s="1">
        <v>18.3</v>
      </c>
      <c r="U588" s="1" t="s">
        <v>32</v>
      </c>
      <c r="V588" s="17" t="s">
        <v>33</v>
      </c>
    </row>
    <row r="589" spans="1:22" ht="15" customHeight="1" x14ac:dyDescent="0.25">
      <c r="A589" s="16" t="s">
        <v>1244</v>
      </c>
      <c r="B589" s="3" t="s">
        <v>1245</v>
      </c>
      <c r="C589">
        <v>73</v>
      </c>
      <c r="D589" s="3" t="s">
        <v>82</v>
      </c>
      <c r="E589" s="3" t="s">
        <v>48</v>
      </c>
      <c r="F589" s="3" t="s">
        <v>70</v>
      </c>
      <c r="G589" s="3" t="s">
        <v>50</v>
      </c>
      <c r="H589" s="3" t="s">
        <v>26</v>
      </c>
      <c r="I589" s="8">
        <v>45206</v>
      </c>
      <c r="J589" s="8">
        <v>45214</v>
      </c>
      <c r="K589" s="3">
        <v>8</v>
      </c>
      <c r="L589" s="3" t="s">
        <v>185</v>
      </c>
      <c r="M589" s="3" t="s">
        <v>186</v>
      </c>
      <c r="N589" s="3" t="s">
        <v>116</v>
      </c>
      <c r="O589" s="3" t="s">
        <v>104</v>
      </c>
      <c r="P589" s="30">
        <v>56625.86</v>
      </c>
      <c r="Q589" s="3" t="s">
        <v>194</v>
      </c>
      <c r="R589" s="3">
        <v>7</v>
      </c>
      <c r="S589" s="3">
        <v>357</v>
      </c>
      <c r="T589" s="3">
        <v>23.9</v>
      </c>
      <c r="U589" s="3" t="s">
        <v>86</v>
      </c>
      <c r="V589" s="18" t="s">
        <v>45</v>
      </c>
    </row>
    <row r="590" spans="1:22" ht="15" customHeight="1" x14ac:dyDescent="0.25">
      <c r="A590" s="15" t="s">
        <v>1246</v>
      </c>
      <c r="B590" s="1" t="s">
        <v>1247</v>
      </c>
      <c r="C590">
        <v>5</v>
      </c>
      <c r="D590" s="1" t="s">
        <v>22</v>
      </c>
      <c r="E590" s="1" t="s">
        <v>48</v>
      </c>
      <c r="F590" s="1" t="s">
        <v>83</v>
      </c>
      <c r="G590" s="1" t="s">
        <v>226</v>
      </c>
      <c r="H590" s="1" t="s">
        <v>26</v>
      </c>
      <c r="I590" s="6">
        <v>44137</v>
      </c>
      <c r="J590" s="7">
        <v>44054</v>
      </c>
      <c r="K590" s="1">
        <v>6</v>
      </c>
      <c r="L590" s="1" t="s">
        <v>102</v>
      </c>
      <c r="M590" s="1" t="s">
        <v>28</v>
      </c>
      <c r="N590" s="1" t="s">
        <v>79</v>
      </c>
      <c r="O590" s="1" t="s">
        <v>66</v>
      </c>
      <c r="P590" s="29">
        <v>48233.26</v>
      </c>
      <c r="Q590" s="1" t="s">
        <v>95</v>
      </c>
      <c r="R590" s="1">
        <v>10</v>
      </c>
      <c r="S590" s="1">
        <v>330</v>
      </c>
      <c r="T590" s="1">
        <v>26.4</v>
      </c>
      <c r="U590" s="1" t="s">
        <v>44</v>
      </c>
      <c r="V590" s="17" t="s">
        <v>33</v>
      </c>
    </row>
    <row r="591" spans="1:22" ht="15" customHeight="1" x14ac:dyDescent="0.25">
      <c r="A591" s="16" t="s">
        <v>1248</v>
      </c>
      <c r="B591" s="3" t="s">
        <v>1249</v>
      </c>
      <c r="C591">
        <v>66</v>
      </c>
      <c r="D591" s="3" t="s">
        <v>82</v>
      </c>
      <c r="E591" s="3" t="s">
        <v>48</v>
      </c>
      <c r="F591" s="3" t="s">
        <v>83</v>
      </c>
      <c r="G591" s="3" t="s">
        <v>417</v>
      </c>
      <c r="H591" s="3" t="s">
        <v>78</v>
      </c>
      <c r="I591" s="6">
        <v>45410</v>
      </c>
      <c r="J591" s="8">
        <v>45411</v>
      </c>
      <c r="K591" s="3">
        <v>1</v>
      </c>
      <c r="L591" s="3" t="s">
        <v>27</v>
      </c>
      <c r="M591" s="3" t="s">
        <v>28</v>
      </c>
      <c r="N591" s="3" t="s">
        <v>203</v>
      </c>
      <c r="O591" s="3" t="s">
        <v>66</v>
      </c>
      <c r="P591" s="30">
        <v>43627.18</v>
      </c>
      <c r="Q591" s="3" t="s">
        <v>305</v>
      </c>
      <c r="R591" s="3">
        <v>4</v>
      </c>
      <c r="S591" s="3">
        <v>155</v>
      </c>
      <c r="T591" s="4"/>
      <c r="U591" s="3" t="s">
        <v>32</v>
      </c>
      <c r="V591" s="18" t="s">
        <v>45</v>
      </c>
    </row>
    <row r="592" spans="1:22" ht="15" customHeight="1" x14ac:dyDescent="0.25">
      <c r="A592" s="15" t="s">
        <v>1250</v>
      </c>
      <c r="B592" s="1" t="s">
        <v>1251</v>
      </c>
      <c r="C592">
        <v>56</v>
      </c>
      <c r="D592" s="1" t="s">
        <v>59</v>
      </c>
      <c r="E592" s="1" t="s">
        <v>48</v>
      </c>
      <c r="F592" s="1" t="s">
        <v>49</v>
      </c>
      <c r="G592" s="1" t="s">
        <v>562</v>
      </c>
      <c r="H592" s="1" t="s">
        <v>51</v>
      </c>
      <c r="I592" s="7">
        <v>43506</v>
      </c>
      <c r="J592" s="7">
        <v>43656</v>
      </c>
      <c r="K592" s="1">
        <v>5</v>
      </c>
      <c r="L592" s="1" t="s">
        <v>112</v>
      </c>
      <c r="M592" s="1" t="s">
        <v>40</v>
      </c>
      <c r="N592" s="1" t="s">
        <v>133</v>
      </c>
      <c r="O592" s="1" t="s">
        <v>42</v>
      </c>
      <c r="P592" s="29">
        <v>11660.6</v>
      </c>
      <c r="Q592" s="1" t="s">
        <v>152</v>
      </c>
      <c r="R592" s="1">
        <v>7</v>
      </c>
      <c r="S592" s="1">
        <v>142</v>
      </c>
      <c r="T592" s="4"/>
      <c r="U592" s="1" t="s">
        <v>32</v>
      </c>
      <c r="V592" s="17" t="s">
        <v>45</v>
      </c>
    </row>
    <row r="593" spans="1:22" ht="15" customHeight="1" x14ac:dyDescent="0.25">
      <c r="A593" s="16" t="s">
        <v>1252</v>
      </c>
      <c r="B593" s="3" t="s">
        <v>545</v>
      </c>
      <c r="C593">
        <v>49</v>
      </c>
      <c r="D593" s="3" t="s">
        <v>98</v>
      </c>
      <c r="E593" s="3" t="s">
        <v>23</v>
      </c>
      <c r="F593" s="3" t="s">
        <v>49</v>
      </c>
      <c r="G593" s="3" t="s">
        <v>50</v>
      </c>
      <c r="H593" s="3" t="s">
        <v>78</v>
      </c>
      <c r="I593" s="8">
        <v>43634</v>
      </c>
      <c r="J593" s="8">
        <v>43646</v>
      </c>
      <c r="K593" s="3">
        <v>12</v>
      </c>
      <c r="L593" s="3" t="s">
        <v>112</v>
      </c>
      <c r="M593" s="3" t="s">
        <v>40</v>
      </c>
      <c r="N593" s="3" t="s">
        <v>126</v>
      </c>
      <c r="O593" s="3" t="s">
        <v>30</v>
      </c>
      <c r="P593" s="30">
        <v>25996</v>
      </c>
      <c r="Q593" s="3" t="s">
        <v>127</v>
      </c>
      <c r="R593" s="3">
        <v>9</v>
      </c>
      <c r="S593" s="3">
        <v>135</v>
      </c>
      <c r="T593" s="3">
        <v>22.5</v>
      </c>
      <c r="U593" s="3" t="s">
        <v>32</v>
      </c>
      <c r="V593" s="18" t="s">
        <v>33</v>
      </c>
    </row>
    <row r="594" spans="1:22" ht="15" customHeight="1" x14ac:dyDescent="0.25">
      <c r="A594" s="15" t="s">
        <v>1253</v>
      </c>
      <c r="B594" s="1" t="s">
        <v>1254</v>
      </c>
      <c r="C594">
        <v>22</v>
      </c>
      <c r="D594" s="1" t="s">
        <v>47</v>
      </c>
      <c r="E594" s="1" t="s">
        <v>48</v>
      </c>
      <c r="F594" s="1" t="s">
        <v>24</v>
      </c>
      <c r="G594" s="1" t="s">
        <v>131</v>
      </c>
      <c r="H594" s="1" t="s">
        <v>51</v>
      </c>
      <c r="I594" s="7">
        <v>44142</v>
      </c>
      <c r="J594" s="7">
        <v>44151</v>
      </c>
      <c r="K594" s="1">
        <v>9</v>
      </c>
      <c r="L594" s="1" t="s">
        <v>112</v>
      </c>
      <c r="M594" s="1" t="s">
        <v>40</v>
      </c>
      <c r="N594" s="1" t="s">
        <v>133</v>
      </c>
      <c r="O594" s="1" t="s">
        <v>30</v>
      </c>
      <c r="P594" s="29">
        <v>5289.63</v>
      </c>
      <c r="Q594" s="1" t="s">
        <v>158</v>
      </c>
      <c r="R594" s="1">
        <v>7</v>
      </c>
      <c r="S594" s="1">
        <v>116</v>
      </c>
      <c r="T594" s="1">
        <v>25.3</v>
      </c>
      <c r="U594" s="1" t="s">
        <v>32</v>
      </c>
      <c r="V594" s="17" t="s">
        <v>33</v>
      </c>
    </row>
    <row r="595" spans="1:22" ht="15" customHeight="1" x14ac:dyDescent="0.25">
      <c r="A595" s="16" t="s">
        <v>1255</v>
      </c>
      <c r="B595" s="3" t="s">
        <v>1256</v>
      </c>
      <c r="C595">
        <v>65</v>
      </c>
      <c r="D595" s="3" t="s">
        <v>82</v>
      </c>
      <c r="E595" s="3" t="s">
        <v>48</v>
      </c>
      <c r="F595" s="3" t="s">
        <v>70</v>
      </c>
      <c r="G595" s="3" t="s">
        <v>50</v>
      </c>
      <c r="H595" s="3" t="s">
        <v>26</v>
      </c>
      <c r="I595" s="6">
        <v>44004</v>
      </c>
      <c r="J595" s="8">
        <v>44009</v>
      </c>
      <c r="K595" s="3">
        <v>5</v>
      </c>
      <c r="L595" s="3" t="s">
        <v>39</v>
      </c>
      <c r="M595" s="3" t="s">
        <v>40</v>
      </c>
      <c r="N595" s="3" t="s">
        <v>126</v>
      </c>
      <c r="O595" s="3" t="s">
        <v>42</v>
      </c>
      <c r="P595" s="30">
        <v>166331.39000000001</v>
      </c>
      <c r="Q595" s="3" t="s">
        <v>144</v>
      </c>
      <c r="R595" s="3">
        <v>9</v>
      </c>
      <c r="S595" s="3">
        <v>354</v>
      </c>
      <c r="T595" s="3">
        <v>31.7</v>
      </c>
      <c r="U595" s="3" t="s">
        <v>86</v>
      </c>
      <c r="V595" s="18" t="s">
        <v>33</v>
      </c>
    </row>
    <row r="596" spans="1:22" ht="15" customHeight="1" x14ac:dyDescent="0.25">
      <c r="A596" s="15" t="s">
        <v>1257</v>
      </c>
      <c r="B596" s="1" t="s">
        <v>1258</v>
      </c>
      <c r="C596">
        <v>47</v>
      </c>
      <c r="D596" s="1" t="s">
        <v>98</v>
      </c>
      <c r="E596" s="1" t="s">
        <v>48</v>
      </c>
      <c r="F596" s="1" t="s">
        <v>83</v>
      </c>
      <c r="G596" s="1" t="s">
        <v>38</v>
      </c>
      <c r="H596" s="1" t="s">
        <v>51</v>
      </c>
      <c r="I596" s="7">
        <v>43828</v>
      </c>
      <c r="J596" s="7">
        <v>43831</v>
      </c>
      <c r="K596" s="1">
        <v>3</v>
      </c>
      <c r="L596" s="1" t="s">
        <v>89</v>
      </c>
      <c r="M596" s="1" t="s">
        <v>90</v>
      </c>
      <c r="N596" s="1" t="s">
        <v>41</v>
      </c>
      <c r="O596" s="1" t="s">
        <v>104</v>
      </c>
      <c r="P596" s="29">
        <v>6181.87</v>
      </c>
      <c r="Q596" s="1" t="s">
        <v>236</v>
      </c>
      <c r="R596" s="1">
        <v>7</v>
      </c>
      <c r="S596" s="1">
        <v>165</v>
      </c>
      <c r="T596" s="1">
        <v>22.3</v>
      </c>
      <c r="U596" s="1" t="s">
        <v>44</v>
      </c>
      <c r="V596" s="17" t="s">
        <v>33</v>
      </c>
    </row>
    <row r="597" spans="1:22" ht="15" customHeight="1" x14ac:dyDescent="0.25">
      <c r="A597" s="16" t="s">
        <v>1259</v>
      </c>
      <c r="B597" s="3" t="s">
        <v>1260</v>
      </c>
      <c r="C597">
        <v>53</v>
      </c>
      <c r="D597" s="3" t="s">
        <v>98</v>
      </c>
      <c r="E597" s="3" t="s">
        <v>48</v>
      </c>
      <c r="F597" s="3" t="s">
        <v>99</v>
      </c>
      <c r="G597" s="3" t="s">
        <v>417</v>
      </c>
      <c r="H597" s="3" t="s">
        <v>26</v>
      </c>
      <c r="I597" s="8">
        <v>44147</v>
      </c>
      <c r="J597" s="8">
        <v>44150</v>
      </c>
      <c r="K597" s="3">
        <v>3</v>
      </c>
      <c r="L597" s="3" t="s">
        <v>112</v>
      </c>
      <c r="M597" s="3" t="s">
        <v>40</v>
      </c>
      <c r="N597" s="3" t="s">
        <v>41</v>
      </c>
      <c r="O597" s="3" t="s">
        <v>30</v>
      </c>
      <c r="P597" s="30">
        <v>17551.419999999998</v>
      </c>
      <c r="Q597" s="3" t="s">
        <v>204</v>
      </c>
      <c r="R597" s="3">
        <v>8</v>
      </c>
      <c r="S597" s="3">
        <v>332</v>
      </c>
      <c r="T597" s="3">
        <v>31</v>
      </c>
      <c r="U597" s="3" t="s">
        <v>44</v>
      </c>
      <c r="V597" s="18" t="s">
        <v>33</v>
      </c>
    </row>
    <row r="598" spans="1:22" ht="15" customHeight="1" x14ac:dyDescent="0.25">
      <c r="A598" s="15" t="s">
        <v>1261</v>
      </c>
      <c r="B598" s="1" t="s">
        <v>1262</v>
      </c>
      <c r="C598">
        <v>74</v>
      </c>
      <c r="D598" s="1" t="s">
        <v>82</v>
      </c>
      <c r="E598" s="1" t="s">
        <v>48</v>
      </c>
      <c r="F598" s="1" t="s">
        <v>99</v>
      </c>
      <c r="G598" s="1" t="s">
        <v>38</v>
      </c>
      <c r="H598" s="1" t="s">
        <v>78</v>
      </c>
      <c r="I598" s="7">
        <v>45040</v>
      </c>
      <c r="J598" s="7">
        <v>45046</v>
      </c>
      <c r="K598" s="1">
        <v>6</v>
      </c>
      <c r="L598" s="1" t="s">
        <v>122</v>
      </c>
      <c r="M598" s="1" t="s">
        <v>40</v>
      </c>
      <c r="N598" s="1" t="s">
        <v>203</v>
      </c>
      <c r="O598" s="1" t="s">
        <v>30</v>
      </c>
      <c r="P598" s="29">
        <v>12574.59</v>
      </c>
      <c r="Q598" s="1" t="s">
        <v>119</v>
      </c>
      <c r="R598" s="1">
        <v>8</v>
      </c>
      <c r="S598" s="1">
        <v>380</v>
      </c>
      <c r="T598" s="1">
        <v>24</v>
      </c>
      <c r="U598" s="1" t="s">
        <v>32</v>
      </c>
      <c r="V598" s="17" t="s">
        <v>33</v>
      </c>
    </row>
    <row r="599" spans="1:22" ht="15" customHeight="1" x14ac:dyDescent="0.25">
      <c r="A599" s="16" t="s">
        <v>1263</v>
      </c>
      <c r="B599" s="3" t="s">
        <v>1264</v>
      </c>
      <c r="C599">
        <v>10</v>
      </c>
      <c r="D599" s="3" t="s">
        <v>22</v>
      </c>
      <c r="E599" s="3" t="s">
        <v>48</v>
      </c>
      <c r="F599" s="3" t="s">
        <v>155</v>
      </c>
      <c r="G599" s="3" t="s">
        <v>77</v>
      </c>
      <c r="H599" s="3" t="s">
        <v>26</v>
      </c>
      <c r="I599" s="8">
        <v>45609</v>
      </c>
      <c r="J599" s="8">
        <v>45623</v>
      </c>
      <c r="K599" s="3">
        <v>14</v>
      </c>
      <c r="L599" s="3" t="s">
        <v>185</v>
      </c>
      <c r="M599" s="3" t="s">
        <v>186</v>
      </c>
      <c r="N599" s="3" t="s">
        <v>84</v>
      </c>
      <c r="O599" s="3" t="s">
        <v>42</v>
      </c>
      <c r="P599" s="30">
        <v>57949.16</v>
      </c>
      <c r="Q599" s="3" t="s">
        <v>100</v>
      </c>
      <c r="R599" s="3">
        <v>7</v>
      </c>
      <c r="S599" s="3">
        <v>330</v>
      </c>
      <c r="T599" s="3">
        <v>30.7</v>
      </c>
      <c r="U599" s="3" t="s">
        <v>44</v>
      </c>
      <c r="V599" s="18" t="s">
        <v>45</v>
      </c>
    </row>
    <row r="600" spans="1:22" ht="15" customHeight="1" x14ac:dyDescent="0.25">
      <c r="A600" s="15" t="s">
        <v>1265</v>
      </c>
      <c r="B600" s="1" t="s">
        <v>1266</v>
      </c>
      <c r="C600">
        <v>74</v>
      </c>
      <c r="D600" s="1" t="s">
        <v>82</v>
      </c>
      <c r="E600" s="1" t="s">
        <v>23</v>
      </c>
      <c r="F600" s="1" t="s">
        <v>49</v>
      </c>
      <c r="G600" s="1" t="s">
        <v>131</v>
      </c>
      <c r="H600" s="1" t="s">
        <v>51</v>
      </c>
      <c r="I600" s="6">
        <v>45627</v>
      </c>
      <c r="J600" s="7">
        <v>45633</v>
      </c>
      <c r="K600" s="1">
        <v>6</v>
      </c>
      <c r="L600" s="1" t="s">
        <v>112</v>
      </c>
      <c r="M600" s="1" t="s">
        <v>40</v>
      </c>
      <c r="N600" s="1" t="s">
        <v>157</v>
      </c>
      <c r="O600" s="1" t="s">
        <v>42</v>
      </c>
      <c r="P600" s="29">
        <v>23787.71</v>
      </c>
      <c r="Q600" s="1" t="s">
        <v>148</v>
      </c>
      <c r="R600" s="1">
        <v>7</v>
      </c>
      <c r="S600" s="1">
        <v>141</v>
      </c>
      <c r="T600" s="1">
        <v>31.9</v>
      </c>
      <c r="U600" s="1" t="s">
        <v>44</v>
      </c>
      <c r="V600" s="17" t="s">
        <v>33</v>
      </c>
    </row>
    <row r="601" spans="1:22" ht="15" customHeight="1" x14ac:dyDescent="0.25">
      <c r="A601" s="16" t="s">
        <v>1267</v>
      </c>
      <c r="B601" s="3" t="s">
        <v>1268</v>
      </c>
      <c r="C601">
        <v>88</v>
      </c>
      <c r="D601" s="3" t="s">
        <v>36</v>
      </c>
      <c r="E601" s="3" t="s">
        <v>23</v>
      </c>
      <c r="F601" s="3" t="s">
        <v>155</v>
      </c>
      <c r="G601" s="3" t="s">
        <v>562</v>
      </c>
      <c r="H601" s="3" t="s">
        <v>51</v>
      </c>
      <c r="I601" s="8">
        <v>44037</v>
      </c>
      <c r="J601" s="8">
        <v>44043</v>
      </c>
      <c r="K601" s="3">
        <v>6</v>
      </c>
      <c r="L601" s="3" t="s">
        <v>122</v>
      </c>
      <c r="M601" s="3" t="s">
        <v>40</v>
      </c>
      <c r="N601" s="3" t="s">
        <v>133</v>
      </c>
      <c r="O601" s="3" t="s">
        <v>30</v>
      </c>
      <c r="P601" s="30">
        <v>28472.04</v>
      </c>
      <c r="Q601" s="3" t="s">
        <v>291</v>
      </c>
      <c r="R601" s="3">
        <v>7</v>
      </c>
      <c r="S601" s="3">
        <v>128</v>
      </c>
      <c r="T601" s="3">
        <v>28.3</v>
      </c>
      <c r="U601" s="3" t="s">
        <v>86</v>
      </c>
      <c r="V601" s="18" t="s">
        <v>33</v>
      </c>
    </row>
    <row r="602" spans="1:22" ht="15" customHeight="1" x14ac:dyDescent="0.25">
      <c r="A602" s="15" t="s">
        <v>1269</v>
      </c>
      <c r="B602" s="2" t="s">
        <v>3611</v>
      </c>
      <c r="C602">
        <v>73</v>
      </c>
      <c r="D602" s="1" t="s">
        <v>82</v>
      </c>
      <c r="E602" s="1" t="s">
        <v>23</v>
      </c>
      <c r="F602" s="1" t="s">
        <v>70</v>
      </c>
      <c r="G602" s="1" t="s">
        <v>77</v>
      </c>
      <c r="H602" s="1" t="s">
        <v>26</v>
      </c>
      <c r="I602" s="7">
        <v>45215</v>
      </c>
      <c r="J602" s="7">
        <v>45228</v>
      </c>
      <c r="K602" s="1">
        <v>13</v>
      </c>
      <c r="L602" s="1" t="s">
        <v>112</v>
      </c>
      <c r="M602" s="1" t="s">
        <v>40</v>
      </c>
      <c r="N602" s="1" t="s">
        <v>84</v>
      </c>
      <c r="O602" s="1" t="s">
        <v>30</v>
      </c>
      <c r="P602" s="29">
        <v>72925.570000000007</v>
      </c>
      <c r="Q602" s="1" t="s">
        <v>91</v>
      </c>
      <c r="R602" s="1">
        <v>9</v>
      </c>
      <c r="S602" s="1">
        <v>311</v>
      </c>
      <c r="T602" s="1">
        <v>26.1</v>
      </c>
      <c r="U602" s="1" t="s">
        <v>86</v>
      </c>
      <c r="V602" s="17" t="s">
        <v>33</v>
      </c>
    </row>
    <row r="603" spans="1:22" ht="15" customHeight="1" x14ac:dyDescent="0.25">
      <c r="A603" s="16" t="s">
        <v>1270</v>
      </c>
      <c r="B603" s="3" t="s">
        <v>1271</v>
      </c>
      <c r="C603">
        <v>68</v>
      </c>
      <c r="D603" s="3" t="s">
        <v>82</v>
      </c>
      <c r="E603" s="3" t="s">
        <v>48</v>
      </c>
      <c r="F603" s="3" t="s">
        <v>70</v>
      </c>
      <c r="G603" s="3" t="s">
        <v>163</v>
      </c>
      <c r="H603" s="3" t="s">
        <v>51</v>
      </c>
      <c r="I603" s="8">
        <v>45389</v>
      </c>
      <c r="J603" s="8">
        <v>45480</v>
      </c>
      <c r="K603" s="3">
        <v>3</v>
      </c>
      <c r="L603" s="3" t="s">
        <v>89</v>
      </c>
      <c r="M603" s="3" t="s">
        <v>90</v>
      </c>
      <c r="N603" s="3" t="s">
        <v>346</v>
      </c>
      <c r="O603" s="3" t="s">
        <v>30</v>
      </c>
      <c r="P603" s="30">
        <v>42114.36</v>
      </c>
      <c r="Q603" s="3" t="s">
        <v>382</v>
      </c>
      <c r="R603" s="3">
        <v>6</v>
      </c>
      <c r="S603" s="3">
        <v>151</v>
      </c>
      <c r="T603" s="3">
        <v>32.299999999999997</v>
      </c>
      <c r="U603" s="3" t="s">
        <v>32</v>
      </c>
      <c r="V603" s="18" t="s">
        <v>33</v>
      </c>
    </row>
    <row r="604" spans="1:22" ht="15" customHeight="1" x14ac:dyDescent="0.25">
      <c r="A604" s="15" t="s">
        <v>1272</v>
      </c>
      <c r="B604" s="1" t="s">
        <v>1273</v>
      </c>
      <c r="C604">
        <v>89</v>
      </c>
      <c r="D604" s="1" t="s">
        <v>36</v>
      </c>
      <c r="E604" s="1" t="s">
        <v>48</v>
      </c>
      <c r="F604" s="1" t="s">
        <v>155</v>
      </c>
      <c r="G604" s="1" t="s">
        <v>77</v>
      </c>
      <c r="H604" s="1" t="s">
        <v>26</v>
      </c>
      <c r="I604" s="7">
        <v>45201</v>
      </c>
      <c r="J604" s="7">
        <v>45214</v>
      </c>
      <c r="K604" s="1">
        <v>13</v>
      </c>
      <c r="L604" s="1" t="s">
        <v>89</v>
      </c>
      <c r="M604" s="1" t="s">
        <v>90</v>
      </c>
      <c r="N604" s="1" t="s">
        <v>79</v>
      </c>
      <c r="O604" s="1" t="s">
        <v>55</v>
      </c>
      <c r="P604" s="29">
        <v>112115.9</v>
      </c>
      <c r="Q604" s="1" t="s">
        <v>100</v>
      </c>
      <c r="R604" s="1">
        <v>10</v>
      </c>
      <c r="S604" s="1">
        <v>396</v>
      </c>
      <c r="T604" s="1">
        <v>28</v>
      </c>
      <c r="U604" s="1" t="s">
        <v>86</v>
      </c>
      <c r="V604" s="17" t="s">
        <v>45</v>
      </c>
    </row>
    <row r="605" spans="1:22" ht="15" customHeight="1" x14ac:dyDescent="0.25">
      <c r="A605" s="16" t="s">
        <v>1274</v>
      </c>
      <c r="B605" s="3" t="s">
        <v>1275</v>
      </c>
      <c r="C605">
        <v>71</v>
      </c>
      <c r="D605" s="3" t="s">
        <v>82</v>
      </c>
      <c r="E605" s="3" t="s">
        <v>48</v>
      </c>
      <c r="F605" s="3" t="s">
        <v>99</v>
      </c>
      <c r="G605" s="3" t="s">
        <v>77</v>
      </c>
      <c r="H605" s="3" t="s">
        <v>51</v>
      </c>
      <c r="I605" s="8">
        <v>45623</v>
      </c>
      <c r="J605" s="8">
        <v>45632</v>
      </c>
      <c r="K605" s="3">
        <v>9</v>
      </c>
      <c r="L605" s="3" t="s">
        <v>52</v>
      </c>
      <c r="M605" s="3" t="s">
        <v>53</v>
      </c>
      <c r="N605" s="3" t="s">
        <v>94</v>
      </c>
      <c r="O605" s="3" t="s">
        <v>55</v>
      </c>
      <c r="P605" s="30">
        <v>56574.9</v>
      </c>
      <c r="Q605" s="3" t="s">
        <v>181</v>
      </c>
      <c r="R605" s="3">
        <v>10</v>
      </c>
      <c r="S605" s="3">
        <v>192</v>
      </c>
      <c r="T605" s="3">
        <v>42.1</v>
      </c>
      <c r="U605" s="3" t="s">
        <v>44</v>
      </c>
      <c r="V605" s="18" t="s">
        <v>45</v>
      </c>
    </row>
    <row r="606" spans="1:22" ht="15" customHeight="1" x14ac:dyDescent="0.25">
      <c r="A606" s="15" t="s">
        <v>1276</v>
      </c>
      <c r="B606" s="1" t="s">
        <v>1277</v>
      </c>
      <c r="C606">
        <v>14</v>
      </c>
      <c r="D606" s="1" t="s">
        <v>22</v>
      </c>
      <c r="E606" s="1" t="s">
        <v>23</v>
      </c>
      <c r="F606" s="1" t="s">
        <v>37</v>
      </c>
      <c r="G606" s="1" t="s">
        <v>38</v>
      </c>
      <c r="H606" s="1" t="s">
        <v>26</v>
      </c>
      <c r="I606" s="6">
        <v>44985</v>
      </c>
      <c r="J606" s="7">
        <v>44988</v>
      </c>
      <c r="K606" s="1">
        <v>3</v>
      </c>
      <c r="L606" s="1" t="s">
        <v>185</v>
      </c>
      <c r="M606" s="1" t="s">
        <v>186</v>
      </c>
      <c r="N606" s="1" t="s">
        <v>173</v>
      </c>
      <c r="O606" s="1" t="s">
        <v>66</v>
      </c>
      <c r="P606" s="29">
        <v>29866.93</v>
      </c>
      <c r="Q606" s="1" t="s">
        <v>305</v>
      </c>
      <c r="R606" s="1">
        <v>8</v>
      </c>
      <c r="S606" s="1">
        <v>428</v>
      </c>
      <c r="T606" s="1">
        <v>20.2</v>
      </c>
      <c r="U606" s="1" t="s">
        <v>32</v>
      </c>
      <c r="V606" s="17" t="s">
        <v>33</v>
      </c>
    </row>
    <row r="607" spans="1:22" ht="15" customHeight="1" x14ac:dyDescent="0.25">
      <c r="A607" s="16" t="s">
        <v>1278</v>
      </c>
      <c r="B607" s="3" t="s">
        <v>1279</v>
      </c>
      <c r="C607">
        <v>24</v>
      </c>
      <c r="D607" s="3" t="s">
        <v>47</v>
      </c>
      <c r="E607" s="3" t="s">
        <v>23</v>
      </c>
      <c r="F607" s="3" t="s">
        <v>155</v>
      </c>
      <c r="G607" s="3" t="s">
        <v>77</v>
      </c>
      <c r="H607" s="3" t="s">
        <v>26</v>
      </c>
      <c r="I607" s="8">
        <v>43598</v>
      </c>
      <c r="J607" s="8">
        <v>43612</v>
      </c>
      <c r="K607" s="3">
        <v>14</v>
      </c>
      <c r="L607" s="3" t="s">
        <v>52</v>
      </c>
      <c r="M607" s="3" t="s">
        <v>53</v>
      </c>
      <c r="N607" s="3" t="s">
        <v>84</v>
      </c>
      <c r="O607" s="3" t="s">
        <v>42</v>
      </c>
      <c r="P607" s="30">
        <v>53476</v>
      </c>
      <c r="Q607" s="3" t="s">
        <v>223</v>
      </c>
      <c r="R607" s="3">
        <v>9</v>
      </c>
      <c r="S607" s="3">
        <v>396</v>
      </c>
      <c r="T607" s="3">
        <v>21.2</v>
      </c>
      <c r="U607" s="3" t="s">
        <v>86</v>
      </c>
      <c r="V607" s="18" t="s">
        <v>33</v>
      </c>
    </row>
    <row r="608" spans="1:22" ht="15" customHeight="1" x14ac:dyDescent="0.25">
      <c r="A608" s="15" t="s">
        <v>1280</v>
      </c>
      <c r="B608" s="1" t="s">
        <v>1281</v>
      </c>
      <c r="C608">
        <v>74</v>
      </c>
      <c r="D608" s="1" t="s">
        <v>82</v>
      </c>
      <c r="E608" s="1" t="s">
        <v>48</v>
      </c>
      <c r="F608" s="1" t="s">
        <v>76</v>
      </c>
      <c r="G608" s="1" t="s">
        <v>60</v>
      </c>
      <c r="H608" s="1" t="s">
        <v>51</v>
      </c>
      <c r="I608" s="7">
        <v>45611</v>
      </c>
      <c r="J608" s="7">
        <v>45615</v>
      </c>
      <c r="K608" s="1">
        <v>4</v>
      </c>
      <c r="L608" s="1" t="s">
        <v>52</v>
      </c>
      <c r="M608" s="1" t="s">
        <v>53</v>
      </c>
      <c r="N608" s="1" t="s">
        <v>61</v>
      </c>
      <c r="O608" s="1" t="s">
        <v>42</v>
      </c>
      <c r="P608" s="29">
        <v>35116.61</v>
      </c>
      <c r="Q608" s="1" t="s">
        <v>62</v>
      </c>
      <c r="R608" s="1">
        <v>6</v>
      </c>
      <c r="S608" s="1">
        <v>160</v>
      </c>
      <c r="T608" s="1">
        <v>29.5</v>
      </c>
      <c r="U608" s="1" t="s">
        <v>44</v>
      </c>
      <c r="V608" s="17" t="s">
        <v>33</v>
      </c>
    </row>
    <row r="609" spans="1:22" ht="15" customHeight="1" x14ac:dyDescent="0.25">
      <c r="A609" s="16" t="s">
        <v>1282</v>
      </c>
      <c r="B609" s="3" t="s">
        <v>1283</v>
      </c>
      <c r="C609">
        <v>61</v>
      </c>
      <c r="D609" s="3" t="s">
        <v>59</v>
      </c>
      <c r="E609" s="3" t="s">
        <v>23</v>
      </c>
      <c r="F609" s="3" t="s">
        <v>49</v>
      </c>
      <c r="G609" s="3" t="s">
        <v>163</v>
      </c>
      <c r="H609" s="3" t="s">
        <v>78</v>
      </c>
      <c r="I609" s="6">
        <v>43997</v>
      </c>
      <c r="J609" s="8">
        <v>44004</v>
      </c>
      <c r="K609" s="3">
        <v>7</v>
      </c>
      <c r="L609" s="3" t="s">
        <v>185</v>
      </c>
      <c r="M609" s="3" t="s">
        <v>186</v>
      </c>
      <c r="N609" s="3" t="s">
        <v>164</v>
      </c>
      <c r="O609" s="3" t="s">
        <v>42</v>
      </c>
      <c r="P609" s="30">
        <v>25635</v>
      </c>
      <c r="Q609" s="3" t="s">
        <v>257</v>
      </c>
      <c r="R609" s="3">
        <v>6</v>
      </c>
      <c r="S609" s="3">
        <v>193</v>
      </c>
      <c r="T609" s="3">
        <v>32.299999999999997</v>
      </c>
      <c r="U609" s="3" t="s">
        <v>44</v>
      </c>
      <c r="V609" s="18" t="s">
        <v>33</v>
      </c>
    </row>
    <row r="610" spans="1:22" ht="15" customHeight="1" x14ac:dyDescent="0.25">
      <c r="A610" s="15" t="s">
        <v>1284</v>
      </c>
      <c r="B610" s="2" t="s">
        <v>3612</v>
      </c>
      <c r="C610">
        <v>60</v>
      </c>
      <c r="D610" s="1" t="s">
        <v>59</v>
      </c>
      <c r="E610" s="1" t="s">
        <v>23</v>
      </c>
      <c r="F610" s="1" t="s">
        <v>155</v>
      </c>
      <c r="G610" s="1" t="s">
        <v>163</v>
      </c>
      <c r="H610" s="1" t="s">
        <v>78</v>
      </c>
      <c r="I610" s="6">
        <v>43989</v>
      </c>
      <c r="J610" s="7">
        <v>44021</v>
      </c>
      <c r="K610" s="1">
        <v>3</v>
      </c>
      <c r="L610" s="1" t="s">
        <v>89</v>
      </c>
      <c r="M610" s="1" t="s">
        <v>90</v>
      </c>
      <c r="N610" s="1" t="s">
        <v>213</v>
      </c>
      <c r="O610" s="1" t="s">
        <v>42</v>
      </c>
      <c r="P610" s="29">
        <v>40169.94</v>
      </c>
      <c r="Q610" s="1" t="s">
        <v>259</v>
      </c>
      <c r="R610" s="1">
        <v>6</v>
      </c>
      <c r="S610" s="1">
        <v>449</v>
      </c>
      <c r="T610" s="1">
        <v>30</v>
      </c>
      <c r="U610" s="1" t="s">
        <v>32</v>
      </c>
      <c r="V610" s="17" t="s">
        <v>33</v>
      </c>
    </row>
    <row r="611" spans="1:22" ht="15" customHeight="1" x14ac:dyDescent="0.25">
      <c r="A611" s="16" t="s">
        <v>1285</v>
      </c>
      <c r="B611" s="3" t="s">
        <v>1286</v>
      </c>
      <c r="C611">
        <v>70</v>
      </c>
      <c r="D611" s="3" t="s">
        <v>82</v>
      </c>
      <c r="E611" s="3" t="s">
        <v>48</v>
      </c>
      <c r="F611" s="3" t="s">
        <v>83</v>
      </c>
      <c r="G611" s="3" t="s">
        <v>188</v>
      </c>
      <c r="H611" s="3" t="s">
        <v>51</v>
      </c>
      <c r="I611" s="8">
        <v>43484</v>
      </c>
      <c r="J611" s="8">
        <v>43490</v>
      </c>
      <c r="K611" s="3">
        <v>6</v>
      </c>
      <c r="L611" s="3" t="s">
        <v>185</v>
      </c>
      <c r="M611" s="3" t="s">
        <v>186</v>
      </c>
      <c r="N611" s="3" t="s">
        <v>79</v>
      </c>
      <c r="O611" s="3" t="s">
        <v>55</v>
      </c>
      <c r="P611" s="30">
        <v>86005.77</v>
      </c>
      <c r="Q611" s="3" t="s">
        <v>592</v>
      </c>
      <c r="R611" s="3">
        <v>10</v>
      </c>
      <c r="S611" s="3">
        <v>137</v>
      </c>
      <c r="T611" s="3">
        <v>24.9</v>
      </c>
      <c r="U611" s="3" t="s">
        <v>44</v>
      </c>
      <c r="V611" s="18" t="s">
        <v>33</v>
      </c>
    </row>
    <row r="612" spans="1:22" ht="15" customHeight="1" x14ac:dyDescent="0.25">
      <c r="A612" s="15" t="s">
        <v>1287</v>
      </c>
      <c r="B612" s="1" t="s">
        <v>1288</v>
      </c>
      <c r="C612">
        <v>74</v>
      </c>
      <c r="D612" s="1" t="s">
        <v>82</v>
      </c>
      <c r="E612" s="1" t="s">
        <v>48</v>
      </c>
      <c r="F612" s="1" t="s">
        <v>49</v>
      </c>
      <c r="G612" s="1" t="s">
        <v>71</v>
      </c>
      <c r="H612" s="1" t="s">
        <v>78</v>
      </c>
      <c r="I612" s="7">
        <v>45010</v>
      </c>
      <c r="J612" s="7">
        <v>45014</v>
      </c>
      <c r="K612" s="1">
        <v>4</v>
      </c>
      <c r="L612" s="1" t="s">
        <v>231</v>
      </c>
      <c r="M612" s="1" t="s">
        <v>53</v>
      </c>
      <c r="N612" s="1" t="s">
        <v>312</v>
      </c>
      <c r="O612" s="1" t="s">
        <v>30</v>
      </c>
      <c r="P612" s="29">
        <v>9661.9</v>
      </c>
      <c r="Q612" s="1" t="s">
        <v>503</v>
      </c>
      <c r="R612" s="1">
        <v>3</v>
      </c>
      <c r="S612" s="1">
        <v>355</v>
      </c>
      <c r="T612" s="1">
        <v>22.9</v>
      </c>
      <c r="U612" s="1" t="s">
        <v>86</v>
      </c>
      <c r="V612" s="17" t="s">
        <v>33</v>
      </c>
    </row>
    <row r="613" spans="1:22" ht="15" customHeight="1" x14ac:dyDescent="0.25">
      <c r="A613" s="16" t="s">
        <v>1289</v>
      </c>
      <c r="B613" s="3" t="s">
        <v>1290</v>
      </c>
      <c r="C613">
        <v>71</v>
      </c>
      <c r="D613" s="3" t="s">
        <v>82</v>
      </c>
      <c r="E613" s="3" t="s">
        <v>48</v>
      </c>
      <c r="F613" s="3" t="s">
        <v>76</v>
      </c>
      <c r="G613" s="3" t="s">
        <v>38</v>
      </c>
      <c r="H613" s="3" t="s">
        <v>78</v>
      </c>
      <c r="I613" s="8">
        <v>43921</v>
      </c>
      <c r="J613" s="8">
        <v>43926</v>
      </c>
      <c r="K613" s="3">
        <v>5</v>
      </c>
      <c r="L613" s="3" t="s">
        <v>27</v>
      </c>
      <c r="M613" s="3" t="s">
        <v>28</v>
      </c>
      <c r="N613" s="3" t="s">
        <v>173</v>
      </c>
      <c r="O613" s="3" t="s">
        <v>30</v>
      </c>
      <c r="P613" s="30">
        <v>14606.85</v>
      </c>
      <c r="Q613" s="3" t="s">
        <v>437</v>
      </c>
      <c r="R613" s="3">
        <v>7</v>
      </c>
      <c r="S613" s="3">
        <v>296</v>
      </c>
      <c r="T613" s="3">
        <v>34.9</v>
      </c>
      <c r="U613" s="3" t="s">
        <v>86</v>
      </c>
      <c r="V613" s="18" t="s">
        <v>33</v>
      </c>
    </row>
    <row r="614" spans="1:22" ht="15" customHeight="1" x14ac:dyDescent="0.25">
      <c r="A614" s="15" t="s">
        <v>1291</v>
      </c>
      <c r="B614" s="1" t="s">
        <v>1292</v>
      </c>
      <c r="C614">
        <v>86</v>
      </c>
      <c r="D614" s="1" t="s">
        <v>36</v>
      </c>
      <c r="E614" s="1" t="s">
        <v>48</v>
      </c>
      <c r="F614" s="1" t="s">
        <v>83</v>
      </c>
      <c r="G614" s="1" t="s">
        <v>163</v>
      </c>
      <c r="H614" s="1" t="s">
        <v>26</v>
      </c>
      <c r="I614" s="7">
        <v>44299</v>
      </c>
      <c r="J614" s="7">
        <v>44302</v>
      </c>
      <c r="K614" s="1">
        <v>3</v>
      </c>
      <c r="L614" s="1" t="s">
        <v>122</v>
      </c>
      <c r="M614" s="1" t="s">
        <v>40</v>
      </c>
      <c r="N614" s="1" t="s">
        <v>164</v>
      </c>
      <c r="O614" s="1" t="s">
        <v>104</v>
      </c>
      <c r="P614" s="29">
        <v>53434.45</v>
      </c>
      <c r="Q614" s="1" t="s">
        <v>257</v>
      </c>
      <c r="R614" s="1">
        <v>6</v>
      </c>
      <c r="S614" s="1">
        <v>326</v>
      </c>
      <c r="T614" s="1">
        <v>28.1</v>
      </c>
      <c r="U614" s="1" t="s">
        <v>32</v>
      </c>
      <c r="V614" s="17" t="s">
        <v>33</v>
      </c>
    </row>
    <row r="615" spans="1:22" ht="15" customHeight="1" x14ac:dyDescent="0.25">
      <c r="A615" s="16" t="s">
        <v>1293</v>
      </c>
      <c r="B615" s="3" t="s">
        <v>1294</v>
      </c>
      <c r="C615">
        <v>67</v>
      </c>
      <c r="D615" s="3" t="s">
        <v>82</v>
      </c>
      <c r="E615" s="3" t="s">
        <v>23</v>
      </c>
      <c r="F615" s="3" t="s">
        <v>83</v>
      </c>
      <c r="G615" s="3" t="s">
        <v>50</v>
      </c>
      <c r="H615" s="3" t="s">
        <v>51</v>
      </c>
      <c r="I615" s="6">
        <v>44070</v>
      </c>
      <c r="J615" s="8">
        <v>43930</v>
      </c>
      <c r="K615" s="3">
        <v>8</v>
      </c>
      <c r="L615" s="3" t="s">
        <v>89</v>
      </c>
      <c r="M615" s="3" t="s">
        <v>90</v>
      </c>
      <c r="N615" s="3" t="s">
        <v>54</v>
      </c>
      <c r="O615" s="3" t="s">
        <v>42</v>
      </c>
      <c r="P615" s="30">
        <v>38293.9</v>
      </c>
      <c r="Q615" s="3" t="s">
        <v>56</v>
      </c>
      <c r="R615" s="3">
        <v>9</v>
      </c>
      <c r="S615" s="3">
        <v>193</v>
      </c>
      <c r="T615" s="3">
        <v>26.4</v>
      </c>
      <c r="U615" s="3" t="s">
        <v>32</v>
      </c>
      <c r="V615" s="18" t="s">
        <v>45</v>
      </c>
    </row>
    <row r="616" spans="1:22" ht="15" customHeight="1" x14ac:dyDescent="0.25">
      <c r="A616" s="15" t="s">
        <v>1295</v>
      </c>
      <c r="B616" s="1" t="s">
        <v>1296</v>
      </c>
      <c r="C616">
        <v>57</v>
      </c>
      <c r="D616" s="1" t="s">
        <v>59</v>
      </c>
      <c r="E616" s="1" t="s">
        <v>23</v>
      </c>
      <c r="F616" s="1" t="s">
        <v>37</v>
      </c>
      <c r="G616" s="1" t="s">
        <v>163</v>
      </c>
      <c r="H616" s="1" t="s">
        <v>51</v>
      </c>
      <c r="I616" s="6">
        <v>43560</v>
      </c>
      <c r="J616" s="7">
        <v>43713</v>
      </c>
      <c r="K616" s="1">
        <v>5</v>
      </c>
      <c r="L616" s="1" t="s">
        <v>132</v>
      </c>
      <c r="M616" s="1" t="s">
        <v>53</v>
      </c>
      <c r="N616" s="1" t="s">
        <v>346</v>
      </c>
      <c r="O616" s="1" t="s">
        <v>42</v>
      </c>
      <c r="P616" s="29">
        <v>24449.99</v>
      </c>
      <c r="Q616" s="1" t="s">
        <v>62</v>
      </c>
      <c r="R616" s="1">
        <v>3</v>
      </c>
      <c r="S616" s="1">
        <v>153</v>
      </c>
      <c r="T616" s="1">
        <v>26.9</v>
      </c>
      <c r="U616" s="1" t="s">
        <v>32</v>
      </c>
      <c r="V616" s="17" t="s">
        <v>33</v>
      </c>
    </row>
    <row r="617" spans="1:22" ht="15" customHeight="1" x14ac:dyDescent="0.25">
      <c r="A617" s="16" t="s">
        <v>1297</v>
      </c>
      <c r="B617" s="3" t="s">
        <v>1298</v>
      </c>
      <c r="C617">
        <v>59</v>
      </c>
      <c r="D617" s="3" t="s">
        <v>59</v>
      </c>
      <c r="E617" s="3" t="s">
        <v>48</v>
      </c>
      <c r="F617" s="3" t="s">
        <v>70</v>
      </c>
      <c r="G617" s="3" t="s">
        <v>71</v>
      </c>
      <c r="H617" s="3" t="s">
        <v>51</v>
      </c>
      <c r="I617" s="6">
        <v>45629</v>
      </c>
      <c r="J617" s="8">
        <v>45366</v>
      </c>
      <c r="K617" s="3">
        <v>3</v>
      </c>
      <c r="L617" s="3" t="s">
        <v>39</v>
      </c>
      <c r="M617" s="3" t="s">
        <v>40</v>
      </c>
      <c r="N617" s="3" t="s">
        <v>72</v>
      </c>
      <c r="O617" s="3" t="s">
        <v>104</v>
      </c>
      <c r="P617" s="30">
        <v>9147.2199999999993</v>
      </c>
      <c r="Q617" s="3" t="s">
        <v>503</v>
      </c>
      <c r="R617" s="3">
        <v>5</v>
      </c>
      <c r="S617" s="3">
        <v>158</v>
      </c>
      <c r="T617" s="3">
        <v>27.5</v>
      </c>
      <c r="U617" s="3" t="s">
        <v>44</v>
      </c>
      <c r="V617" s="18" t="s">
        <v>33</v>
      </c>
    </row>
    <row r="618" spans="1:22" ht="15" customHeight="1" x14ac:dyDescent="0.25">
      <c r="A618" s="15" t="s">
        <v>1299</v>
      </c>
      <c r="B618" s="1" t="s">
        <v>1300</v>
      </c>
      <c r="C618">
        <v>72</v>
      </c>
      <c r="D618" s="1" t="s">
        <v>82</v>
      </c>
      <c r="E618" s="1" t="s">
        <v>23</v>
      </c>
      <c r="F618" s="1" t="s">
        <v>37</v>
      </c>
      <c r="G618" s="1" t="s">
        <v>77</v>
      </c>
      <c r="H618" s="1" t="s">
        <v>26</v>
      </c>
      <c r="I618" s="6">
        <v>43700</v>
      </c>
      <c r="J618" s="7">
        <v>43714</v>
      </c>
      <c r="K618" s="1">
        <v>14</v>
      </c>
      <c r="L618" s="1" t="s">
        <v>132</v>
      </c>
      <c r="M618" s="1" t="s">
        <v>53</v>
      </c>
      <c r="N618" s="1" t="s">
        <v>84</v>
      </c>
      <c r="O618" s="1" t="s">
        <v>104</v>
      </c>
      <c r="P618" s="29">
        <v>105120.78</v>
      </c>
      <c r="Q618" s="1" t="s">
        <v>95</v>
      </c>
      <c r="R618" s="1">
        <v>9</v>
      </c>
      <c r="S618" s="1">
        <v>372</v>
      </c>
      <c r="T618" s="4"/>
      <c r="U618" s="1" t="s">
        <v>44</v>
      </c>
      <c r="V618" s="17" t="s">
        <v>33</v>
      </c>
    </row>
    <row r="619" spans="1:22" ht="15" customHeight="1" x14ac:dyDescent="0.25">
      <c r="A619" s="16" t="s">
        <v>1301</v>
      </c>
      <c r="B619" s="3" t="s">
        <v>1302</v>
      </c>
      <c r="C619">
        <v>47</v>
      </c>
      <c r="D619" s="3" t="s">
        <v>98</v>
      </c>
      <c r="E619" s="3" t="s">
        <v>23</v>
      </c>
      <c r="F619" s="3" t="s">
        <v>76</v>
      </c>
      <c r="G619" s="3" t="s">
        <v>71</v>
      </c>
      <c r="H619" s="3" t="s">
        <v>78</v>
      </c>
      <c r="I619" s="8">
        <v>43545</v>
      </c>
      <c r="J619" s="8">
        <v>43546</v>
      </c>
      <c r="K619" s="3">
        <v>1</v>
      </c>
      <c r="L619" s="3" t="s">
        <v>122</v>
      </c>
      <c r="M619" s="3" t="s">
        <v>40</v>
      </c>
      <c r="N619" s="3" t="s">
        <v>312</v>
      </c>
      <c r="O619" s="3" t="s">
        <v>55</v>
      </c>
      <c r="P619" s="30">
        <v>11450.09</v>
      </c>
      <c r="Q619" s="3" t="s">
        <v>374</v>
      </c>
      <c r="R619" s="3">
        <v>5</v>
      </c>
      <c r="S619" s="3">
        <v>327</v>
      </c>
      <c r="T619" s="3">
        <v>23</v>
      </c>
      <c r="U619" s="3" t="s">
        <v>32</v>
      </c>
      <c r="V619" s="18" t="s">
        <v>33</v>
      </c>
    </row>
    <row r="620" spans="1:22" ht="15" customHeight="1" x14ac:dyDescent="0.25">
      <c r="A620" s="15" t="s">
        <v>1303</v>
      </c>
      <c r="B620" s="2" t="s">
        <v>3613</v>
      </c>
      <c r="C620">
        <v>76</v>
      </c>
      <c r="D620" s="1" t="s">
        <v>36</v>
      </c>
      <c r="E620" s="1" t="s">
        <v>48</v>
      </c>
      <c r="F620" s="1" t="s">
        <v>37</v>
      </c>
      <c r="G620" s="1" t="s">
        <v>38</v>
      </c>
      <c r="H620" s="1" t="s">
        <v>156</v>
      </c>
      <c r="I620" s="7">
        <v>44797</v>
      </c>
      <c r="J620" s="7">
        <v>44800</v>
      </c>
      <c r="K620" s="1">
        <v>3</v>
      </c>
      <c r="L620" s="1" t="s">
        <v>39</v>
      </c>
      <c r="M620" s="1" t="s">
        <v>40</v>
      </c>
      <c r="N620" s="1" t="s">
        <v>173</v>
      </c>
      <c r="O620" s="1" t="s">
        <v>42</v>
      </c>
      <c r="P620" s="29">
        <v>15788.95</v>
      </c>
      <c r="Q620" s="1" t="s">
        <v>236</v>
      </c>
      <c r="R620" s="1">
        <v>7</v>
      </c>
      <c r="S620" s="1">
        <v>314</v>
      </c>
      <c r="T620" s="1">
        <v>39.1</v>
      </c>
      <c r="U620" s="1" t="s">
        <v>44</v>
      </c>
      <c r="V620" s="17" t="s">
        <v>45</v>
      </c>
    </row>
    <row r="621" spans="1:22" ht="15" customHeight="1" x14ac:dyDescent="0.25">
      <c r="A621" s="16" t="s">
        <v>1304</v>
      </c>
      <c r="B621" s="3" t="s">
        <v>1305</v>
      </c>
      <c r="C621">
        <v>44</v>
      </c>
      <c r="D621" s="3" t="s">
        <v>98</v>
      </c>
      <c r="E621" s="3" t="s">
        <v>23</v>
      </c>
      <c r="F621" s="3" t="s">
        <v>99</v>
      </c>
      <c r="G621" s="3" t="s">
        <v>38</v>
      </c>
      <c r="H621" s="3" t="s">
        <v>26</v>
      </c>
      <c r="I621" s="8">
        <v>43468</v>
      </c>
      <c r="J621" s="8">
        <v>43473</v>
      </c>
      <c r="K621" s="3">
        <v>5</v>
      </c>
      <c r="L621" s="3" t="s">
        <v>52</v>
      </c>
      <c r="M621" s="3" t="s">
        <v>53</v>
      </c>
      <c r="N621" s="3" t="s">
        <v>203</v>
      </c>
      <c r="O621" s="3" t="s">
        <v>42</v>
      </c>
      <c r="P621" s="30">
        <v>30011.63</v>
      </c>
      <c r="Q621" s="3" t="s">
        <v>567</v>
      </c>
      <c r="R621" s="3">
        <v>8</v>
      </c>
      <c r="S621" s="3">
        <v>417</v>
      </c>
      <c r="T621" s="3">
        <v>23.8</v>
      </c>
      <c r="U621" s="3" t="s">
        <v>44</v>
      </c>
      <c r="V621" s="18" t="s">
        <v>45</v>
      </c>
    </row>
    <row r="622" spans="1:22" ht="15" customHeight="1" x14ac:dyDescent="0.25">
      <c r="A622" s="15" t="s">
        <v>1306</v>
      </c>
      <c r="B622" s="1" t="s">
        <v>392</v>
      </c>
      <c r="C622">
        <v>40</v>
      </c>
      <c r="D622" s="1" t="s">
        <v>98</v>
      </c>
      <c r="E622" s="1" t="s">
        <v>23</v>
      </c>
      <c r="F622" s="1" t="s">
        <v>83</v>
      </c>
      <c r="G622" s="1" t="s">
        <v>77</v>
      </c>
      <c r="H622" s="1" t="s">
        <v>26</v>
      </c>
      <c r="I622" s="7">
        <v>45622</v>
      </c>
      <c r="J622" s="7">
        <v>45626</v>
      </c>
      <c r="K622" s="1">
        <v>4</v>
      </c>
      <c r="L622" s="1" t="s">
        <v>122</v>
      </c>
      <c r="M622" s="1" t="s">
        <v>40</v>
      </c>
      <c r="N622" s="1" t="s">
        <v>84</v>
      </c>
      <c r="O622" s="1" t="s">
        <v>66</v>
      </c>
      <c r="P622" s="29">
        <v>180658</v>
      </c>
      <c r="Q622" s="1" t="s">
        <v>181</v>
      </c>
      <c r="R622" s="1">
        <v>10</v>
      </c>
      <c r="S622" s="1">
        <v>320</v>
      </c>
      <c r="T622" s="1">
        <v>32.6</v>
      </c>
      <c r="U622" s="1" t="s">
        <v>44</v>
      </c>
      <c r="V622" s="17" t="s">
        <v>33</v>
      </c>
    </row>
    <row r="623" spans="1:22" ht="15" customHeight="1" x14ac:dyDescent="0.25">
      <c r="A623" s="16" t="s">
        <v>1307</v>
      </c>
      <c r="B623" s="3" t="s">
        <v>1308</v>
      </c>
      <c r="C623">
        <v>52</v>
      </c>
      <c r="D623" s="3" t="s">
        <v>98</v>
      </c>
      <c r="E623" s="3" t="s">
        <v>23</v>
      </c>
      <c r="F623" s="3" t="s">
        <v>76</v>
      </c>
      <c r="G623" s="3" t="s">
        <v>1161</v>
      </c>
      <c r="H623" s="3" t="s">
        <v>78</v>
      </c>
      <c r="I623" s="8">
        <v>43701</v>
      </c>
      <c r="J623" s="8">
        <v>43710</v>
      </c>
      <c r="K623" s="3">
        <v>9</v>
      </c>
      <c r="L623" s="3" t="s">
        <v>89</v>
      </c>
      <c r="M623" s="3" t="s">
        <v>90</v>
      </c>
      <c r="N623" s="3" t="s">
        <v>248</v>
      </c>
      <c r="O623" s="3" t="s">
        <v>42</v>
      </c>
      <c r="P623" s="30">
        <v>18177.21</v>
      </c>
      <c r="Q623" s="3" t="s">
        <v>310</v>
      </c>
      <c r="R623" s="3">
        <v>12</v>
      </c>
      <c r="S623" s="3">
        <v>290</v>
      </c>
      <c r="T623" s="3">
        <v>24.3</v>
      </c>
      <c r="U623" s="3" t="s">
        <v>44</v>
      </c>
      <c r="V623" s="18" t="s">
        <v>33</v>
      </c>
    </row>
    <row r="624" spans="1:22" ht="15" customHeight="1" x14ac:dyDescent="0.25">
      <c r="A624" s="15" t="s">
        <v>1309</v>
      </c>
      <c r="B624" s="1" t="s">
        <v>268</v>
      </c>
      <c r="C624">
        <v>69</v>
      </c>
      <c r="D624" s="1" t="s">
        <v>82</v>
      </c>
      <c r="E624" s="1" t="s">
        <v>48</v>
      </c>
      <c r="F624" s="1" t="s">
        <v>155</v>
      </c>
      <c r="G624" s="1" t="s">
        <v>77</v>
      </c>
      <c r="H624" s="1" t="s">
        <v>26</v>
      </c>
      <c r="I624" s="7">
        <v>43875</v>
      </c>
      <c r="J624" s="7">
        <v>43884</v>
      </c>
      <c r="K624" s="1">
        <v>9</v>
      </c>
      <c r="L624" s="1" t="s">
        <v>185</v>
      </c>
      <c r="M624" s="1" t="s">
        <v>186</v>
      </c>
      <c r="N624" s="1" t="s">
        <v>79</v>
      </c>
      <c r="O624" s="1" t="s">
        <v>42</v>
      </c>
      <c r="P624" s="29">
        <v>83120.240000000005</v>
      </c>
      <c r="Q624" s="1" t="s">
        <v>109</v>
      </c>
      <c r="R624" s="1">
        <v>10</v>
      </c>
      <c r="S624" s="1">
        <v>398</v>
      </c>
      <c r="T624" s="1">
        <v>20.100000000000001</v>
      </c>
      <c r="U624" s="1" t="s">
        <v>44</v>
      </c>
      <c r="V624" s="17" t="s">
        <v>33</v>
      </c>
    </row>
    <row r="625" spans="1:22" ht="15" customHeight="1" x14ac:dyDescent="0.25">
      <c r="A625" s="16" t="s">
        <v>1310</v>
      </c>
      <c r="B625" s="2" t="s">
        <v>3614</v>
      </c>
      <c r="C625">
        <v>83</v>
      </c>
      <c r="D625" s="3" t="s">
        <v>36</v>
      </c>
      <c r="E625" s="3" t="s">
        <v>23</v>
      </c>
      <c r="F625" s="3" t="s">
        <v>76</v>
      </c>
      <c r="G625" s="3" t="s">
        <v>25</v>
      </c>
      <c r="H625" s="3" t="s">
        <v>51</v>
      </c>
      <c r="I625" s="8">
        <v>44825</v>
      </c>
      <c r="J625" s="8">
        <v>44833</v>
      </c>
      <c r="K625" s="3">
        <v>8</v>
      </c>
      <c r="L625" s="3" t="s">
        <v>112</v>
      </c>
      <c r="M625" s="3" t="s">
        <v>40</v>
      </c>
      <c r="N625" s="3" t="s">
        <v>29</v>
      </c>
      <c r="O625" s="3" t="s">
        <v>42</v>
      </c>
      <c r="P625" s="30">
        <v>97791.25</v>
      </c>
      <c r="Q625" s="3" t="s">
        <v>31</v>
      </c>
      <c r="R625" s="3">
        <v>12</v>
      </c>
      <c r="S625" s="3">
        <v>116</v>
      </c>
      <c r="T625" s="3">
        <v>24.6</v>
      </c>
      <c r="U625" s="3" t="s">
        <v>44</v>
      </c>
      <c r="V625" s="18" t="s">
        <v>33</v>
      </c>
    </row>
    <row r="626" spans="1:22" ht="15" customHeight="1" x14ac:dyDescent="0.25">
      <c r="A626" s="15" t="s">
        <v>1311</v>
      </c>
      <c r="B626" s="1" t="s">
        <v>1243</v>
      </c>
      <c r="C626">
        <v>25</v>
      </c>
      <c r="D626" s="1" t="s">
        <v>47</v>
      </c>
      <c r="E626" s="1" t="s">
        <v>48</v>
      </c>
      <c r="F626" s="1" t="s">
        <v>155</v>
      </c>
      <c r="G626" s="1" t="s">
        <v>226</v>
      </c>
      <c r="H626" s="1" t="s">
        <v>26</v>
      </c>
      <c r="I626" s="7">
        <v>44494</v>
      </c>
      <c r="J626" s="7">
        <v>44503</v>
      </c>
      <c r="K626" s="1">
        <v>9</v>
      </c>
      <c r="L626" s="1" t="s">
        <v>39</v>
      </c>
      <c r="M626" s="1" t="s">
        <v>40</v>
      </c>
      <c r="N626" s="1" t="s">
        <v>79</v>
      </c>
      <c r="O626" s="1" t="s">
        <v>42</v>
      </c>
      <c r="P626" s="29">
        <v>41895.870000000003</v>
      </c>
      <c r="Q626" s="1" t="s">
        <v>91</v>
      </c>
      <c r="R626" s="1">
        <v>10</v>
      </c>
      <c r="S626" s="1">
        <v>385</v>
      </c>
      <c r="T626" s="1">
        <v>28.3</v>
      </c>
      <c r="U626" s="1" t="s">
        <v>44</v>
      </c>
      <c r="V626" s="17" t="s">
        <v>33</v>
      </c>
    </row>
    <row r="627" spans="1:22" ht="15" customHeight="1" x14ac:dyDescent="0.25">
      <c r="A627" s="16" t="s">
        <v>1312</v>
      </c>
      <c r="B627" s="3" t="s">
        <v>1313</v>
      </c>
      <c r="C627">
        <v>70</v>
      </c>
      <c r="D627" s="3" t="s">
        <v>82</v>
      </c>
      <c r="E627" s="3" t="s">
        <v>48</v>
      </c>
      <c r="F627" s="3" t="s">
        <v>37</v>
      </c>
      <c r="G627" s="3" t="s">
        <v>38</v>
      </c>
      <c r="H627" s="3" t="s">
        <v>51</v>
      </c>
      <c r="I627" s="6">
        <v>45423</v>
      </c>
      <c r="J627" s="8">
        <v>45426</v>
      </c>
      <c r="K627" s="3">
        <v>3</v>
      </c>
      <c r="L627" s="3" t="s">
        <v>27</v>
      </c>
      <c r="M627" s="3" t="s">
        <v>28</v>
      </c>
      <c r="N627" s="3" t="s">
        <v>203</v>
      </c>
      <c r="O627" s="3" t="s">
        <v>30</v>
      </c>
      <c r="P627" s="30">
        <v>8805.49</v>
      </c>
      <c r="Q627" s="3" t="s">
        <v>174</v>
      </c>
      <c r="R627" s="3">
        <v>8</v>
      </c>
      <c r="S627" s="3">
        <v>123</v>
      </c>
      <c r="T627" s="3">
        <v>34.9</v>
      </c>
      <c r="U627" s="3" t="s">
        <v>32</v>
      </c>
      <c r="V627" s="18" t="s">
        <v>45</v>
      </c>
    </row>
    <row r="628" spans="1:22" ht="15" customHeight="1" x14ac:dyDescent="0.25">
      <c r="A628" s="15" t="s">
        <v>1314</v>
      </c>
      <c r="B628" s="1" t="s">
        <v>1315</v>
      </c>
      <c r="C628">
        <v>71</v>
      </c>
      <c r="D628" s="1" t="s">
        <v>82</v>
      </c>
      <c r="E628" s="1" t="s">
        <v>23</v>
      </c>
      <c r="F628" s="1" t="s">
        <v>37</v>
      </c>
      <c r="G628" s="1" t="s">
        <v>77</v>
      </c>
      <c r="H628" s="1" t="s">
        <v>78</v>
      </c>
      <c r="I628" s="6">
        <v>43837</v>
      </c>
      <c r="J628" s="7">
        <v>43851</v>
      </c>
      <c r="K628" s="1">
        <v>14</v>
      </c>
      <c r="L628" s="1" t="s">
        <v>102</v>
      </c>
      <c r="M628" s="1" t="s">
        <v>28</v>
      </c>
      <c r="N628" s="1" t="s">
        <v>84</v>
      </c>
      <c r="O628" s="1" t="s">
        <v>30</v>
      </c>
      <c r="P628" s="29">
        <v>53309</v>
      </c>
      <c r="Q628" s="1" t="s">
        <v>95</v>
      </c>
      <c r="R628" s="1">
        <v>10</v>
      </c>
      <c r="S628" s="1">
        <v>275</v>
      </c>
      <c r="T628" s="1">
        <v>20.7</v>
      </c>
      <c r="U628" s="1" t="s">
        <v>44</v>
      </c>
      <c r="V628" s="17" t="s">
        <v>33</v>
      </c>
    </row>
    <row r="629" spans="1:22" ht="15" customHeight="1" x14ac:dyDescent="0.25">
      <c r="A629" s="16" t="s">
        <v>1316</v>
      </c>
      <c r="B629" s="3" t="s">
        <v>1317</v>
      </c>
      <c r="C629">
        <v>50</v>
      </c>
      <c r="D629" s="3" t="s">
        <v>98</v>
      </c>
      <c r="E629" s="3" t="s">
        <v>48</v>
      </c>
      <c r="F629" s="3" t="s">
        <v>155</v>
      </c>
      <c r="G629" s="3" t="s">
        <v>38</v>
      </c>
      <c r="H629" s="3" t="s">
        <v>26</v>
      </c>
      <c r="I629" s="8">
        <v>44365</v>
      </c>
      <c r="J629" s="8">
        <v>44369</v>
      </c>
      <c r="K629" s="3">
        <v>4</v>
      </c>
      <c r="L629" s="3" t="s">
        <v>52</v>
      </c>
      <c r="M629" s="3" t="s">
        <v>53</v>
      </c>
      <c r="N629" s="3" t="s">
        <v>203</v>
      </c>
      <c r="O629" s="3" t="s">
        <v>30</v>
      </c>
      <c r="P629" s="30">
        <v>15855.58</v>
      </c>
      <c r="Q629" s="3" t="s">
        <v>236</v>
      </c>
      <c r="R629" s="3">
        <v>8</v>
      </c>
      <c r="S629" s="3">
        <v>336</v>
      </c>
      <c r="T629" s="4"/>
      <c r="U629" s="3" t="s">
        <v>44</v>
      </c>
      <c r="V629" s="18" t="s">
        <v>45</v>
      </c>
    </row>
    <row r="630" spans="1:22" ht="15" customHeight="1" x14ac:dyDescent="0.25">
      <c r="A630" s="15" t="s">
        <v>1318</v>
      </c>
      <c r="B630" s="1" t="s">
        <v>1319</v>
      </c>
      <c r="C630">
        <v>88</v>
      </c>
      <c r="D630" s="1" t="s">
        <v>36</v>
      </c>
      <c r="E630" s="1" t="s">
        <v>48</v>
      </c>
      <c r="F630" s="1" t="s">
        <v>99</v>
      </c>
      <c r="G630" s="1" t="s">
        <v>38</v>
      </c>
      <c r="H630" s="1" t="s">
        <v>51</v>
      </c>
      <c r="I630" s="7">
        <v>44915</v>
      </c>
      <c r="J630" s="7">
        <v>44918</v>
      </c>
      <c r="K630" s="1">
        <v>3</v>
      </c>
      <c r="L630" s="1" t="s">
        <v>112</v>
      </c>
      <c r="M630" s="1" t="s">
        <v>40</v>
      </c>
      <c r="N630" s="1" t="s">
        <v>203</v>
      </c>
      <c r="O630" s="1" t="s">
        <v>104</v>
      </c>
      <c r="P630" s="29">
        <v>28134.18</v>
      </c>
      <c r="Q630" s="1" t="s">
        <v>236</v>
      </c>
      <c r="R630" s="1">
        <v>8</v>
      </c>
      <c r="S630" s="1">
        <v>155</v>
      </c>
      <c r="T630" s="1">
        <v>31.2</v>
      </c>
      <c r="U630" s="1" t="s">
        <v>86</v>
      </c>
      <c r="V630" s="17" t="s">
        <v>33</v>
      </c>
    </row>
    <row r="631" spans="1:22" ht="15" customHeight="1" x14ac:dyDescent="0.25">
      <c r="A631" s="16" t="s">
        <v>1320</v>
      </c>
      <c r="B631" s="3" t="s">
        <v>1321</v>
      </c>
      <c r="C631">
        <v>44</v>
      </c>
      <c r="D631" s="3" t="s">
        <v>98</v>
      </c>
      <c r="E631" s="3" t="s">
        <v>23</v>
      </c>
      <c r="F631" s="2" t="s">
        <v>155</v>
      </c>
      <c r="G631" s="3" t="s">
        <v>131</v>
      </c>
      <c r="H631" s="3" t="s">
        <v>26</v>
      </c>
      <c r="I631" s="6">
        <v>43743</v>
      </c>
      <c r="J631" s="8">
        <v>43599</v>
      </c>
      <c r="K631" s="3">
        <v>4</v>
      </c>
      <c r="L631" s="3" t="s">
        <v>132</v>
      </c>
      <c r="M631" s="3" t="s">
        <v>53</v>
      </c>
      <c r="N631" s="3" t="s">
        <v>147</v>
      </c>
      <c r="O631" s="3" t="s">
        <v>42</v>
      </c>
      <c r="P631" s="30">
        <v>33606.94</v>
      </c>
      <c r="Q631" s="3" t="s">
        <v>158</v>
      </c>
      <c r="R631" s="3">
        <v>7</v>
      </c>
      <c r="S631" s="3">
        <v>379</v>
      </c>
      <c r="T631" s="3">
        <v>17.399999999999999</v>
      </c>
      <c r="U631" s="3" t="s">
        <v>44</v>
      </c>
      <c r="V631" s="18" t="s">
        <v>33</v>
      </c>
    </row>
    <row r="632" spans="1:22" ht="15" customHeight="1" x14ac:dyDescent="0.25">
      <c r="A632" s="15" t="s">
        <v>1322</v>
      </c>
      <c r="B632" s="1" t="s">
        <v>858</v>
      </c>
      <c r="C632">
        <v>84</v>
      </c>
      <c r="D632" s="1" t="s">
        <v>36</v>
      </c>
      <c r="E632" s="1" t="s">
        <v>23</v>
      </c>
      <c r="F632" s="1" t="s">
        <v>70</v>
      </c>
      <c r="G632" s="1" t="s">
        <v>77</v>
      </c>
      <c r="H632" s="1" t="s">
        <v>26</v>
      </c>
      <c r="I632" s="7">
        <v>44691</v>
      </c>
      <c r="J632" s="7">
        <v>44859</v>
      </c>
      <c r="K632" s="1">
        <v>20</v>
      </c>
      <c r="L632" s="1" t="s">
        <v>89</v>
      </c>
      <c r="M632" s="1" t="s">
        <v>90</v>
      </c>
      <c r="N632" s="1" t="s">
        <v>216</v>
      </c>
      <c r="O632" s="1" t="s">
        <v>30</v>
      </c>
      <c r="P632" s="29">
        <v>77899.45</v>
      </c>
      <c r="Q632" s="1" t="s">
        <v>91</v>
      </c>
      <c r="R632" s="1">
        <v>10</v>
      </c>
      <c r="S632" s="1">
        <v>301</v>
      </c>
      <c r="T632" s="1">
        <v>28.5</v>
      </c>
      <c r="U632" s="1" t="s">
        <v>44</v>
      </c>
      <c r="V632" s="17" t="s">
        <v>33</v>
      </c>
    </row>
    <row r="633" spans="1:22" ht="15" customHeight="1" x14ac:dyDescent="0.25">
      <c r="A633" s="16" t="s">
        <v>1323</v>
      </c>
      <c r="B633" s="2" t="s">
        <v>3615</v>
      </c>
      <c r="C633">
        <v>60</v>
      </c>
      <c r="D633" s="3" t="s">
        <v>59</v>
      </c>
      <c r="E633" s="3" t="s">
        <v>23</v>
      </c>
      <c r="F633" s="3" t="s">
        <v>99</v>
      </c>
      <c r="G633" s="3" t="s">
        <v>38</v>
      </c>
      <c r="H633" s="3" t="s">
        <v>51</v>
      </c>
      <c r="I633" s="8">
        <v>43599</v>
      </c>
      <c r="J633" s="8">
        <v>43604</v>
      </c>
      <c r="K633" s="3">
        <v>5</v>
      </c>
      <c r="L633" s="3" t="s">
        <v>89</v>
      </c>
      <c r="M633" s="3" t="s">
        <v>90</v>
      </c>
      <c r="N633" s="3" t="s">
        <v>41</v>
      </c>
      <c r="O633" s="3" t="s">
        <v>30</v>
      </c>
      <c r="P633" s="30">
        <v>9995.69</v>
      </c>
      <c r="Q633" s="3" t="s">
        <v>43</v>
      </c>
      <c r="R633" s="3">
        <v>8</v>
      </c>
      <c r="S633" s="3">
        <v>106</v>
      </c>
      <c r="T633" s="3">
        <v>23.5</v>
      </c>
      <c r="U633" s="3" t="s">
        <v>44</v>
      </c>
      <c r="V633" s="18" t="s">
        <v>33</v>
      </c>
    </row>
    <row r="634" spans="1:22" ht="15" customHeight="1" x14ac:dyDescent="0.25">
      <c r="A634" s="15" t="s">
        <v>1324</v>
      </c>
      <c r="B634" s="1" t="s">
        <v>1325</v>
      </c>
      <c r="C634">
        <v>70</v>
      </c>
      <c r="D634" s="1" t="s">
        <v>82</v>
      </c>
      <c r="E634" s="1" t="s">
        <v>48</v>
      </c>
      <c r="F634" s="1" t="s">
        <v>99</v>
      </c>
      <c r="G634" s="1" t="s">
        <v>38</v>
      </c>
      <c r="H634" s="1" t="s">
        <v>26</v>
      </c>
      <c r="I634" s="6">
        <v>43534</v>
      </c>
      <c r="J634" s="7">
        <v>43746</v>
      </c>
      <c r="K634" s="1">
        <v>5</v>
      </c>
      <c r="L634" s="1" t="s">
        <v>112</v>
      </c>
      <c r="M634" s="1" t="s">
        <v>40</v>
      </c>
      <c r="N634" s="1" t="s">
        <v>173</v>
      </c>
      <c r="O634" s="1" t="s">
        <v>42</v>
      </c>
      <c r="P634" s="29">
        <v>50363.99</v>
      </c>
      <c r="Q634" s="1" t="s">
        <v>567</v>
      </c>
      <c r="R634" s="1">
        <v>6</v>
      </c>
      <c r="S634" s="1">
        <v>332</v>
      </c>
      <c r="T634" s="4"/>
      <c r="U634" s="1" t="s">
        <v>44</v>
      </c>
      <c r="V634" s="17" t="s">
        <v>33</v>
      </c>
    </row>
    <row r="635" spans="1:22" ht="15" customHeight="1" x14ac:dyDescent="0.25">
      <c r="A635" s="16" t="s">
        <v>1326</v>
      </c>
      <c r="B635" s="3" t="s">
        <v>1327</v>
      </c>
      <c r="C635">
        <v>48</v>
      </c>
      <c r="D635" s="3" t="s">
        <v>98</v>
      </c>
      <c r="E635" s="3" t="s">
        <v>48</v>
      </c>
      <c r="F635" s="3" t="s">
        <v>76</v>
      </c>
      <c r="G635" s="3" t="s">
        <v>131</v>
      </c>
      <c r="H635" s="3" t="s">
        <v>26</v>
      </c>
      <c r="I635" s="6">
        <v>45551</v>
      </c>
      <c r="J635" s="8">
        <v>45560</v>
      </c>
      <c r="K635" s="3">
        <v>9</v>
      </c>
      <c r="L635" s="3" t="s">
        <v>122</v>
      </c>
      <c r="M635" s="3" t="s">
        <v>40</v>
      </c>
      <c r="N635" s="3" t="s">
        <v>157</v>
      </c>
      <c r="O635" s="3" t="s">
        <v>30</v>
      </c>
      <c r="P635" s="30">
        <v>34402.46</v>
      </c>
      <c r="Q635" s="3" t="s">
        <v>266</v>
      </c>
      <c r="R635" s="3">
        <v>7</v>
      </c>
      <c r="S635" s="3">
        <v>335</v>
      </c>
      <c r="T635" s="3">
        <v>24.1</v>
      </c>
      <c r="U635" s="3" t="s">
        <v>44</v>
      </c>
      <c r="V635" s="18" t="s">
        <v>33</v>
      </c>
    </row>
    <row r="636" spans="1:22" ht="15" customHeight="1" x14ac:dyDescent="0.25">
      <c r="A636" s="15" t="s">
        <v>1328</v>
      </c>
      <c r="B636" s="1" t="s">
        <v>1329</v>
      </c>
      <c r="C636">
        <v>71</v>
      </c>
      <c r="D636" s="1" t="s">
        <v>82</v>
      </c>
      <c r="E636" s="1" t="s">
        <v>23</v>
      </c>
      <c r="F636" s="1" t="s">
        <v>37</v>
      </c>
      <c r="G636" s="1" t="s">
        <v>38</v>
      </c>
      <c r="H636" s="1" t="s">
        <v>51</v>
      </c>
      <c r="I636" s="7">
        <v>44303</v>
      </c>
      <c r="J636" s="7">
        <v>44306</v>
      </c>
      <c r="K636" s="1">
        <v>3</v>
      </c>
      <c r="L636" s="1" t="s">
        <v>122</v>
      </c>
      <c r="M636" s="1" t="s">
        <v>40</v>
      </c>
      <c r="N636" s="1" t="s">
        <v>203</v>
      </c>
      <c r="O636" s="1" t="s">
        <v>104</v>
      </c>
      <c r="P636" s="29">
        <v>13385.86</v>
      </c>
      <c r="Q636" s="1" t="s">
        <v>174</v>
      </c>
      <c r="R636" s="1">
        <v>5</v>
      </c>
      <c r="S636" s="1">
        <v>188</v>
      </c>
      <c r="T636" s="1">
        <v>38</v>
      </c>
      <c r="U636" s="1" t="s">
        <v>32</v>
      </c>
      <c r="V636" s="17" t="s">
        <v>33</v>
      </c>
    </row>
    <row r="637" spans="1:22" ht="15" customHeight="1" x14ac:dyDescent="0.25">
      <c r="A637" s="16" t="s">
        <v>1330</v>
      </c>
      <c r="B637" s="3" t="s">
        <v>1331</v>
      </c>
      <c r="C637">
        <v>66</v>
      </c>
      <c r="D637" s="3" t="s">
        <v>82</v>
      </c>
      <c r="E637" s="3" t="s">
        <v>48</v>
      </c>
      <c r="F637" s="3" t="s">
        <v>37</v>
      </c>
      <c r="G637" s="3" t="s">
        <v>38</v>
      </c>
      <c r="H637" s="3" t="s">
        <v>78</v>
      </c>
      <c r="I637" s="8">
        <v>43751</v>
      </c>
      <c r="J637" s="8">
        <v>43754</v>
      </c>
      <c r="K637" s="3">
        <v>3</v>
      </c>
      <c r="L637" s="3" t="s">
        <v>122</v>
      </c>
      <c r="M637" s="3" t="s">
        <v>40</v>
      </c>
      <c r="N637" s="3" t="s">
        <v>173</v>
      </c>
      <c r="O637" s="3" t="s">
        <v>104</v>
      </c>
      <c r="P637" s="30">
        <v>36399.39</v>
      </c>
      <c r="Q637" s="3" t="s">
        <v>567</v>
      </c>
      <c r="R637" s="3">
        <v>8</v>
      </c>
      <c r="S637" s="3">
        <v>178</v>
      </c>
      <c r="T637" s="3">
        <v>27.3</v>
      </c>
      <c r="U637" s="3" t="s">
        <v>32</v>
      </c>
      <c r="V637" s="18" t="s">
        <v>33</v>
      </c>
    </row>
    <row r="638" spans="1:22" ht="15" customHeight="1" x14ac:dyDescent="0.25">
      <c r="A638" s="15" t="s">
        <v>1332</v>
      </c>
      <c r="B638" s="1" t="s">
        <v>639</v>
      </c>
      <c r="C638">
        <v>72</v>
      </c>
      <c r="D638" s="1" t="s">
        <v>82</v>
      </c>
      <c r="E638" s="1" t="s">
        <v>23</v>
      </c>
      <c r="F638" s="1" t="s">
        <v>24</v>
      </c>
      <c r="G638" s="1" t="s">
        <v>77</v>
      </c>
      <c r="H638" s="1" t="s">
        <v>51</v>
      </c>
      <c r="I638" s="7">
        <v>45588</v>
      </c>
      <c r="J638" s="7">
        <v>45595</v>
      </c>
      <c r="K638" s="1">
        <v>7</v>
      </c>
      <c r="L638" s="1" t="s">
        <v>89</v>
      </c>
      <c r="M638" s="1" t="s">
        <v>90</v>
      </c>
      <c r="N638" s="1" t="s">
        <v>79</v>
      </c>
      <c r="O638" s="1" t="s">
        <v>42</v>
      </c>
      <c r="P638" s="29">
        <v>61120.11</v>
      </c>
      <c r="Q638" s="1" t="s">
        <v>223</v>
      </c>
      <c r="R638" s="1">
        <v>6</v>
      </c>
      <c r="S638" s="1">
        <v>147</v>
      </c>
      <c r="T638" s="1">
        <v>35.9</v>
      </c>
      <c r="U638" s="1" t="s">
        <v>44</v>
      </c>
      <c r="V638" s="17" t="s">
        <v>33</v>
      </c>
    </row>
    <row r="639" spans="1:22" ht="15" customHeight="1" x14ac:dyDescent="0.25">
      <c r="A639" s="16" t="s">
        <v>1333</v>
      </c>
      <c r="B639" s="3" t="s">
        <v>69</v>
      </c>
      <c r="C639">
        <v>51</v>
      </c>
      <c r="D639" s="3" t="s">
        <v>98</v>
      </c>
      <c r="E639" s="3" t="s">
        <v>48</v>
      </c>
      <c r="F639" s="3" t="s">
        <v>155</v>
      </c>
      <c r="G639" s="3" t="s">
        <v>60</v>
      </c>
      <c r="H639" s="3" t="s">
        <v>51</v>
      </c>
      <c r="I639" s="6">
        <v>43774</v>
      </c>
      <c r="J639" s="8">
        <v>43688</v>
      </c>
      <c r="K639" s="3">
        <v>3</v>
      </c>
      <c r="L639" s="3" t="s">
        <v>122</v>
      </c>
      <c r="M639" s="3" t="s">
        <v>40</v>
      </c>
      <c r="N639" s="3" t="s">
        <v>103</v>
      </c>
      <c r="O639" s="3" t="s">
        <v>42</v>
      </c>
      <c r="P639" s="30">
        <v>27146.25</v>
      </c>
      <c r="Q639" s="3" t="s">
        <v>62</v>
      </c>
      <c r="R639" s="3">
        <v>4</v>
      </c>
      <c r="S639" s="3">
        <v>132</v>
      </c>
      <c r="T639" s="3">
        <v>32.5</v>
      </c>
      <c r="U639" s="3" t="s">
        <v>44</v>
      </c>
      <c r="V639" s="18" t="s">
        <v>33</v>
      </c>
    </row>
    <row r="640" spans="1:22" ht="15" customHeight="1" x14ac:dyDescent="0.25">
      <c r="A640" s="15" t="s">
        <v>1334</v>
      </c>
      <c r="B640" s="1" t="s">
        <v>1335</v>
      </c>
      <c r="C640">
        <v>91</v>
      </c>
      <c r="D640" s="1" t="s">
        <v>36</v>
      </c>
      <c r="E640" s="1" t="s">
        <v>23</v>
      </c>
      <c r="F640" s="1" t="s">
        <v>24</v>
      </c>
      <c r="G640" s="1" t="s">
        <v>77</v>
      </c>
      <c r="H640" s="1" t="s">
        <v>26</v>
      </c>
      <c r="I640" s="6">
        <v>43657</v>
      </c>
      <c r="J640" s="7">
        <v>43788</v>
      </c>
      <c r="K640" s="1">
        <v>12</v>
      </c>
      <c r="L640" s="1" t="s">
        <v>122</v>
      </c>
      <c r="M640" s="1" t="s">
        <v>40</v>
      </c>
      <c r="N640" s="1" t="s">
        <v>84</v>
      </c>
      <c r="O640" s="1" t="s">
        <v>30</v>
      </c>
      <c r="P640" s="29">
        <v>71552.259999999995</v>
      </c>
      <c r="Q640" s="1" t="s">
        <v>95</v>
      </c>
      <c r="R640" s="1">
        <v>10</v>
      </c>
      <c r="S640" s="1">
        <v>359</v>
      </c>
      <c r="T640" s="1">
        <v>34.299999999999997</v>
      </c>
      <c r="U640" s="1" t="s">
        <v>44</v>
      </c>
      <c r="V640" s="17" t="s">
        <v>45</v>
      </c>
    </row>
    <row r="641" spans="1:22" ht="15" customHeight="1" x14ac:dyDescent="0.25">
      <c r="A641" s="16" t="s">
        <v>1336</v>
      </c>
      <c r="B641" s="3" t="s">
        <v>1337</v>
      </c>
      <c r="C641">
        <v>78</v>
      </c>
      <c r="D641" s="3" t="s">
        <v>36</v>
      </c>
      <c r="E641" s="3" t="s">
        <v>48</v>
      </c>
      <c r="F641" s="3" t="s">
        <v>70</v>
      </c>
      <c r="G641" s="3" t="s">
        <v>77</v>
      </c>
      <c r="H641" s="3" t="s">
        <v>26</v>
      </c>
      <c r="I641" s="8">
        <v>43741</v>
      </c>
      <c r="J641" s="8">
        <v>43544</v>
      </c>
      <c r="K641" s="3">
        <v>10</v>
      </c>
      <c r="L641" s="3" t="s">
        <v>132</v>
      </c>
      <c r="M641" s="3" t="s">
        <v>53</v>
      </c>
      <c r="N641" s="3" t="s">
        <v>84</v>
      </c>
      <c r="O641" s="3" t="s">
        <v>104</v>
      </c>
      <c r="P641" s="30">
        <v>97153.51</v>
      </c>
      <c r="Q641" s="3" t="s">
        <v>100</v>
      </c>
      <c r="R641" s="3">
        <v>10</v>
      </c>
      <c r="S641" s="3">
        <v>342</v>
      </c>
      <c r="T641" s="3">
        <v>42.4</v>
      </c>
      <c r="U641" s="3" t="s">
        <v>44</v>
      </c>
      <c r="V641" s="18" t="s">
        <v>45</v>
      </c>
    </row>
    <row r="642" spans="1:22" ht="15" customHeight="1" x14ac:dyDescent="0.25">
      <c r="A642" s="15" t="s">
        <v>1338</v>
      </c>
      <c r="B642" s="1" t="s">
        <v>1198</v>
      </c>
      <c r="C642">
        <v>18</v>
      </c>
      <c r="D642" s="1" t="s">
        <v>47</v>
      </c>
      <c r="E642" s="1" t="s">
        <v>48</v>
      </c>
      <c r="F642" s="1" t="s">
        <v>99</v>
      </c>
      <c r="G642" s="1" t="s">
        <v>71</v>
      </c>
      <c r="H642" s="1" t="s">
        <v>51</v>
      </c>
      <c r="I642" s="6">
        <v>45136</v>
      </c>
      <c r="J642" s="7">
        <v>45140</v>
      </c>
      <c r="K642" s="1">
        <v>4</v>
      </c>
      <c r="L642" s="1" t="s">
        <v>112</v>
      </c>
      <c r="M642" s="1" t="s">
        <v>40</v>
      </c>
      <c r="N642" s="1" t="s">
        <v>312</v>
      </c>
      <c r="O642" s="1" t="s">
        <v>30</v>
      </c>
      <c r="P642" s="29">
        <v>6734.73</v>
      </c>
      <c r="Q642" s="1" t="s">
        <v>73</v>
      </c>
      <c r="R642" s="1">
        <v>5</v>
      </c>
      <c r="S642" s="1">
        <v>117</v>
      </c>
      <c r="T642" s="1">
        <v>25.8</v>
      </c>
      <c r="U642" s="1" t="s">
        <v>44</v>
      </c>
      <c r="V642" s="17" t="s">
        <v>33</v>
      </c>
    </row>
    <row r="643" spans="1:22" ht="15" customHeight="1" x14ac:dyDescent="0.25">
      <c r="A643" s="16" t="s">
        <v>1339</v>
      </c>
      <c r="B643" s="3" t="s">
        <v>1340</v>
      </c>
      <c r="C643">
        <v>48</v>
      </c>
      <c r="D643" s="3" t="s">
        <v>98</v>
      </c>
      <c r="E643" s="3" t="s">
        <v>23</v>
      </c>
      <c r="F643" s="3" t="s">
        <v>70</v>
      </c>
      <c r="G643" s="3" t="s">
        <v>131</v>
      </c>
      <c r="H643" s="3" t="s">
        <v>26</v>
      </c>
      <c r="I643" s="8">
        <v>44861</v>
      </c>
      <c r="J643" s="8">
        <v>44874</v>
      </c>
      <c r="K643" s="3">
        <v>13</v>
      </c>
      <c r="L643" s="3" t="s">
        <v>132</v>
      </c>
      <c r="M643" s="3" t="s">
        <v>53</v>
      </c>
      <c r="N643" s="3" t="s">
        <v>133</v>
      </c>
      <c r="O643" s="3" t="s">
        <v>55</v>
      </c>
      <c r="P643" s="30">
        <v>30788.38</v>
      </c>
      <c r="Q643" s="3" t="s">
        <v>266</v>
      </c>
      <c r="R643" s="3">
        <v>1</v>
      </c>
      <c r="S643" s="3">
        <v>316</v>
      </c>
      <c r="T643" s="3">
        <v>19.5</v>
      </c>
      <c r="U643" s="3" t="s">
        <v>32</v>
      </c>
      <c r="V643" s="18" t="s">
        <v>33</v>
      </c>
    </row>
    <row r="644" spans="1:22" ht="15" customHeight="1" x14ac:dyDescent="0.25">
      <c r="A644" s="15" t="s">
        <v>1341</v>
      </c>
      <c r="B644" s="1" t="s">
        <v>1342</v>
      </c>
      <c r="C644">
        <v>73</v>
      </c>
      <c r="D644" s="1" t="s">
        <v>82</v>
      </c>
      <c r="E644" s="1" t="s">
        <v>23</v>
      </c>
      <c r="F644" s="1" t="s">
        <v>24</v>
      </c>
      <c r="G644" s="1" t="s">
        <v>38</v>
      </c>
      <c r="H644" s="1" t="s">
        <v>78</v>
      </c>
      <c r="I644" s="6">
        <v>44179</v>
      </c>
      <c r="J644" s="7">
        <v>44182</v>
      </c>
      <c r="K644" s="1">
        <v>3</v>
      </c>
      <c r="L644" s="1" t="s">
        <v>89</v>
      </c>
      <c r="M644" s="1" t="s">
        <v>90</v>
      </c>
      <c r="N644" s="1" t="s">
        <v>173</v>
      </c>
      <c r="O644" s="1" t="s">
        <v>42</v>
      </c>
      <c r="P644" s="29">
        <v>24463.96</v>
      </c>
      <c r="Q644" s="1" t="s">
        <v>43</v>
      </c>
      <c r="R644" s="1">
        <v>8</v>
      </c>
      <c r="S644" s="1">
        <v>407</v>
      </c>
      <c r="T644" s="1">
        <v>24.1</v>
      </c>
      <c r="U644" s="1" t="s">
        <v>86</v>
      </c>
      <c r="V644" s="17" t="s">
        <v>33</v>
      </c>
    </row>
    <row r="645" spans="1:22" ht="15" customHeight="1" x14ac:dyDescent="0.25">
      <c r="A645" s="16" t="s">
        <v>1343</v>
      </c>
      <c r="B645" s="3" t="s">
        <v>1344</v>
      </c>
      <c r="C645">
        <v>92</v>
      </c>
      <c r="D645" s="3" t="s">
        <v>36</v>
      </c>
      <c r="E645" s="3" t="s">
        <v>23</v>
      </c>
      <c r="F645" s="3" t="s">
        <v>83</v>
      </c>
      <c r="G645" s="3" t="s">
        <v>25</v>
      </c>
      <c r="H645" s="3" t="s">
        <v>51</v>
      </c>
      <c r="I645" s="8">
        <v>44349</v>
      </c>
      <c r="J645" s="10"/>
      <c r="K645" s="3"/>
      <c r="L645" s="3" t="s">
        <v>102</v>
      </c>
      <c r="M645" s="3" t="s">
        <v>28</v>
      </c>
      <c r="N645" s="3" t="s">
        <v>248</v>
      </c>
      <c r="O645" s="3" t="s">
        <v>42</v>
      </c>
      <c r="P645" s="30">
        <v>52674.07</v>
      </c>
      <c r="Q645" s="3" t="s">
        <v>249</v>
      </c>
      <c r="R645" s="3">
        <v>8</v>
      </c>
      <c r="S645" s="3">
        <v>124</v>
      </c>
      <c r="T645" s="3">
        <v>21</v>
      </c>
      <c r="U645" s="3" t="s">
        <v>86</v>
      </c>
      <c r="V645" s="18" t="s">
        <v>33</v>
      </c>
    </row>
    <row r="646" spans="1:22" ht="15" customHeight="1" x14ac:dyDescent="0.25">
      <c r="A646" s="15" t="s">
        <v>1345</v>
      </c>
      <c r="B646" s="1" t="s">
        <v>1346</v>
      </c>
      <c r="C646">
        <v>35</v>
      </c>
      <c r="D646" s="1" t="s">
        <v>98</v>
      </c>
      <c r="E646" s="1" t="s">
        <v>23</v>
      </c>
      <c r="F646" s="2" t="s">
        <v>76</v>
      </c>
      <c r="G646" s="1" t="s">
        <v>77</v>
      </c>
      <c r="H646" s="1" t="s">
        <v>51</v>
      </c>
      <c r="I646" s="6">
        <v>43741</v>
      </c>
      <c r="J646" s="7">
        <v>43747</v>
      </c>
      <c r="K646" s="1">
        <v>6</v>
      </c>
      <c r="L646" s="1" t="s">
        <v>132</v>
      </c>
      <c r="M646" s="1" t="s">
        <v>53</v>
      </c>
      <c r="N646" s="1" t="s">
        <v>94</v>
      </c>
      <c r="O646" s="1" t="s">
        <v>66</v>
      </c>
      <c r="P646" s="29">
        <v>33716</v>
      </c>
      <c r="Q646" s="1" t="s">
        <v>109</v>
      </c>
      <c r="R646" s="1">
        <v>9</v>
      </c>
      <c r="S646" s="1">
        <v>141</v>
      </c>
      <c r="T646" s="1">
        <v>35.9</v>
      </c>
      <c r="U646" s="1" t="s">
        <v>32</v>
      </c>
      <c r="V646" s="17" t="s">
        <v>33</v>
      </c>
    </row>
    <row r="647" spans="1:22" ht="15" customHeight="1" x14ac:dyDescent="0.25">
      <c r="A647" s="16" t="s">
        <v>1347</v>
      </c>
      <c r="B647" s="3" t="s">
        <v>1348</v>
      </c>
      <c r="C647">
        <v>79</v>
      </c>
      <c r="D647" s="3" t="s">
        <v>36</v>
      </c>
      <c r="E647" s="3" t="s">
        <v>23</v>
      </c>
      <c r="F647" s="3" t="s">
        <v>24</v>
      </c>
      <c r="G647" s="3" t="s">
        <v>50</v>
      </c>
      <c r="H647" s="3" t="s">
        <v>26</v>
      </c>
      <c r="I647" s="8">
        <v>44416</v>
      </c>
      <c r="J647" s="8">
        <v>44438</v>
      </c>
      <c r="K647" s="3">
        <v>22</v>
      </c>
      <c r="L647" s="3" t="s">
        <v>112</v>
      </c>
      <c r="M647" s="3" t="s">
        <v>40</v>
      </c>
      <c r="N647" s="3" t="s">
        <v>54</v>
      </c>
      <c r="O647" s="3" t="s">
        <v>30</v>
      </c>
      <c r="P647" s="30">
        <v>76584</v>
      </c>
      <c r="Q647" s="3" t="s">
        <v>144</v>
      </c>
      <c r="R647" s="3">
        <v>9</v>
      </c>
      <c r="S647" s="3">
        <v>300</v>
      </c>
      <c r="T647" s="4"/>
      <c r="U647" s="3" t="s">
        <v>86</v>
      </c>
      <c r="V647" s="18" t="s">
        <v>33</v>
      </c>
    </row>
    <row r="648" spans="1:22" ht="15" customHeight="1" x14ac:dyDescent="0.25">
      <c r="A648" s="15" t="s">
        <v>1349</v>
      </c>
      <c r="B648" s="1" t="s">
        <v>1296</v>
      </c>
      <c r="C648">
        <v>61</v>
      </c>
      <c r="D648" s="1" t="s">
        <v>59</v>
      </c>
      <c r="E648" s="1" t="s">
        <v>23</v>
      </c>
      <c r="F648" s="1" t="s">
        <v>76</v>
      </c>
      <c r="G648" s="1" t="s">
        <v>60</v>
      </c>
      <c r="H648" s="1" t="s">
        <v>78</v>
      </c>
      <c r="I648" s="7">
        <v>44655</v>
      </c>
      <c r="J648" s="7">
        <v>44661</v>
      </c>
      <c r="K648" s="1">
        <v>6</v>
      </c>
      <c r="L648" s="1" t="s">
        <v>132</v>
      </c>
      <c r="M648" s="1" t="s">
        <v>53</v>
      </c>
      <c r="N648" s="1" t="s">
        <v>210</v>
      </c>
      <c r="O648" s="1" t="s">
        <v>30</v>
      </c>
      <c r="P648" s="29">
        <v>16235.72</v>
      </c>
      <c r="Q648" s="1" t="s">
        <v>137</v>
      </c>
      <c r="R648" s="1">
        <v>6</v>
      </c>
      <c r="S648" s="1">
        <v>131</v>
      </c>
      <c r="T648" s="1">
        <v>23.2</v>
      </c>
      <c r="U648" s="1" t="s">
        <v>44</v>
      </c>
      <c r="V648" s="17" t="s">
        <v>45</v>
      </c>
    </row>
    <row r="649" spans="1:22" ht="15" customHeight="1" x14ac:dyDescent="0.25">
      <c r="A649" s="16" t="s">
        <v>1350</v>
      </c>
      <c r="B649" s="3" t="s">
        <v>1351</v>
      </c>
      <c r="C649">
        <v>79</v>
      </c>
      <c r="D649" s="3" t="s">
        <v>36</v>
      </c>
      <c r="E649" s="3" t="s">
        <v>48</v>
      </c>
      <c r="F649" s="3" t="s">
        <v>49</v>
      </c>
      <c r="G649" s="3" t="s">
        <v>163</v>
      </c>
      <c r="H649" s="3" t="s">
        <v>26</v>
      </c>
      <c r="I649" s="6">
        <v>44219</v>
      </c>
      <c r="J649" s="8">
        <v>44222</v>
      </c>
      <c r="K649" s="3">
        <v>3</v>
      </c>
      <c r="L649" s="3" t="s">
        <v>132</v>
      </c>
      <c r="M649" s="3" t="s">
        <v>53</v>
      </c>
      <c r="N649" s="3" t="s">
        <v>164</v>
      </c>
      <c r="O649" s="3" t="s">
        <v>30</v>
      </c>
      <c r="P649" s="30">
        <v>65037.57</v>
      </c>
      <c r="Q649" s="3" t="s">
        <v>165</v>
      </c>
      <c r="R649" s="3">
        <v>6</v>
      </c>
      <c r="S649" s="3">
        <v>454</v>
      </c>
      <c r="T649" s="3">
        <v>28.2</v>
      </c>
      <c r="U649" s="3" t="s">
        <v>32</v>
      </c>
      <c r="V649" s="18" t="s">
        <v>45</v>
      </c>
    </row>
    <row r="650" spans="1:22" ht="15" customHeight="1" x14ac:dyDescent="0.25">
      <c r="A650" s="15" t="s">
        <v>1352</v>
      </c>
      <c r="B650" s="1" t="s">
        <v>1353</v>
      </c>
      <c r="C650">
        <v>33</v>
      </c>
      <c r="D650" s="1" t="s">
        <v>47</v>
      </c>
      <c r="E650" s="1" t="s">
        <v>48</v>
      </c>
      <c r="F650" s="1" t="s">
        <v>70</v>
      </c>
      <c r="G650" s="1" t="s">
        <v>1033</v>
      </c>
      <c r="H650" s="1" t="s">
        <v>51</v>
      </c>
      <c r="I650" s="6">
        <v>44887</v>
      </c>
      <c r="J650" s="7">
        <v>44888</v>
      </c>
      <c r="K650" s="1">
        <v>1</v>
      </c>
      <c r="L650" s="1" t="s">
        <v>231</v>
      </c>
      <c r="M650" s="1" t="s">
        <v>53</v>
      </c>
      <c r="N650" s="1" t="s">
        <v>164</v>
      </c>
      <c r="O650" s="1" t="s">
        <v>66</v>
      </c>
      <c r="P650" s="29">
        <v>21646.560000000001</v>
      </c>
      <c r="Q650" s="1" t="s">
        <v>382</v>
      </c>
      <c r="R650" s="1">
        <v>6</v>
      </c>
      <c r="S650" s="1">
        <v>177</v>
      </c>
      <c r="T650" s="1">
        <v>23.1</v>
      </c>
      <c r="U650" s="1" t="s">
        <v>32</v>
      </c>
      <c r="V650" s="17" t="s">
        <v>33</v>
      </c>
    </row>
    <row r="651" spans="1:22" ht="15" customHeight="1" x14ac:dyDescent="0.25">
      <c r="A651" s="16" t="s">
        <v>1354</v>
      </c>
      <c r="B651" s="3" t="s">
        <v>1355</v>
      </c>
      <c r="C651">
        <v>55</v>
      </c>
      <c r="D651" s="3" t="s">
        <v>59</v>
      </c>
      <c r="E651" s="3" t="s">
        <v>23</v>
      </c>
      <c r="F651" s="3" t="s">
        <v>99</v>
      </c>
      <c r="G651" s="3" t="s">
        <v>38</v>
      </c>
      <c r="H651" s="3" t="s">
        <v>26</v>
      </c>
      <c r="I651" s="8">
        <v>43541</v>
      </c>
      <c r="J651" s="8">
        <v>43548</v>
      </c>
      <c r="K651" s="3">
        <v>7</v>
      </c>
      <c r="L651" s="3" t="s">
        <v>39</v>
      </c>
      <c r="M651" s="3" t="s">
        <v>40</v>
      </c>
      <c r="N651" s="3" t="s">
        <v>173</v>
      </c>
      <c r="O651" s="3" t="s">
        <v>55</v>
      </c>
      <c r="P651" s="30">
        <v>27458.65</v>
      </c>
      <c r="Q651" s="3" t="s">
        <v>174</v>
      </c>
      <c r="R651" s="3">
        <v>8</v>
      </c>
      <c r="S651" s="3">
        <v>480</v>
      </c>
      <c r="T651" s="3">
        <v>26.4</v>
      </c>
      <c r="U651" s="3" t="s">
        <v>86</v>
      </c>
      <c r="V651" s="18" t="s">
        <v>33</v>
      </c>
    </row>
    <row r="652" spans="1:22" ht="15" customHeight="1" x14ac:dyDescent="0.25">
      <c r="A652" s="15" t="s">
        <v>1356</v>
      </c>
      <c r="B652" s="1" t="s">
        <v>1357</v>
      </c>
      <c r="C652">
        <v>64</v>
      </c>
      <c r="D652" s="1" t="s">
        <v>59</v>
      </c>
      <c r="E652" s="1" t="s">
        <v>48</v>
      </c>
      <c r="F652" s="1" t="s">
        <v>49</v>
      </c>
      <c r="G652" s="1" t="s">
        <v>77</v>
      </c>
      <c r="H652" s="1" t="s">
        <v>26</v>
      </c>
      <c r="I652" s="6">
        <v>44900</v>
      </c>
      <c r="J652" s="7">
        <v>44910</v>
      </c>
      <c r="K652" s="1">
        <v>10</v>
      </c>
      <c r="L652" s="1" t="s">
        <v>102</v>
      </c>
      <c r="M652" s="1" t="s">
        <v>28</v>
      </c>
      <c r="N652" s="1" t="s">
        <v>94</v>
      </c>
      <c r="O652" s="1" t="s">
        <v>42</v>
      </c>
      <c r="P652" s="29">
        <v>141479.87</v>
      </c>
      <c r="Q652" s="1" t="s">
        <v>223</v>
      </c>
      <c r="R652" s="1">
        <v>10</v>
      </c>
      <c r="S652" s="1">
        <v>392</v>
      </c>
      <c r="T652" s="1">
        <v>34.4</v>
      </c>
      <c r="U652" s="1" t="s">
        <v>44</v>
      </c>
      <c r="V652" s="17" t="s">
        <v>33</v>
      </c>
    </row>
    <row r="653" spans="1:22" ht="15" customHeight="1" x14ac:dyDescent="0.25">
      <c r="A653" s="16" t="s">
        <v>1358</v>
      </c>
      <c r="B653" s="3" t="s">
        <v>1359</v>
      </c>
      <c r="C653">
        <v>24</v>
      </c>
      <c r="D653" s="3" t="s">
        <v>47</v>
      </c>
      <c r="E653" s="3" t="s">
        <v>48</v>
      </c>
      <c r="F653" s="3" t="s">
        <v>76</v>
      </c>
      <c r="G653" s="3" t="s">
        <v>71</v>
      </c>
      <c r="H653" s="3" t="s">
        <v>51</v>
      </c>
      <c r="I653" s="8">
        <v>43806</v>
      </c>
      <c r="J653" s="8">
        <v>43660</v>
      </c>
      <c r="K653" s="3">
        <v>2</v>
      </c>
      <c r="L653" s="3" t="s">
        <v>185</v>
      </c>
      <c r="M653" s="3" t="s">
        <v>186</v>
      </c>
      <c r="N653" s="3" t="s">
        <v>312</v>
      </c>
      <c r="O653" s="3" t="s">
        <v>30</v>
      </c>
      <c r="P653" s="30">
        <v>7148.22</v>
      </c>
      <c r="Q653" s="3" t="s">
        <v>170</v>
      </c>
      <c r="R653" s="3">
        <v>5</v>
      </c>
      <c r="S653" s="3">
        <v>161</v>
      </c>
      <c r="T653" s="3">
        <v>29.1</v>
      </c>
      <c r="U653" s="3" t="s">
        <v>44</v>
      </c>
      <c r="V653" s="18" t="s">
        <v>33</v>
      </c>
    </row>
    <row r="654" spans="1:22" ht="15" customHeight="1" x14ac:dyDescent="0.25">
      <c r="A654" s="15" t="s">
        <v>1360</v>
      </c>
      <c r="B654" s="1" t="s">
        <v>1361</v>
      </c>
      <c r="C654">
        <v>65</v>
      </c>
      <c r="D654" s="1" t="s">
        <v>82</v>
      </c>
      <c r="E654" s="1" t="s">
        <v>48</v>
      </c>
      <c r="F654" s="2" t="s">
        <v>37</v>
      </c>
      <c r="G654" s="1" t="s">
        <v>38</v>
      </c>
      <c r="H654" s="1" t="s">
        <v>78</v>
      </c>
      <c r="I654" s="6">
        <v>44854</v>
      </c>
      <c r="J654" s="7">
        <v>44859</v>
      </c>
      <c r="K654" s="1">
        <v>5</v>
      </c>
      <c r="L654" s="1" t="s">
        <v>185</v>
      </c>
      <c r="M654" s="1" t="s">
        <v>186</v>
      </c>
      <c r="N654" s="1" t="s">
        <v>41</v>
      </c>
      <c r="O654" s="1" t="s">
        <v>104</v>
      </c>
      <c r="P654" s="29">
        <v>14426.23</v>
      </c>
      <c r="Q654" s="1" t="s">
        <v>437</v>
      </c>
      <c r="R654" s="1">
        <v>8</v>
      </c>
      <c r="S654" s="1">
        <v>384</v>
      </c>
      <c r="T654" s="1">
        <v>35.1</v>
      </c>
      <c r="U654" s="1" t="s">
        <v>86</v>
      </c>
      <c r="V654" s="17" t="s">
        <v>33</v>
      </c>
    </row>
    <row r="655" spans="1:22" ht="15" customHeight="1" x14ac:dyDescent="0.25">
      <c r="A655" s="16" t="s">
        <v>1362</v>
      </c>
      <c r="B655" s="3" t="s">
        <v>1363</v>
      </c>
      <c r="C655">
        <v>19</v>
      </c>
      <c r="D655" s="3" t="s">
        <v>47</v>
      </c>
      <c r="E655" s="3" t="s">
        <v>23</v>
      </c>
      <c r="F655" s="3" t="s">
        <v>37</v>
      </c>
      <c r="G655" s="3" t="s">
        <v>38</v>
      </c>
      <c r="H655" s="3" t="s">
        <v>26</v>
      </c>
      <c r="I655" s="8">
        <v>45640</v>
      </c>
      <c r="J655" s="10"/>
      <c r="K655" s="3"/>
      <c r="L655" s="3" t="s">
        <v>102</v>
      </c>
      <c r="M655" s="3" t="s">
        <v>28</v>
      </c>
      <c r="N655" s="3" t="s">
        <v>203</v>
      </c>
      <c r="O655" s="3" t="s">
        <v>55</v>
      </c>
      <c r="P655" s="30">
        <v>18585.419999999998</v>
      </c>
      <c r="Q655" s="3" t="s">
        <v>567</v>
      </c>
      <c r="R655" s="3">
        <v>6</v>
      </c>
      <c r="S655" s="3">
        <v>411</v>
      </c>
      <c r="T655" s="3">
        <v>26.7</v>
      </c>
      <c r="U655" s="3" t="s">
        <v>44</v>
      </c>
      <c r="V655" s="18" t="s">
        <v>33</v>
      </c>
    </row>
    <row r="656" spans="1:22" ht="15" customHeight="1" x14ac:dyDescent="0.25">
      <c r="A656" s="15" t="s">
        <v>1364</v>
      </c>
      <c r="B656" s="1" t="s">
        <v>1365</v>
      </c>
      <c r="C656">
        <v>86</v>
      </c>
      <c r="D656" s="1" t="s">
        <v>36</v>
      </c>
      <c r="E656" s="1" t="s">
        <v>23</v>
      </c>
      <c r="F656" s="1" t="s">
        <v>24</v>
      </c>
      <c r="G656" s="1" t="s">
        <v>77</v>
      </c>
      <c r="H656" s="1" t="s">
        <v>26</v>
      </c>
      <c r="I656" s="6">
        <v>45274</v>
      </c>
      <c r="J656" s="7">
        <v>45283</v>
      </c>
      <c r="K656" s="1">
        <v>9</v>
      </c>
      <c r="L656" s="1" t="s">
        <v>52</v>
      </c>
      <c r="M656" s="1" t="s">
        <v>53</v>
      </c>
      <c r="N656" s="1" t="s">
        <v>84</v>
      </c>
      <c r="O656" s="1" t="s">
        <v>42</v>
      </c>
      <c r="P656" s="29">
        <v>91438.45</v>
      </c>
      <c r="Q656" s="1" t="s">
        <v>91</v>
      </c>
      <c r="R656" s="1">
        <v>9</v>
      </c>
      <c r="S656" s="1">
        <v>302</v>
      </c>
      <c r="T656" s="1">
        <v>22</v>
      </c>
      <c r="U656" s="1" t="s">
        <v>44</v>
      </c>
      <c r="V656" s="17" t="s">
        <v>45</v>
      </c>
    </row>
    <row r="657" spans="1:22" ht="15" customHeight="1" x14ac:dyDescent="0.25">
      <c r="A657" s="16" t="s">
        <v>1366</v>
      </c>
      <c r="B657" s="3" t="s">
        <v>763</v>
      </c>
      <c r="C657">
        <v>73</v>
      </c>
      <c r="D657" s="3" t="s">
        <v>82</v>
      </c>
      <c r="E657" s="3" t="s">
        <v>23</v>
      </c>
      <c r="F657" s="3" t="s">
        <v>155</v>
      </c>
      <c r="G657" s="3" t="s">
        <v>131</v>
      </c>
      <c r="H657" s="3" t="s">
        <v>78</v>
      </c>
      <c r="I657" s="6">
        <v>43971</v>
      </c>
      <c r="J657" s="8">
        <v>43977</v>
      </c>
      <c r="K657" s="3">
        <v>6</v>
      </c>
      <c r="L657" s="3" t="s">
        <v>102</v>
      </c>
      <c r="M657" s="3" t="s">
        <v>28</v>
      </c>
      <c r="N657" s="3" t="s">
        <v>157</v>
      </c>
      <c r="O657" s="3" t="s">
        <v>30</v>
      </c>
      <c r="P657" s="30">
        <v>19407.79</v>
      </c>
      <c r="Q657" s="3" t="s">
        <v>158</v>
      </c>
      <c r="R657" s="3">
        <v>4</v>
      </c>
      <c r="S657" s="3">
        <v>178</v>
      </c>
      <c r="T657" s="4"/>
      <c r="U657" s="3" t="s">
        <v>44</v>
      </c>
      <c r="V657" s="18" t="s">
        <v>33</v>
      </c>
    </row>
    <row r="658" spans="1:22" ht="15" customHeight="1" x14ac:dyDescent="0.25">
      <c r="A658" s="15" t="s">
        <v>1367</v>
      </c>
      <c r="B658" s="2" t="s">
        <v>3616</v>
      </c>
      <c r="C658">
        <v>56</v>
      </c>
      <c r="D658" s="1" t="s">
        <v>59</v>
      </c>
      <c r="E658" s="1" t="s">
        <v>23</v>
      </c>
      <c r="F658" s="1" t="s">
        <v>70</v>
      </c>
      <c r="G658" s="1" t="s">
        <v>77</v>
      </c>
      <c r="H658" s="1" t="s">
        <v>51</v>
      </c>
      <c r="I658" s="7">
        <v>43835</v>
      </c>
      <c r="J658" s="7">
        <v>44105</v>
      </c>
      <c r="K658" s="1">
        <v>5</v>
      </c>
      <c r="L658" s="1" t="s">
        <v>231</v>
      </c>
      <c r="M658" s="1" t="s">
        <v>53</v>
      </c>
      <c r="N658" s="1" t="s">
        <v>94</v>
      </c>
      <c r="O658" s="1" t="s">
        <v>42</v>
      </c>
      <c r="P658" s="29">
        <v>52680.83</v>
      </c>
      <c r="Q658" s="1" t="s">
        <v>100</v>
      </c>
      <c r="R658" s="1">
        <v>10</v>
      </c>
      <c r="S658" s="1">
        <v>127</v>
      </c>
      <c r="T658" s="1">
        <v>27.7</v>
      </c>
      <c r="U658" s="1" t="s">
        <v>44</v>
      </c>
      <c r="V658" s="17" t="s">
        <v>33</v>
      </c>
    </row>
    <row r="659" spans="1:22" ht="15" customHeight="1" x14ac:dyDescent="0.25">
      <c r="A659" s="16" t="s">
        <v>1368</v>
      </c>
      <c r="B659" s="3" t="s">
        <v>1369</v>
      </c>
      <c r="C659">
        <v>55</v>
      </c>
      <c r="D659" s="3" t="s">
        <v>59</v>
      </c>
      <c r="E659" s="3" t="s">
        <v>23</v>
      </c>
      <c r="F659" s="3" t="s">
        <v>155</v>
      </c>
      <c r="G659" s="3" t="s">
        <v>60</v>
      </c>
      <c r="H659" s="3" t="s">
        <v>51</v>
      </c>
      <c r="I659" s="6">
        <v>45643</v>
      </c>
      <c r="J659" s="8">
        <v>45647</v>
      </c>
      <c r="K659" s="3">
        <v>4</v>
      </c>
      <c r="L659" s="3" t="s">
        <v>185</v>
      </c>
      <c r="M659" s="3" t="s">
        <v>186</v>
      </c>
      <c r="N659" s="3" t="s">
        <v>210</v>
      </c>
      <c r="O659" s="3" t="s">
        <v>42</v>
      </c>
      <c r="P659" s="30">
        <v>52833.85</v>
      </c>
      <c r="Q659" s="3" t="s">
        <v>349</v>
      </c>
      <c r="R659" s="3">
        <v>5</v>
      </c>
      <c r="S659" s="3">
        <v>106</v>
      </c>
      <c r="T659" s="3">
        <v>33.799999999999997</v>
      </c>
      <c r="U659" s="3" t="s">
        <v>32</v>
      </c>
      <c r="V659" s="18" t="s">
        <v>33</v>
      </c>
    </row>
    <row r="660" spans="1:22" ht="15" customHeight="1" x14ac:dyDescent="0.25">
      <c r="A660" s="15" t="s">
        <v>1370</v>
      </c>
      <c r="B660" s="1" t="s">
        <v>1355</v>
      </c>
      <c r="C660">
        <v>77</v>
      </c>
      <c r="D660" s="1" t="s">
        <v>36</v>
      </c>
      <c r="E660" s="1" t="s">
        <v>23</v>
      </c>
      <c r="F660" s="1" t="s">
        <v>37</v>
      </c>
      <c r="G660" s="1" t="s">
        <v>163</v>
      </c>
      <c r="H660" s="1" t="s">
        <v>51</v>
      </c>
      <c r="I660" s="7">
        <v>45118</v>
      </c>
      <c r="J660" s="7">
        <v>45240</v>
      </c>
      <c r="K660" s="1">
        <v>3</v>
      </c>
      <c r="L660" s="1" t="s">
        <v>185</v>
      </c>
      <c r="M660" s="1" t="s">
        <v>186</v>
      </c>
      <c r="N660" s="1" t="s">
        <v>164</v>
      </c>
      <c r="O660" s="1" t="s">
        <v>42</v>
      </c>
      <c r="P660" s="29">
        <v>41228.699999999997</v>
      </c>
      <c r="Q660" s="1" t="s">
        <v>257</v>
      </c>
      <c r="R660" s="1">
        <v>4</v>
      </c>
      <c r="S660" s="1">
        <v>150</v>
      </c>
      <c r="T660" s="1">
        <v>26.4</v>
      </c>
      <c r="U660" s="1" t="s">
        <v>32</v>
      </c>
      <c r="V660" s="17" t="s">
        <v>33</v>
      </c>
    </row>
    <row r="661" spans="1:22" ht="15" customHeight="1" x14ac:dyDescent="0.25">
      <c r="A661" s="16" t="s">
        <v>1371</v>
      </c>
      <c r="B661" s="3" t="s">
        <v>1372</v>
      </c>
      <c r="C661">
        <v>67</v>
      </c>
      <c r="D661" s="3" t="s">
        <v>82</v>
      </c>
      <c r="E661" s="3" t="s">
        <v>23</v>
      </c>
      <c r="F661" s="3" t="s">
        <v>99</v>
      </c>
      <c r="G661" s="3" t="s">
        <v>25</v>
      </c>
      <c r="H661" s="3" t="s">
        <v>78</v>
      </c>
      <c r="I661" s="6">
        <v>44851</v>
      </c>
      <c r="J661" s="8">
        <v>44859</v>
      </c>
      <c r="K661" s="3">
        <v>8</v>
      </c>
      <c r="L661" s="3" t="s">
        <v>52</v>
      </c>
      <c r="M661" s="3" t="s">
        <v>53</v>
      </c>
      <c r="N661" s="3" t="s">
        <v>65</v>
      </c>
      <c r="O661" s="3" t="s">
        <v>66</v>
      </c>
      <c r="P661" s="30">
        <v>57234.92</v>
      </c>
      <c r="Q661" s="3" t="s">
        <v>269</v>
      </c>
      <c r="R661" s="3">
        <v>12</v>
      </c>
      <c r="S661" s="3">
        <v>353</v>
      </c>
      <c r="T661" s="3">
        <v>22.3</v>
      </c>
      <c r="U661" s="3" t="s">
        <v>44</v>
      </c>
      <c r="V661" s="18" t="s">
        <v>33</v>
      </c>
    </row>
    <row r="662" spans="1:22" ht="15" customHeight="1" x14ac:dyDescent="0.25">
      <c r="A662" s="15" t="s">
        <v>1373</v>
      </c>
      <c r="B662" s="1" t="s">
        <v>1374</v>
      </c>
      <c r="C662">
        <v>17</v>
      </c>
      <c r="D662" s="1" t="s">
        <v>22</v>
      </c>
      <c r="E662" s="1" t="s">
        <v>23</v>
      </c>
      <c r="F662" s="1" t="s">
        <v>37</v>
      </c>
      <c r="G662" s="1" t="s">
        <v>71</v>
      </c>
      <c r="H662" s="1" t="s">
        <v>51</v>
      </c>
      <c r="I662" s="7">
        <v>45278</v>
      </c>
      <c r="J662" s="7">
        <v>45280</v>
      </c>
      <c r="K662" s="1">
        <v>2</v>
      </c>
      <c r="L662" s="1" t="s">
        <v>89</v>
      </c>
      <c r="M662" s="1" t="s">
        <v>90</v>
      </c>
      <c r="N662" s="1" t="s">
        <v>312</v>
      </c>
      <c r="O662" s="1" t="s">
        <v>42</v>
      </c>
      <c r="P662" s="29">
        <v>10382.129999999999</v>
      </c>
      <c r="Q662" s="1" t="s">
        <v>170</v>
      </c>
      <c r="R662" s="1">
        <v>5</v>
      </c>
      <c r="S662" s="1">
        <v>157</v>
      </c>
      <c r="T662" s="1">
        <v>26.6</v>
      </c>
      <c r="U662" s="1" t="s">
        <v>44</v>
      </c>
      <c r="V662" s="17" t="s">
        <v>33</v>
      </c>
    </row>
    <row r="663" spans="1:22" ht="15" customHeight="1" x14ac:dyDescent="0.25">
      <c r="A663" s="16" t="s">
        <v>1375</v>
      </c>
      <c r="B663" s="3" t="s">
        <v>1156</v>
      </c>
      <c r="C663">
        <v>65</v>
      </c>
      <c r="D663" s="3" t="s">
        <v>82</v>
      </c>
      <c r="E663" s="3" t="s">
        <v>48</v>
      </c>
      <c r="F663" s="3" t="s">
        <v>99</v>
      </c>
      <c r="G663" s="3" t="s">
        <v>38</v>
      </c>
      <c r="H663" s="3" t="s">
        <v>26</v>
      </c>
      <c r="I663" s="8">
        <v>44946</v>
      </c>
      <c r="J663" s="8">
        <v>44948</v>
      </c>
      <c r="K663" s="3">
        <v>2</v>
      </c>
      <c r="L663" s="3" t="s">
        <v>122</v>
      </c>
      <c r="M663" s="3" t="s">
        <v>40</v>
      </c>
      <c r="N663" s="3" t="s">
        <v>203</v>
      </c>
      <c r="O663" s="3" t="s">
        <v>66</v>
      </c>
      <c r="P663" s="30">
        <v>48782.68</v>
      </c>
      <c r="Q663" s="3" t="s">
        <v>43</v>
      </c>
      <c r="R663" s="3">
        <v>7</v>
      </c>
      <c r="S663" s="3">
        <v>353</v>
      </c>
      <c r="T663" s="3">
        <v>40.4</v>
      </c>
      <c r="U663" s="3" t="s">
        <v>32</v>
      </c>
      <c r="V663" s="18" t="s">
        <v>45</v>
      </c>
    </row>
    <row r="664" spans="1:22" ht="15" customHeight="1" x14ac:dyDescent="0.25">
      <c r="A664" s="15" t="s">
        <v>1376</v>
      </c>
      <c r="B664" s="1" t="s">
        <v>1377</v>
      </c>
      <c r="C664">
        <v>73</v>
      </c>
      <c r="D664" s="1" t="s">
        <v>82</v>
      </c>
      <c r="E664" s="1" t="s">
        <v>23</v>
      </c>
      <c r="F664" s="1" t="s">
        <v>76</v>
      </c>
      <c r="G664" s="1" t="s">
        <v>38</v>
      </c>
      <c r="H664" s="1" t="s">
        <v>51</v>
      </c>
      <c r="I664" s="7">
        <v>44120</v>
      </c>
      <c r="J664" s="7">
        <v>44121</v>
      </c>
      <c r="K664" s="1">
        <v>1</v>
      </c>
      <c r="L664" s="1" t="s">
        <v>52</v>
      </c>
      <c r="M664" s="1" t="s">
        <v>53</v>
      </c>
      <c r="N664" s="1" t="s">
        <v>173</v>
      </c>
      <c r="O664" s="1" t="s">
        <v>66</v>
      </c>
      <c r="P664" s="29">
        <v>19479.37</v>
      </c>
      <c r="Q664" s="1" t="s">
        <v>119</v>
      </c>
      <c r="R664" s="1">
        <v>8</v>
      </c>
      <c r="S664" s="1">
        <v>190</v>
      </c>
      <c r="T664" s="1">
        <v>25.7</v>
      </c>
      <c r="U664" s="1" t="s">
        <v>44</v>
      </c>
      <c r="V664" s="17" t="s">
        <v>45</v>
      </c>
    </row>
    <row r="665" spans="1:22" ht="15" customHeight="1" x14ac:dyDescent="0.25">
      <c r="A665" s="16" t="s">
        <v>1378</v>
      </c>
      <c r="B665" s="2" t="s">
        <v>3617</v>
      </c>
      <c r="C665">
        <v>91</v>
      </c>
      <c r="D665" s="3" t="s">
        <v>36</v>
      </c>
      <c r="E665" s="3" t="s">
        <v>23</v>
      </c>
      <c r="F665" s="3" t="s">
        <v>49</v>
      </c>
      <c r="G665" s="3" t="s">
        <v>562</v>
      </c>
      <c r="H665" s="3" t="s">
        <v>26</v>
      </c>
      <c r="I665" s="8">
        <v>45253</v>
      </c>
      <c r="J665" s="8">
        <v>45258</v>
      </c>
      <c r="K665" s="3">
        <v>5</v>
      </c>
      <c r="L665" s="3" t="s">
        <v>89</v>
      </c>
      <c r="M665" s="3" t="s">
        <v>90</v>
      </c>
      <c r="N665" s="3" t="s">
        <v>147</v>
      </c>
      <c r="O665" s="3" t="s">
        <v>42</v>
      </c>
      <c r="P665" s="30">
        <v>43248.71</v>
      </c>
      <c r="Q665" s="3" t="s">
        <v>152</v>
      </c>
      <c r="R665" s="3">
        <v>4</v>
      </c>
      <c r="S665" s="3">
        <v>371</v>
      </c>
      <c r="T665" s="3">
        <v>24.7</v>
      </c>
      <c r="U665" s="3" t="s">
        <v>32</v>
      </c>
      <c r="V665" s="18" t="s">
        <v>45</v>
      </c>
    </row>
    <row r="666" spans="1:22" ht="15" customHeight="1" x14ac:dyDescent="0.25">
      <c r="A666" s="15" t="s">
        <v>1379</v>
      </c>
      <c r="B666" s="1" t="s">
        <v>1380</v>
      </c>
      <c r="C666">
        <v>49</v>
      </c>
      <c r="D666" s="1" t="s">
        <v>98</v>
      </c>
      <c r="E666" s="1" t="s">
        <v>23</v>
      </c>
      <c r="F666" s="1" t="s">
        <v>76</v>
      </c>
      <c r="G666" s="1" t="s">
        <v>163</v>
      </c>
      <c r="H666" s="1" t="s">
        <v>51</v>
      </c>
      <c r="I666" s="7">
        <v>45504</v>
      </c>
      <c r="J666" s="7">
        <v>45505</v>
      </c>
      <c r="K666" s="1">
        <v>1</v>
      </c>
      <c r="L666" s="1" t="s">
        <v>52</v>
      </c>
      <c r="M666" s="1" t="s">
        <v>53</v>
      </c>
      <c r="N666" s="1" t="s">
        <v>346</v>
      </c>
      <c r="O666" s="1" t="s">
        <v>66</v>
      </c>
      <c r="P666" s="29">
        <v>28703.66</v>
      </c>
      <c r="Q666" s="1" t="s">
        <v>165</v>
      </c>
      <c r="R666" s="1">
        <v>5</v>
      </c>
      <c r="S666" s="1">
        <v>169</v>
      </c>
      <c r="T666" s="1">
        <v>30</v>
      </c>
      <c r="U666" s="1" t="s">
        <v>32</v>
      </c>
      <c r="V666" s="17" t="s">
        <v>33</v>
      </c>
    </row>
    <row r="667" spans="1:22" ht="15" customHeight="1" x14ac:dyDescent="0.25">
      <c r="A667" s="16" t="s">
        <v>1381</v>
      </c>
      <c r="B667" s="3" t="s">
        <v>1382</v>
      </c>
      <c r="C667">
        <v>68</v>
      </c>
      <c r="D667" s="3" t="s">
        <v>82</v>
      </c>
      <c r="E667" s="3" t="s">
        <v>48</v>
      </c>
      <c r="F667" s="3" t="s">
        <v>76</v>
      </c>
      <c r="G667" s="3" t="s">
        <v>77</v>
      </c>
      <c r="H667" s="3" t="s">
        <v>26</v>
      </c>
      <c r="I667" s="6">
        <v>44576</v>
      </c>
      <c r="J667" s="8">
        <v>44586</v>
      </c>
      <c r="K667" s="3">
        <v>10</v>
      </c>
      <c r="L667" s="3" t="s">
        <v>102</v>
      </c>
      <c r="M667" s="3" t="s">
        <v>28</v>
      </c>
      <c r="N667" s="3" t="s">
        <v>79</v>
      </c>
      <c r="O667" s="3" t="s">
        <v>30</v>
      </c>
      <c r="P667" s="30">
        <v>72678.55</v>
      </c>
      <c r="Q667" s="3" t="s">
        <v>109</v>
      </c>
      <c r="R667" s="3">
        <v>10</v>
      </c>
      <c r="S667" s="3">
        <v>306</v>
      </c>
      <c r="T667" s="3">
        <v>23.8</v>
      </c>
      <c r="U667" s="3" t="s">
        <v>44</v>
      </c>
      <c r="V667" s="18" t="s">
        <v>45</v>
      </c>
    </row>
    <row r="668" spans="1:22" ht="15" customHeight="1" x14ac:dyDescent="0.25">
      <c r="A668" s="15" t="s">
        <v>1383</v>
      </c>
      <c r="B668" s="1" t="s">
        <v>1384</v>
      </c>
      <c r="C668">
        <v>57</v>
      </c>
      <c r="D668" s="1" t="s">
        <v>59</v>
      </c>
      <c r="E668" s="1" t="s">
        <v>23</v>
      </c>
      <c r="F668" s="1" t="s">
        <v>37</v>
      </c>
      <c r="G668" s="1" t="s">
        <v>38</v>
      </c>
      <c r="H668" s="1" t="s">
        <v>51</v>
      </c>
      <c r="I668" s="7">
        <v>44603</v>
      </c>
      <c r="J668" s="7">
        <v>44605</v>
      </c>
      <c r="K668" s="1">
        <v>2</v>
      </c>
      <c r="L668" s="1" t="s">
        <v>39</v>
      </c>
      <c r="M668" s="1" t="s">
        <v>40</v>
      </c>
      <c r="N668" s="1" t="s">
        <v>203</v>
      </c>
      <c r="O668" s="1" t="s">
        <v>42</v>
      </c>
      <c r="P668" s="29">
        <v>11683.65</v>
      </c>
      <c r="Q668" s="1" t="s">
        <v>204</v>
      </c>
      <c r="R668" s="1">
        <v>8</v>
      </c>
      <c r="S668" s="1">
        <v>145</v>
      </c>
      <c r="T668" s="1">
        <v>25.1</v>
      </c>
      <c r="U668" s="1" t="s">
        <v>44</v>
      </c>
      <c r="V668" s="17" t="s">
        <v>33</v>
      </c>
    </row>
    <row r="669" spans="1:22" ht="15" customHeight="1" x14ac:dyDescent="0.25">
      <c r="A669" s="16" t="s">
        <v>1385</v>
      </c>
      <c r="B669" s="3" t="s">
        <v>1386</v>
      </c>
      <c r="C669">
        <v>43</v>
      </c>
      <c r="D669" s="3" t="s">
        <v>98</v>
      </c>
      <c r="E669" s="3" t="s">
        <v>48</v>
      </c>
      <c r="F669" s="3" t="s">
        <v>70</v>
      </c>
      <c r="G669" s="3" t="s">
        <v>77</v>
      </c>
      <c r="H669" s="3" t="s">
        <v>26</v>
      </c>
      <c r="I669" s="8">
        <v>44292</v>
      </c>
      <c r="J669" s="8">
        <v>44299</v>
      </c>
      <c r="K669" s="3">
        <v>7</v>
      </c>
      <c r="L669" s="3" t="s">
        <v>52</v>
      </c>
      <c r="M669" s="3" t="s">
        <v>53</v>
      </c>
      <c r="N669" s="3" t="s">
        <v>94</v>
      </c>
      <c r="O669" s="3" t="s">
        <v>42</v>
      </c>
      <c r="P669" s="30">
        <v>68182.16</v>
      </c>
      <c r="Q669" s="3" t="s">
        <v>95</v>
      </c>
      <c r="R669" s="3">
        <v>9</v>
      </c>
      <c r="S669" s="3">
        <v>334</v>
      </c>
      <c r="T669" s="3">
        <v>37.200000000000003</v>
      </c>
      <c r="U669" s="3" t="s">
        <v>32</v>
      </c>
      <c r="V669" s="18" t="s">
        <v>33</v>
      </c>
    </row>
    <row r="670" spans="1:22" ht="15" customHeight="1" x14ac:dyDescent="0.25">
      <c r="A670" s="15" t="s">
        <v>1387</v>
      </c>
      <c r="B670" s="1" t="s">
        <v>1388</v>
      </c>
      <c r="C670">
        <v>28</v>
      </c>
      <c r="D670" s="1" t="s">
        <v>47</v>
      </c>
      <c r="E670" s="1" t="s">
        <v>48</v>
      </c>
      <c r="F670" s="1" t="s">
        <v>49</v>
      </c>
      <c r="G670" s="1" t="s">
        <v>226</v>
      </c>
      <c r="H670" s="1" t="s">
        <v>78</v>
      </c>
      <c r="I670" s="7">
        <v>44336</v>
      </c>
      <c r="J670" s="7">
        <v>44343</v>
      </c>
      <c r="K670" s="1">
        <v>7</v>
      </c>
      <c r="L670" s="1" t="s">
        <v>231</v>
      </c>
      <c r="M670" s="1" t="s">
        <v>53</v>
      </c>
      <c r="N670" s="1" t="s">
        <v>79</v>
      </c>
      <c r="O670" s="1" t="s">
        <v>30</v>
      </c>
      <c r="P670" s="29">
        <v>31534.06</v>
      </c>
      <c r="Q670" s="1" t="s">
        <v>223</v>
      </c>
      <c r="R670" s="1">
        <v>9</v>
      </c>
      <c r="S670" s="1">
        <v>369</v>
      </c>
      <c r="T670" s="1">
        <v>28.1</v>
      </c>
      <c r="U670" s="1" t="s">
        <v>86</v>
      </c>
      <c r="V670" s="17" t="s">
        <v>33</v>
      </c>
    </row>
    <row r="671" spans="1:22" ht="15" customHeight="1" x14ac:dyDescent="0.25">
      <c r="A671" s="16" t="s">
        <v>1389</v>
      </c>
      <c r="B671" s="3" t="s">
        <v>1390</v>
      </c>
      <c r="C671">
        <v>71</v>
      </c>
      <c r="D671" s="3" t="s">
        <v>82</v>
      </c>
      <c r="E671" s="3" t="s">
        <v>48</v>
      </c>
      <c r="F671" s="3" t="s">
        <v>155</v>
      </c>
      <c r="G671" s="3" t="s">
        <v>77</v>
      </c>
      <c r="H671" s="3" t="s">
        <v>51</v>
      </c>
      <c r="I671" s="6">
        <v>45302</v>
      </c>
      <c r="J671" s="8">
        <v>45609</v>
      </c>
      <c r="K671" s="3">
        <v>12</v>
      </c>
      <c r="L671" s="3" t="s">
        <v>122</v>
      </c>
      <c r="M671" s="3" t="s">
        <v>40</v>
      </c>
      <c r="N671" s="3" t="s">
        <v>84</v>
      </c>
      <c r="O671" s="3" t="s">
        <v>42</v>
      </c>
      <c r="P671" s="30">
        <v>59162.73</v>
      </c>
      <c r="Q671" s="3" t="s">
        <v>100</v>
      </c>
      <c r="R671" s="3">
        <v>10</v>
      </c>
      <c r="S671" s="3">
        <v>167</v>
      </c>
      <c r="T671" s="3">
        <v>29.9</v>
      </c>
      <c r="U671" s="3" t="s">
        <v>44</v>
      </c>
      <c r="V671" s="18" t="s">
        <v>33</v>
      </c>
    </row>
    <row r="672" spans="1:22" ht="15" customHeight="1" x14ac:dyDescent="0.25">
      <c r="A672" s="15" t="s">
        <v>1391</v>
      </c>
      <c r="B672" s="2" t="s">
        <v>3618</v>
      </c>
      <c r="C672">
        <v>75</v>
      </c>
      <c r="D672" s="1" t="s">
        <v>36</v>
      </c>
      <c r="E672" s="1" t="s">
        <v>23</v>
      </c>
      <c r="F672" s="1" t="s">
        <v>70</v>
      </c>
      <c r="G672" s="1" t="s">
        <v>131</v>
      </c>
      <c r="H672" s="1" t="s">
        <v>51</v>
      </c>
      <c r="I672" s="6">
        <v>44906</v>
      </c>
      <c r="J672" s="7">
        <v>44879</v>
      </c>
      <c r="K672" s="1">
        <v>2</v>
      </c>
      <c r="L672" s="1" t="s">
        <v>185</v>
      </c>
      <c r="M672" s="1" t="s">
        <v>186</v>
      </c>
      <c r="N672" s="1" t="s">
        <v>147</v>
      </c>
      <c r="O672" s="1" t="s">
        <v>42</v>
      </c>
      <c r="P672" s="29">
        <v>44031.58</v>
      </c>
      <c r="Q672" s="1" t="s">
        <v>148</v>
      </c>
      <c r="R672" s="1">
        <v>7</v>
      </c>
      <c r="S672" s="1">
        <v>113</v>
      </c>
      <c r="T672" s="1">
        <v>32.799999999999997</v>
      </c>
      <c r="U672" s="1" t="s">
        <v>44</v>
      </c>
      <c r="V672" s="17" t="s">
        <v>33</v>
      </c>
    </row>
    <row r="673" spans="1:22" ht="15" customHeight="1" x14ac:dyDescent="0.25">
      <c r="A673" s="16" t="s">
        <v>1392</v>
      </c>
      <c r="B673" s="3" t="s">
        <v>1393</v>
      </c>
      <c r="C673">
        <v>88</v>
      </c>
      <c r="D673" s="3" t="s">
        <v>36</v>
      </c>
      <c r="E673" s="3" t="s">
        <v>23</v>
      </c>
      <c r="F673" s="3" t="s">
        <v>49</v>
      </c>
      <c r="G673" s="3" t="s">
        <v>77</v>
      </c>
      <c r="H673" s="3" t="s">
        <v>26</v>
      </c>
      <c r="I673" s="8">
        <v>45580</v>
      </c>
      <c r="J673" s="8">
        <v>45589</v>
      </c>
      <c r="K673" s="3">
        <v>9</v>
      </c>
      <c r="L673" s="3" t="s">
        <v>52</v>
      </c>
      <c r="M673" s="3" t="s">
        <v>53</v>
      </c>
      <c r="N673" s="3" t="s">
        <v>94</v>
      </c>
      <c r="O673" s="3" t="s">
        <v>42</v>
      </c>
      <c r="P673" s="30">
        <v>67291.16</v>
      </c>
      <c r="Q673" s="3" t="s">
        <v>85</v>
      </c>
      <c r="R673" s="3">
        <v>8</v>
      </c>
      <c r="S673" s="3">
        <v>399</v>
      </c>
      <c r="T673" s="3">
        <v>22.6</v>
      </c>
      <c r="U673" s="3" t="s">
        <v>44</v>
      </c>
      <c r="V673" s="18" t="s">
        <v>33</v>
      </c>
    </row>
    <row r="674" spans="1:22" ht="15" customHeight="1" x14ac:dyDescent="0.25">
      <c r="A674" s="15" t="s">
        <v>1394</v>
      </c>
      <c r="B674" s="1" t="s">
        <v>1072</v>
      </c>
      <c r="C674">
        <v>64</v>
      </c>
      <c r="D674" s="1" t="s">
        <v>59</v>
      </c>
      <c r="E674" s="1" t="s">
        <v>48</v>
      </c>
      <c r="F674" s="1" t="s">
        <v>76</v>
      </c>
      <c r="G674" s="1" t="s">
        <v>131</v>
      </c>
      <c r="H674" s="1" t="s">
        <v>26</v>
      </c>
      <c r="I674" s="7">
        <v>45310</v>
      </c>
      <c r="J674" s="7">
        <v>45316</v>
      </c>
      <c r="K674" s="1">
        <v>6</v>
      </c>
      <c r="L674" s="1" t="s">
        <v>231</v>
      </c>
      <c r="M674" s="1" t="s">
        <v>53</v>
      </c>
      <c r="N674" s="1" t="s">
        <v>157</v>
      </c>
      <c r="O674" s="1" t="s">
        <v>30</v>
      </c>
      <c r="P674" s="29">
        <v>23724.12</v>
      </c>
      <c r="Q674" s="1" t="s">
        <v>152</v>
      </c>
      <c r="R674" s="1">
        <v>6</v>
      </c>
      <c r="S674" s="1">
        <v>333</v>
      </c>
      <c r="T674" s="1">
        <v>24.7</v>
      </c>
      <c r="U674" s="1" t="s">
        <v>32</v>
      </c>
      <c r="V674" s="17" t="s">
        <v>33</v>
      </c>
    </row>
    <row r="675" spans="1:22" ht="15" customHeight="1" x14ac:dyDescent="0.25">
      <c r="A675" s="16" t="s">
        <v>1395</v>
      </c>
      <c r="B675" s="3" t="s">
        <v>1396</v>
      </c>
      <c r="C675">
        <v>51</v>
      </c>
      <c r="D675" s="3" t="s">
        <v>98</v>
      </c>
      <c r="E675" s="3" t="s">
        <v>23</v>
      </c>
      <c r="F675" s="3" t="s">
        <v>155</v>
      </c>
      <c r="G675" s="3" t="s">
        <v>131</v>
      </c>
      <c r="H675" s="3" t="s">
        <v>26</v>
      </c>
      <c r="I675" s="8">
        <v>43703</v>
      </c>
      <c r="J675" s="8">
        <v>43708</v>
      </c>
      <c r="K675" s="3">
        <v>5</v>
      </c>
      <c r="L675" s="3" t="s">
        <v>132</v>
      </c>
      <c r="M675" s="3" t="s">
        <v>53</v>
      </c>
      <c r="N675" s="3" t="s">
        <v>133</v>
      </c>
      <c r="O675" s="3" t="s">
        <v>42</v>
      </c>
      <c r="P675" s="30">
        <v>39334.14</v>
      </c>
      <c r="Q675" s="3" t="s">
        <v>152</v>
      </c>
      <c r="R675" s="3">
        <v>5</v>
      </c>
      <c r="S675" s="3">
        <v>387</v>
      </c>
      <c r="T675" s="3">
        <v>32.299999999999997</v>
      </c>
      <c r="U675" s="3" t="s">
        <v>44</v>
      </c>
      <c r="V675" s="18" t="s">
        <v>33</v>
      </c>
    </row>
    <row r="676" spans="1:22" ht="15" customHeight="1" x14ac:dyDescent="0.25">
      <c r="A676" s="15" t="s">
        <v>1397</v>
      </c>
      <c r="B676" s="1" t="s">
        <v>1398</v>
      </c>
      <c r="C676">
        <v>38</v>
      </c>
      <c r="D676" s="1" t="s">
        <v>98</v>
      </c>
      <c r="E676" s="1" t="s">
        <v>48</v>
      </c>
      <c r="F676" s="1" t="s">
        <v>37</v>
      </c>
      <c r="G676" s="1" t="s">
        <v>131</v>
      </c>
      <c r="H676" s="1" t="s">
        <v>26</v>
      </c>
      <c r="I676" s="6">
        <v>45637</v>
      </c>
      <c r="J676" s="7">
        <v>45619</v>
      </c>
      <c r="K676" s="1">
        <v>11</v>
      </c>
      <c r="L676" s="1" t="s">
        <v>185</v>
      </c>
      <c r="M676" s="1" t="s">
        <v>186</v>
      </c>
      <c r="N676" s="1" t="s">
        <v>133</v>
      </c>
      <c r="O676" s="1" t="s">
        <v>42</v>
      </c>
      <c r="P676" s="29">
        <v>24957.9</v>
      </c>
      <c r="Q676" s="1" t="s">
        <v>152</v>
      </c>
      <c r="R676" s="1">
        <v>6</v>
      </c>
      <c r="S676" s="1">
        <v>349</v>
      </c>
      <c r="T676" s="1">
        <v>25.2</v>
      </c>
      <c r="U676" s="1" t="s">
        <v>44</v>
      </c>
      <c r="V676" s="17" t="s">
        <v>33</v>
      </c>
    </row>
    <row r="677" spans="1:22" ht="15" customHeight="1" x14ac:dyDescent="0.25">
      <c r="A677" s="16" t="s">
        <v>1399</v>
      </c>
      <c r="B677" s="3" t="s">
        <v>1400</v>
      </c>
      <c r="C677">
        <v>61</v>
      </c>
      <c r="D677" s="3" t="s">
        <v>59</v>
      </c>
      <c r="E677" s="3" t="s">
        <v>48</v>
      </c>
      <c r="F677" s="3" t="s">
        <v>24</v>
      </c>
      <c r="G677" s="3" t="s">
        <v>71</v>
      </c>
      <c r="H677" s="3" t="s">
        <v>51</v>
      </c>
      <c r="I677" s="8">
        <v>45160</v>
      </c>
      <c r="J677" s="8">
        <v>45162</v>
      </c>
      <c r="K677" s="3">
        <v>2</v>
      </c>
      <c r="L677" s="3" t="s">
        <v>39</v>
      </c>
      <c r="M677" s="3" t="s">
        <v>40</v>
      </c>
      <c r="N677" s="3" t="s">
        <v>72</v>
      </c>
      <c r="O677" s="3" t="s">
        <v>30</v>
      </c>
      <c r="P677" s="30">
        <v>14292.8</v>
      </c>
      <c r="Q677" s="3" t="s">
        <v>170</v>
      </c>
      <c r="R677" s="3">
        <v>5</v>
      </c>
      <c r="S677" s="3">
        <v>145</v>
      </c>
      <c r="T677" s="3">
        <v>16.100000000000001</v>
      </c>
      <c r="U677" s="3" t="s">
        <v>44</v>
      </c>
      <c r="V677" s="18" t="s">
        <v>33</v>
      </c>
    </row>
    <row r="678" spans="1:22" ht="15" customHeight="1" x14ac:dyDescent="0.25">
      <c r="A678" s="15" t="s">
        <v>1401</v>
      </c>
      <c r="B678" s="2" t="s">
        <v>376</v>
      </c>
      <c r="C678">
        <v>82</v>
      </c>
      <c r="D678" s="1" t="s">
        <v>36</v>
      </c>
      <c r="E678" s="1" t="s">
        <v>48</v>
      </c>
      <c r="F678" s="1" t="s">
        <v>24</v>
      </c>
      <c r="G678" s="1" t="s">
        <v>1161</v>
      </c>
      <c r="H678" s="1" t="s">
        <v>26</v>
      </c>
      <c r="I678" s="6">
        <v>43719</v>
      </c>
      <c r="J678" s="7">
        <v>43786</v>
      </c>
      <c r="K678" s="1">
        <v>8</v>
      </c>
      <c r="L678" s="1" t="s">
        <v>39</v>
      </c>
      <c r="M678" s="1" t="s">
        <v>40</v>
      </c>
      <c r="N678" s="1" t="s">
        <v>29</v>
      </c>
      <c r="O678" s="1" t="s">
        <v>66</v>
      </c>
      <c r="P678" s="29">
        <v>124846.22</v>
      </c>
      <c r="Q678" s="1" t="s">
        <v>67</v>
      </c>
      <c r="R678" s="1">
        <v>12</v>
      </c>
      <c r="S678" s="1">
        <v>497</v>
      </c>
      <c r="T678" s="1">
        <v>24.3</v>
      </c>
      <c r="U678" s="1" t="s">
        <v>32</v>
      </c>
      <c r="V678" s="17" t="s">
        <v>33</v>
      </c>
    </row>
    <row r="679" spans="1:22" ht="15" customHeight="1" x14ac:dyDescent="0.25">
      <c r="A679" s="16" t="s">
        <v>1402</v>
      </c>
      <c r="B679" s="3" t="s">
        <v>1403</v>
      </c>
      <c r="C679">
        <v>89</v>
      </c>
      <c r="D679" s="3" t="s">
        <v>36</v>
      </c>
      <c r="E679" s="3" t="s">
        <v>48</v>
      </c>
      <c r="F679" s="3" t="s">
        <v>76</v>
      </c>
      <c r="G679" s="3" t="s">
        <v>25</v>
      </c>
      <c r="H679" s="3" t="s">
        <v>78</v>
      </c>
      <c r="I679" s="6">
        <v>44559</v>
      </c>
      <c r="J679" s="8">
        <v>44571</v>
      </c>
      <c r="K679" s="3">
        <v>12</v>
      </c>
      <c r="L679" s="3" t="s">
        <v>112</v>
      </c>
      <c r="M679" s="3" t="s">
        <v>40</v>
      </c>
      <c r="N679" s="3" t="s">
        <v>65</v>
      </c>
      <c r="O679" s="3" t="s">
        <v>30</v>
      </c>
      <c r="P679" s="30">
        <v>45588.67</v>
      </c>
      <c r="Q679" s="3" t="s">
        <v>105</v>
      </c>
      <c r="R679" s="3">
        <v>12</v>
      </c>
      <c r="S679" s="3">
        <v>281</v>
      </c>
      <c r="T679" s="3">
        <v>20.7</v>
      </c>
      <c r="U679" s="3" t="s">
        <v>86</v>
      </c>
      <c r="V679" s="18" t="s">
        <v>33</v>
      </c>
    </row>
    <row r="680" spans="1:22" ht="15" customHeight="1" x14ac:dyDescent="0.25">
      <c r="A680" s="15" t="s">
        <v>1404</v>
      </c>
      <c r="B680" s="1" t="s">
        <v>1405</v>
      </c>
      <c r="C680">
        <v>67</v>
      </c>
      <c r="D680" s="1" t="s">
        <v>82</v>
      </c>
      <c r="E680" s="1" t="s">
        <v>48</v>
      </c>
      <c r="F680" s="1" t="s">
        <v>83</v>
      </c>
      <c r="G680" s="1" t="s">
        <v>71</v>
      </c>
      <c r="H680" s="1" t="s">
        <v>26</v>
      </c>
      <c r="I680" s="7">
        <v>43829</v>
      </c>
      <c r="J680" s="7">
        <v>43862</v>
      </c>
      <c r="K680" s="1">
        <v>3</v>
      </c>
      <c r="L680" s="1" t="s">
        <v>27</v>
      </c>
      <c r="M680" s="1" t="s">
        <v>28</v>
      </c>
      <c r="N680" s="1" t="s">
        <v>312</v>
      </c>
      <c r="O680" s="1" t="s">
        <v>42</v>
      </c>
      <c r="P680" s="29">
        <v>37764.5</v>
      </c>
      <c r="Q680" s="1" t="s">
        <v>178</v>
      </c>
      <c r="R680" s="1">
        <v>4</v>
      </c>
      <c r="S680" s="1">
        <v>112</v>
      </c>
      <c r="T680" s="1">
        <v>29.3</v>
      </c>
      <c r="U680" s="1" t="s">
        <v>86</v>
      </c>
      <c r="V680" s="17" t="s">
        <v>33</v>
      </c>
    </row>
    <row r="681" spans="1:22" ht="15" customHeight="1" x14ac:dyDescent="0.25">
      <c r="A681" s="16" t="s">
        <v>1406</v>
      </c>
      <c r="B681" s="3" t="s">
        <v>1407</v>
      </c>
      <c r="C681">
        <v>83</v>
      </c>
      <c r="D681" s="3" t="s">
        <v>36</v>
      </c>
      <c r="E681" s="3" t="s">
        <v>23</v>
      </c>
      <c r="F681" s="3" t="s">
        <v>76</v>
      </c>
      <c r="G681" s="3" t="s">
        <v>50</v>
      </c>
      <c r="H681" s="3" t="s">
        <v>26</v>
      </c>
      <c r="I681" s="6">
        <v>45460</v>
      </c>
      <c r="J681" s="8">
        <v>45466</v>
      </c>
      <c r="K681" s="3">
        <v>6</v>
      </c>
      <c r="L681" s="3" t="s">
        <v>52</v>
      </c>
      <c r="M681" s="3" t="s">
        <v>53</v>
      </c>
      <c r="N681" s="3" t="s">
        <v>54</v>
      </c>
      <c r="O681" s="3" t="s">
        <v>104</v>
      </c>
      <c r="P681" s="30">
        <v>64440.5</v>
      </c>
      <c r="Q681" s="3" t="s">
        <v>623</v>
      </c>
      <c r="R681" s="3">
        <v>8</v>
      </c>
      <c r="S681" s="3">
        <v>390</v>
      </c>
      <c r="T681" s="3">
        <v>44.5</v>
      </c>
      <c r="U681" s="3" t="s">
        <v>32</v>
      </c>
      <c r="V681" s="18" t="s">
        <v>45</v>
      </c>
    </row>
    <row r="682" spans="1:22" ht="15" customHeight="1" x14ac:dyDescent="0.25">
      <c r="A682" s="15" t="s">
        <v>1408</v>
      </c>
      <c r="B682" s="1" t="s">
        <v>1409</v>
      </c>
      <c r="C682">
        <v>55</v>
      </c>
      <c r="D682" s="1" t="s">
        <v>59</v>
      </c>
      <c r="E682" s="1" t="s">
        <v>48</v>
      </c>
      <c r="F682" s="1" t="s">
        <v>37</v>
      </c>
      <c r="G682" s="1" t="s">
        <v>38</v>
      </c>
      <c r="H682" s="1" t="s">
        <v>51</v>
      </c>
      <c r="I682" s="7">
        <v>44454</v>
      </c>
      <c r="J682" s="7">
        <v>44457</v>
      </c>
      <c r="K682" s="1">
        <v>3</v>
      </c>
      <c r="L682" s="1" t="s">
        <v>112</v>
      </c>
      <c r="M682" s="1" t="s">
        <v>40</v>
      </c>
      <c r="N682" s="1" t="s">
        <v>173</v>
      </c>
      <c r="O682" s="1" t="s">
        <v>42</v>
      </c>
      <c r="P682" s="29">
        <v>24754.23</v>
      </c>
      <c r="Q682" s="1" t="s">
        <v>43</v>
      </c>
      <c r="R682" s="1">
        <v>8</v>
      </c>
      <c r="S682" s="1">
        <v>150</v>
      </c>
      <c r="T682" s="4"/>
      <c r="U682" s="1" t="s">
        <v>32</v>
      </c>
      <c r="V682" s="17" t="s">
        <v>33</v>
      </c>
    </row>
    <row r="683" spans="1:22" ht="15" customHeight="1" x14ac:dyDescent="0.25">
      <c r="A683" s="16" t="s">
        <v>1410</v>
      </c>
      <c r="B683" s="3" t="s">
        <v>1411</v>
      </c>
      <c r="C683">
        <v>39</v>
      </c>
      <c r="D683" s="3" t="s">
        <v>98</v>
      </c>
      <c r="E683" s="3" t="s">
        <v>23</v>
      </c>
      <c r="F683" s="3" t="s">
        <v>155</v>
      </c>
      <c r="G683" s="3" t="s">
        <v>71</v>
      </c>
      <c r="H683" s="3" t="s">
        <v>26</v>
      </c>
      <c r="I683" s="6">
        <v>45258</v>
      </c>
      <c r="J683" s="8">
        <v>45266</v>
      </c>
      <c r="K683" s="3">
        <v>8</v>
      </c>
      <c r="L683" s="3" t="s">
        <v>27</v>
      </c>
      <c r="M683" s="3" t="s">
        <v>28</v>
      </c>
      <c r="N683" s="3" t="s">
        <v>72</v>
      </c>
      <c r="O683" s="3" t="s">
        <v>30</v>
      </c>
      <c r="P683" s="30">
        <v>9951.73</v>
      </c>
      <c r="Q683" s="3" t="s">
        <v>374</v>
      </c>
      <c r="R683" s="3">
        <v>5</v>
      </c>
      <c r="S683" s="3">
        <v>225</v>
      </c>
      <c r="T683" s="3">
        <v>27.1</v>
      </c>
      <c r="U683" s="3" t="s">
        <v>44</v>
      </c>
      <c r="V683" s="18" t="s">
        <v>33</v>
      </c>
    </row>
    <row r="684" spans="1:22" ht="15" customHeight="1" x14ac:dyDescent="0.25">
      <c r="A684" s="15" t="s">
        <v>1412</v>
      </c>
      <c r="B684" s="1" t="s">
        <v>1413</v>
      </c>
      <c r="C684">
        <v>88</v>
      </c>
      <c r="D684" s="1" t="s">
        <v>36</v>
      </c>
      <c r="E684" s="1" t="s">
        <v>48</v>
      </c>
      <c r="F684" s="1" t="s">
        <v>99</v>
      </c>
      <c r="G684" s="1" t="s">
        <v>71</v>
      </c>
      <c r="H684" s="1" t="s">
        <v>78</v>
      </c>
      <c r="I684" s="7">
        <v>45020</v>
      </c>
      <c r="J684" s="7">
        <v>45022</v>
      </c>
      <c r="K684" s="1">
        <v>2</v>
      </c>
      <c r="L684" s="1" t="s">
        <v>185</v>
      </c>
      <c r="M684" s="1" t="s">
        <v>186</v>
      </c>
      <c r="N684" s="1" t="s">
        <v>312</v>
      </c>
      <c r="O684" s="1" t="s">
        <v>42</v>
      </c>
      <c r="P684" s="29">
        <v>17679.759999999998</v>
      </c>
      <c r="Q684" s="1" t="s">
        <v>503</v>
      </c>
      <c r="R684" s="1">
        <v>3</v>
      </c>
      <c r="S684" s="1">
        <v>411</v>
      </c>
      <c r="T684" s="1">
        <v>19.600000000000001</v>
      </c>
      <c r="U684" s="1" t="s">
        <v>32</v>
      </c>
      <c r="V684" s="17" t="s">
        <v>33</v>
      </c>
    </row>
    <row r="685" spans="1:22" ht="15" customHeight="1" x14ac:dyDescent="0.25">
      <c r="A685" s="16" t="s">
        <v>1414</v>
      </c>
      <c r="B685" s="3" t="s">
        <v>1415</v>
      </c>
      <c r="C685">
        <v>85</v>
      </c>
      <c r="D685" s="3" t="s">
        <v>36</v>
      </c>
      <c r="E685" s="3" t="s">
        <v>23</v>
      </c>
      <c r="F685" s="3" t="s">
        <v>24</v>
      </c>
      <c r="G685" s="3" t="s">
        <v>50</v>
      </c>
      <c r="H685" s="3" t="s">
        <v>26</v>
      </c>
      <c r="I685" s="6">
        <v>44647</v>
      </c>
      <c r="J685" s="8">
        <v>44659</v>
      </c>
      <c r="K685" s="3">
        <v>12</v>
      </c>
      <c r="L685" s="3" t="s">
        <v>231</v>
      </c>
      <c r="M685" s="3" t="s">
        <v>53</v>
      </c>
      <c r="N685" s="3" t="s">
        <v>126</v>
      </c>
      <c r="O685" s="3" t="s">
        <v>55</v>
      </c>
      <c r="P685" s="30">
        <v>85094.5</v>
      </c>
      <c r="Q685" s="3" t="s">
        <v>552</v>
      </c>
      <c r="R685" s="3">
        <v>9</v>
      </c>
      <c r="S685" s="3">
        <v>394</v>
      </c>
      <c r="T685" s="4"/>
      <c r="U685" s="3" t="s">
        <v>32</v>
      </c>
      <c r="V685" s="18" t="s">
        <v>33</v>
      </c>
    </row>
    <row r="686" spans="1:22" ht="15" customHeight="1" x14ac:dyDescent="0.25">
      <c r="A686" s="15" t="s">
        <v>1416</v>
      </c>
      <c r="B686" s="1" t="s">
        <v>1417</v>
      </c>
      <c r="C686">
        <v>46</v>
      </c>
      <c r="D686" s="1" t="s">
        <v>98</v>
      </c>
      <c r="E686" s="1" t="s">
        <v>23</v>
      </c>
      <c r="F686" s="1" t="s">
        <v>99</v>
      </c>
      <c r="G686" s="1" t="s">
        <v>25</v>
      </c>
      <c r="H686" s="1" t="s">
        <v>78</v>
      </c>
      <c r="I686" s="7">
        <v>44341</v>
      </c>
      <c r="J686" s="7">
        <v>44349</v>
      </c>
      <c r="K686" s="1">
        <v>8</v>
      </c>
      <c r="L686" s="1" t="s">
        <v>132</v>
      </c>
      <c r="M686" s="1" t="s">
        <v>53</v>
      </c>
      <c r="N686" s="1" t="s">
        <v>65</v>
      </c>
      <c r="O686" s="1" t="s">
        <v>42</v>
      </c>
      <c r="P686" s="29">
        <v>26754</v>
      </c>
      <c r="Q686" s="1" t="s">
        <v>198</v>
      </c>
      <c r="R686" s="1">
        <v>12</v>
      </c>
      <c r="S686" s="1">
        <v>133</v>
      </c>
      <c r="T686" s="1">
        <v>21.3</v>
      </c>
      <c r="U686" s="1" t="s">
        <v>44</v>
      </c>
      <c r="V686" s="17" t="s">
        <v>33</v>
      </c>
    </row>
    <row r="687" spans="1:22" ht="15" customHeight="1" x14ac:dyDescent="0.25">
      <c r="A687" s="16" t="s">
        <v>1418</v>
      </c>
      <c r="B687" s="3" t="s">
        <v>1419</v>
      </c>
      <c r="C687">
        <v>35</v>
      </c>
      <c r="D687" s="3" t="s">
        <v>98</v>
      </c>
      <c r="E687" s="3" t="s">
        <v>23</v>
      </c>
      <c r="F687" s="3" t="s">
        <v>99</v>
      </c>
      <c r="G687" s="3" t="s">
        <v>226</v>
      </c>
      <c r="H687" s="3" t="s">
        <v>26</v>
      </c>
      <c r="I687" s="8">
        <v>43993</v>
      </c>
      <c r="J687" s="8">
        <v>44000</v>
      </c>
      <c r="K687" s="3">
        <v>7</v>
      </c>
      <c r="L687" s="3" t="s">
        <v>122</v>
      </c>
      <c r="M687" s="3" t="s">
        <v>40</v>
      </c>
      <c r="N687" s="3" t="s">
        <v>94</v>
      </c>
      <c r="O687" s="3" t="s">
        <v>42</v>
      </c>
      <c r="P687" s="30">
        <v>100481</v>
      </c>
      <c r="Q687" s="3" t="s">
        <v>592</v>
      </c>
      <c r="R687" s="3">
        <v>10</v>
      </c>
      <c r="S687" s="3">
        <v>351</v>
      </c>
      <c r="T687" s="4"/>
      <c r="U687" s="3" t="s">
        <v>44</v>
      </c>
      <c r="V687" s="18" t="s">
        <v>33</v>
      </c>
    </row>
    <row r="688" spans="1:22" ht="15" customHeight="1" x14ac:dyDescent="0.25">
      <c r="A688" s="15" t="s">
        <v>1420</v>
      </c>
      <c r="B688" s="2" t="s">
        <v>3619</v>
      </c>
      <c r="C688">
        <v>60</v>
      </c>
      <c r="D688" s="1" t="s">
        <v>59</v>
      </c>
      <c r="E688" s="1" t="s">
        <v>48</v>
      </c>
      <c r="F688" s="1" t="s">
        <v>37</v>
      </c>
      <c r="G688" s="1" t="s">
        <v>60</v>
      </c>
      <c r="H688" s="1" t="s">
        <v>51</v>
      </c>
      <c r="I688" s="7">
        <v>43857</v>
      </c>
      <c r="J688" s="7">
        <v>43859</v>
      </c>
      <c r="K688" s="1">
        <v>2</v>
      </c>
      <c r="L688" s="1" t="s">
        <v>39</v>
      </c>
      <c r="M688" s="1" t="s">
        <v>40</v>
      </c>
      <c r="N688" s="1" t="s">
        <v>61</v>
      </c>
      <c r="O688" s="1" t="s">
        <v>66</v>
      </c>
      <c r="P688" s="29">
        <v>54755</v>
      </c>
      <c r="Q688" s="1" t="s">
        <v>137</v>
      </c>
      <c r="R688" s="1">
        <v>6</v>
      </c>
      <c r="S688" s="1">
        <v>140</v>
      </c>
      <c r="T688" s="1">
        <v>30.8</v>
      </c>
      <c r="U688" s="1" t="s">
        <v>32</v>
      </c>
      <c r="V688" s="17" t="s">
        <v>33</v>
      </c>
    </row>
    <row r="689" spans="1:22" ht="15" customHeight="1" x14ac:dyDescent="0.25">
      <c r="A689" s="16" t="s">
        <v>1421</v>
      </c>
      <c r="B689" s="3" t="s">
        <v>1422</v>
      </c>
      <c r="C689">
        <v>30</v>
      </c>
      <c r="D689" s="3" t="s">
        <v>47</v>
      </c>
      <c r="E689" s="3" t="s">
        <v>23</v>
      </c>
      <c r="F689" s="3" t="s">
        <v>99</v>
      </c>
      <c r="G689" s="3" t="s">
        <v>163</v>
      </c>
      <c r="H689" s="3" t="s">
        <v>26</v>
      </c>
      <c r="I689" s="8">
        <v>44316</v>
      </c>
      <c r="J689" s="8">
        <v>44319</v>
      </c>
      <c r="K689" s="3">
        <v>3</v>
      </c>
      <c r="L689" s="3" t="s">
        <v>52</v>
      </c>
      <c r="M689" s="3" t="s">
        <v>53</v>
      </c>
      <c r="N689" s="3" t="s">
        <v>213</v>
      </c>
      <c r="O689" s="3" t="s">
        <v>42</v>
      </c>
      <c r="P689" s="30">
        <v>24359.439999999999</v>
      </c>
      <c r="Q689" s="3" t="s">
        <v>382</v>
      </c>
      <c r="R689" s="3">
        <v>6</v>
      </c>
      <c r="S689" s="3">
        <v>447</v>
      </c>
      <c r="T689" s="3">
        <v>32.5</v>
      </c>
      <c r="U689" s="3" t="s">
        <v>32</v>
      </c>
      <c r="V689" s="18" t="s">
        <v>33</v>
      </c>
    </row>
    <row r="690" spans="1:22" ht="15" customHeight="1" x14ac:dyDescent="0.25">
      <c r="A690" s="15" t="s">
        <v>1423</v>
      </c>
      <c r="B690" s="1" t="s">
        <v>1424</v>
      </c>
      <c r="C690">
        <v>59</v>
      </c>
      <c r="D690" s="1" t="s">
        <v>59</v>
      </c>
      <c r="E690" s="1" t="s">
        <v>48</v>
      </c>
      <c r="F690" s="1" t="s">
        <v>83</v>
      </c>
      <c r="G690" s="1" t="s">
        <v>38</v>
      </c>
      <c r="H690" s="1" t="s">
        <v>26</v>
      </c>
      <c r="I690" s="6">
        <v>43807</v>
      </c>
      <c r="J690" s="7">
        <v>43696</v>
      </c>
      <c r="K690" s="1">
        <v>7</v>
      </c>
      <c r="L690" s="1" t="s">
        <v>52</v>
      </c>
      <c r="M690" s="1" t="s">
        <v>53</v>
      </c>
      <c r="N690" s="1" t="s">
        <v>203</v>
      </c>
      <c r="O690" s="1" t="s">
        <v>42</v>
      </c>
      <c r="P690" s="29">
        <v>40118.519999999997</v>
      </c>
      <c r="Q690" s="1" t="s">
        <v>236</v>
      </c>
      <c r="R690" s="1">
        <v>8</v>
      </c>
      <c r="S690" s="1">
        <v>271</v>
      </c>
      <c r="T690" s="1">
        <v>27.2</v>
      </c>
      <c r="U690" s="1" t="s">
        <v>44</v>
      </c>
      <c r="V690" s="17" t="s">
        <v>33</v>
      </c>
    </row>
    <row r="691" spans="1:22" ht="15" customHeight="1" x14ac:dyDescent="0.25">
      <c r="A691" s="16" t="s">
        <v>1425</v>
      </c>
      <c r="B691" s="3" t="s">
        <v>1426</v>
      </c>
      <c r="C691">
        <v>77</v>
      </c>
      <c r="D691" s="3" t="s">
        <v>36</v>
      </c>
      <c r="E691" s="3" t="s">
        <v>23</v>
      </c>
      <c r="F691" s="3" t="s">
        <v>83</v>
      </c>
      <c r="G691" s="3" t="s">
        <v>38</v>
      </c>
      <c r="H691" s="3" t="s">
        <v>51</v>
      </c>
      <c r="I691" s="6">
        <v>44994</v>
      </c>
      <c r="J691" s="8">
        <v>45086</v>
      </c>
      <c r="K691" s="3">
        <v>3</v>
      </c>
      <c r="L691" s="3" t="s">
        <v>231</v>
      </c>
      <c r="M691" s="3" t="s">
        <v>53</v>
      </c>
      <c r="N691" s="3" t="s">
        <v>173</v>
      </c>
      <c r="O691" s="3" t="s">
        <v>55</v>
      </c>
      <c r="P691" s="30">
        <v>18140.09</v>
      </c>
      <c r="Q691" s="3" t="s">
        <v>305</v>
      </c>
      <c r="R691" s="3">
        <v>8</v>
      </c>
      <c r="S691" s="3">
        <v>174</v>
      </c>
      <c r="T691" s="3">
        <v>37.6</v>
      </c>
      <c r="U691" s="3" t="s">
        <v>86</v>
      </c>
      <c r="V691" s="18" t="s">
        <v>33</v>
      </c>
    </row>
    <row r="692" spans="1:22" ht="15" customHeight="1" x14ac:dyDescent="0.25">
      <c r="A692" s="15" t="s">
        <v>1427</v>
      </c>
      <c r="B692" s="1" t="s">
        <v>1428</v>
      </c>
      <c r="C692">
        <v>92</v>
      </c>
      <c r="D692" s="1" t="s">
        <v>36</v>
      </c>
      <c r="E692" s="1" t="s">
        <v>48</v>
      </c>
      <c r="F692" s="1" t="s">
        <v>70</v>
      </c>
      <c r="G692" s="1" t="s">
        <v>50</v>
      </c>
      <c r="H692" s="1" t="s">
        <v>26</v>
      </c>
      <c r="I692" s="6">
        <v>44853</v>
      </c>
      <c r="J692" s="7">
        <v>44863</v>
      </c>
      <c r="K692" s="1">
        <v>10</v>
      </c>
      <c r="L692" s="1" t="s">
        <v>102</v>
      </c>
      <c r="M692" s="1" t="s">
        <v>28</v>
      </c>
      <c r="N692" s="1" t="s">
        <v>116</v>
      </c>
      <c r="O692" s="1" t="s">
        <v>104</v>
      </c>
      <c r="P692" s="29">
        <v>64029.98</v>
      </c>
      <c r="Q692" s="1" t="s">
        <v>127</v>
      </c>
      <c r="R692" s="1">
        <v>9</v>
      </c>
      <c r="S692" s="1">
        <v>393</v>
      </c>
      <c r="T692" s="1">
        <v>25.6</v>
      </c>
      <c r="U692" s="1" t="s">
        <v>44</v>
      </c>
      <c r="V692" s="17" t="s">
        <v>45</v>
      </c>
    </row>
    <row r="693" spans="1:22" ht="15" customHeight="1" x14ac:dyDescent="0.25">
      <c r="A693" s="16" t="s">
        <v>1429</v>
      </c>
      <c r="B693" s="2" t="s">
        <v>3620</v>
      </c>
      <c r="C693">
        <v>73</v>
      </c>
      <c r="D693" s="3" t="s">
        <v>82</v>
      </c>
      <c r="E693" s="3" t="s">
        <v>48</v>
      </c>
      <c r="F693" s="3" t="s">
        <v>49</v>
      </c>
      <c r="G693" s="3" t="s">
        <v>25</v>
      </c>
      <c r="H693" s="3" t="s">
        <v>26</v>
      </c>
      <c r="I693" s="6">
        <v>45606</v>
      </c>
      <c r="J693" s="8">
        <v>45594</v>
      </c>
      <c r="K693" s="3">
        <v>18</v>
      </c>
      <c r="L693" s="3" t="s">
        <v>231</v>
      </c>
      <c r="M693" s="3" t="s">
        <v>53</v>
      </c>
      <c r="N693" s="3" t="s">
        <v>248</v>
      </c>
      <c r="O693" s="3" t="s">
        <v>42</v>
      </c>
      <c r="P693" s="30">
        <v>87906.83</v>
      </c>
      <c r="Q693" s="3" t="s">
        <v>322</v>
      </c>
      <c r="R693" s="3">
        <v>12</v>
      </c>
      <c r="S693" s="3">
        <v>316</v>
      </c>
      <c r="T693" s="4"/>
      <c r="U693" s="3" t="s">
        <v>44</v>
      </c>
      <c r="V693" s="18" t="s">
        <v>33</v>
      </c>
    </row>
    <row r="694" spans="1:22" ht="15" customHeight="1" x14ac:dyDescent="0.25">
      <c r="A694" s="15" t="s">
        <v>1430</v>
      </c>
      <c r="B694" s="1" t="s">
        <v>1431</v>
      </c>
      <c r="C694">
        <v>87</v>
      </c>
      <c r="D694" s="1" t="s">
        <v>36</v>
      </c>
      <c r="E694" s="1" t="s">
        <v>48</v>
      </c>
      <c r="F694" s="1" t="s">
        <v>37</v>
      </c>
      <c r="G694" s="1" t="s">
        <v>77</v>
      </c>
      <c r="H694" s="1" t="s">
        <v>26</v>
      </c>
      <c r="I694" s="6">
        <v>45276</v>
      </c>
      <c r="J694" s="7">
        <v>45282</v>
      </c>
      <c r="K694" s="1">
        <v>6</v>
      </c>
      <c r="L694" s="1" t="s">
        <v>185</v>
      </c>
      <c r="M694" s="1" t="s">
        <v>186</v>
      </c>
      <c r="N694" s="1" t="s">
        <v>94</v>
      </c>
      <c r="O694" s="1" t="s">
        <v>66</v>
      </c>
      <c r="P694" s="29">
        <v>189331.76</v>
      </c>
      <c r="Q694" s="1" t="s">
        <v>100</v>
      </c>
      <c r="R694" s="1">
        <v>10</v>
      </c>
      <c r="S694" s="1">
        <v>375</v>
      </c>
      <c r="T694" s="1">
        <v>33.4</v>
      </c>
      <c r="U694" s="1" t="s">
        <v>44</v>
      </c>
      <c r="V694" s="17" t="s">
        <v>45</v>
      </c>
    </row>
    <row r="695" spans="1:22" ht="15" customHeight="1" x14ac:dyDescent="0.25">
      <c r="A695" s="16" t="s">
        <v>1432</v>
      </c>
      <c r="B695" s="3" t="s">
        <v>1433</v>
      </c>
      <c r="C695">
        <v>37</v>
      </c>
      <c r="D695" s="3" t="s">
        <v>98</v>
      </c>
      <c r="E695" s="3" t="s">
        <v>48</v>
      </c>
      <c r="F695" s="3" t="s">
        <v>155</v>
      </c>
      <c r="G695" s="3" t="s">
        <v>50</v>
      </c>
      <c r="H695" s="3" t="s">
        <v>26</v>
      </c>
      <c r="I695" s="6">
        <v>45115</v>
      </c>
      <c r="J695" s="8">
        <v>45152</v>
      </c>
      <c r="K695" s="3">
        <v>7</v>
      </c>
      <c r="L695" s="3" t="s">
        <v>102</v>
      </c>
      <c r="M695" s="3" t="s">
        <v>28</v>
      </c>
      <c r="N695" s="3" t="s">
        <v>126</v>
      </c>
      <c r="O695" s="3" t="s">
        <v>42</v>
      </c>
      <c r="P695" s="30">
        <v>85147.44</v>
      </c>
      <c r="Q695" s="3" t="s">
        <v>56</v>
      </c>
      <c r="R695" s="3">
        <v>9</v>
      </c>
      <c r="S695" s="3">
        <v>331</v>
      </c>
      <c r="T695" s="3">
        <v>25.6</v>
      </c>
      <c r="U695" s="3" t="s">
        <v>44</v>
      </c>
      <c r="V695" s="18" t="s">
        <v>33</v>
      </c>
    </row>
    <row r="696" spans="1:22" ht="15" customHeight="1" x14ac:dyDescent="0.25">
      <c r="A696" s="15" t="s">
        <v>1434</v>
      </c>
      <c r="B696" s="1" t="s">
        <v>1435</v>
      </c>
      <c r="C696">
        <v>25</v>
      </c>
      <c r="D696" s="1" t="s">
        <v>47</v>
      </c>
      <c r="E696" s="1" t="s">
        <v>23</v>
      </c>
      <c r="F696" s="1" t="s">
        <v>49</v>
      </c>
      <c r="G696" s="1" t="s">
        <v>50</v>
      </c>
      <c r="H696" s="1" t="s">
        <v>26</v>
      </c>
      <c r="I696" s="6">
        <v>44586</v>
      </c>
      <c r="J696" s="7">
        <v>44653</v>
      </c>
      <c r="K696" s="1">
        <v>10</v>
      </c>
      <c r="L696" s="1" t="s">
        <v>102</v>
      </c>
      <c r="M696" s="1" t="s">
        <v>28</v>
      </c>
      <c r="N696" s="1" t="s">
        <v>116</v>
      </c>
      <c r="O696" s="1" t="s">
        <v>55</v>
      </c>
      <c r="P696" s="29">
        <v>21968.62</v>
      </c>
      <c r="Q696" s="1" t="s">
        <v>56</v>
      </c>
      <c r="R696" s="1">
        <v>9</v>
      </c>
      <c r="S696" s="1">
        <v>374</v>
      </c>
      <c r="T696" s="1">
        <v>30.1</v>
      </c>
      <c r="U696" s="1" t="s">
        <v>32</v>
      </c>
      <c r="V696" s="17" t="s">
        <v>33</v>
      </c>
    </row>
    <row r="697" spans="1:22" ht="15" customHeight="1" x14ac:dyDescent="0.25">
      <c r="A697" s="16" t="s">
        <v>1436</v>
      </c>
      <c r="B697" s="3" t="s">
        <v>1437</v>
      </c>
      <c r="C697">
        <v>27</v>
      </c>
      <c r="D697" s="3" t="s">
        <v>47</v>
      </c>
      <c r="E697" s="3" t="s">
        <v>48</v>
      </c>
      <c r="F697" s="3" t="s">
        <v>99</v>
      </c>
      <c r="G697" s="3" t="s">
        <v>665</v>
      </c>
      <c r="H697" s="3" t="s">
        <v>26</v>
      </c>
      <c r="I697" s="8">
        <v>43953</v>
      </c>
      <c r="J697" s="8">
        <v>43960</v>
      </c>
      <c r="K697" s="3">
        <v>7</v>
      </c>
      <c r="L697" s="3" t="s">
        <v>27</v>
      </c>
      <c r="M697" s="3" t="s">
        <v>28</v>
      </c>
      <c r="N697" s="3" t="s">
        <v>54</v>
      </c>
      <c r="O697" s="3" t="s">
        <v>55</v>
      </c>
      <c r="P697" s="30">
        <v>45199.4</v>
      </c>
      <c r="Q697" s="3" t="s">
        <v>127</v>
      </c>
      <c r="R697" s="3">
        <v>9</v>
      </c>
      <c r="S697" s="3">
        <v>326</v>
      </c>
      <c r="T697" s="3">
        <v>23.8</v>
      </c>
      <c r="U697" s="3" t="s">
        <v>32</v>
      </c>
      <c r="V697" s="18" t="s">
        <v>33</v>
      </c>
    </row>
    <row r="698" spans="1:22" ht="15" customHeight="1" x14ac:dyDescent="0.25">
      <c r="A698" s="15" t="s">
        <v>1438</v>
      </c>
      <c r="B698" s="1" t="s">
        <v>510</v>
      </c>
      <c r="C698">
        <v>78</v>
      </c>
      <c r="D698" s="1" t="s">
        <v>36</v>
      </c>
      <c r="E698" s="1" t="s">
        <v>23</v>
      </c>
      <c r="F698" s="1" t="s">
        <v>37</v>
      </c>
      <c r="G698" s="1" t="s">
        <v>38</v>
      </c>
      <c r="H698" s="1" t="s">
        <v>51</v>
      </c>
      <c r="I698" s="7">
        <v>43819</v>
      </c>
      <c r="J698" s="7">
        <v>43826</v>
      </c>
      <c r="K698" s="1">
        <v>7</v>
      </c>
      <c r="L698" s="1" t="s">
        <v>102</v>
      </c>
      <c r="M698" s="1" t="s">
        <v>28</v>
      </c>
      <c r="N698" s="1" t="s">
        <v>41</v>
      </c>
      <c r="O698" s="1" t="s">
        <v>30</v>
      </c>
      <c r="P698" s="29">
        <v>13250.79</v>
      </c>
      <c r="Q698" s="1" t="s">
        <v>567</v>
      </c>
      <c r="R698" s="1">
        <v>6</v>
      </c>
      <c r="S698" s="1">
        <v>180</v>
      </c>
      <c r="T698" s="1">
        <v>31.4</v>
      </c>
      <c r="U698" s="1" t="s">
        <v>86</v>
      </c>
      <c r="V698" s="17" t="s">
        <v>33</v>
      </c>
    </row>
    <row r="699" spans="1:22" ht="15" customHeight="1" x14ac:dyDescent="0.25">
      <c r="A699" s="16" t="s">
        <v>1439</v>
      </c>
      <c r="B699" s="3" t="s">
        <v>1440</v>
      </c>
      <c r="C699">
        <v>74</v>
      </c>
      <c r="D699" s="3" t="s">
        <v>82</v>
      </c>
      <c r="E699" s="3" t="s">
        <v>23</v>
      </c>
      <c r="F699" s="3" t="s">
        <v>37</v>
      </c>
      <c r="G699" s="3" t="s">
        <v>163</v>
      </c>
      <c r="H699" s="3" t="s">
        <v>51</v>
      </c>
      <c r="I699" s="8">
        <v>43759</v>
      </c>
      <c r="J699" s="8">
        <v>43761</v>
      </c>
      <c r="K699" s="3">
        <v>2</v>
      </c>
      <c r="L699" s="3" t="s">
        <v>39</v>
      </c>
      <c r="M699" s="3" t="s">
        <v>40</v>
      </c>
      <c r="N699" s="3" t="s">
        <v>213</v>
      </c>
      <c r="O699" s="3" t="s">
        <v>104</v>
      </c>
      <c r="P699" s="30">
        <v>34131.480000000003</v>
      </c>
      <c r="Q699" s="3" t="s">
        <v>382</v>
      </c>
      <c r="R699" s="3">
        <v>6</v>
      </c>
      <c r="S699" s="3">
        <v>106</v>
      </c>
      <c r="T699" s="3">
        <v>37.1</v>
      </c>
      <c r="U699" s="3" t="s">
        <v>32</v>
      </c>
      <c r="V699" s="18" t="s">
        <v>33</v>
      </c>
    </row>
    <row r="700" spans="1:22" ht="15" customHeight="1" x14ac:dyDescent="0.25">
      <c r="A700" s="15" t="s">
        <v>1441</v>
      </c>
      <c r="B700" s="2" t="s">
        <v>3621</v>
      </c>
      <c r="C700">
        <v>31</v>
      </c>
      <c r="D700" s="1" t="s">
        <v>47</v>
      </c>
      <c r="E700" s="1" t="s">
        <v>48</v>
      </c>
      <c r="F700" s="2" t="s">
        <v>155</v>
      </c>
      <c r="G700" s="1" t="s">
        <v>77</v>
      </c>
      <c r="H700" s="1" t="s">
        <v>26</v>
      </c>
      <c r="I700" s="6">
        <v>45501</v>
      </c>
      <c r="J700" s="7">
        <v>45510</v>
      </c>
      <c r="K700" s="1">
        <v>9</v>
      </c>
      <c r="L700" s="1" t="s">
        <v>27</v>
      </c>
      <c r="M700" s="1" t="s">
        <v>28</v>
      </c>
      <c r="N700" s="1" t="s">
        <v>94</v>
      </c>
      <c r="O700" s="1" t="s">
        <v>30</v>
      </c>
      <c r="P700" s="29">
        <v>49325.87</v>
      </c>
      <c r="Q700" s="1" t="s">
        <v>85</v>
      </c>
      <c r="R700" s="1">
        <v>10</v>
      </c>
      <c r="S700" s="1">
        <v>389</v>
      </c>
      <c r="T700" s="1">
        <v>14</v>
      </c>
      <c r="U700" s="1" t="s">
        <v>44</v>
      </c>
      <c r="V700" s="17" t="s">
        <v>33</v>
      </c>
    </row>
    <row r="701" spans="1:22" ht="15" customHeight="1" x14ac:dyDescent="0.25">
      <c r="A701" s="16" t="s">
        <v>1442</v>
      </c>
      <c r="B701" s="3" t="s">
        <v>912</v>
      </c>
      <c r="C701">
        <v>60</v>
      </c>
      <c r="D701" s="3" t="s">
        <v>59</v>
      </c>
      <c r="E701" s="3" t="s">
        <v>23</v>
      </c>
      <c r="F701" s="3" t="s">
        <v>49</v>
      </c>
      <c r="G701" s="3" t="s">
        <v>163</v>
      </c>
      <c r="H701" s="3" t="s">
        <v>51</v>
      </c>
      <c r="I701" s="8">
        <v>45062</v>
      </c>
      <c r="J701" s="8">
        <v>45065</v>
      </c>
      <c r="K701" s="3">
        <v>3</v>
      </c>
      <c r="L701" s="3" t="s">
        <v>112</v>
      </c>
      <c r="M701" s="3" t="s">
        <v>40</v>
      </c>
      <c r="N701" s="3" t="s">
        <v>164</v>
      </c>
      <c r="O701" s="3" t="s">
        <v>104</v>
      </c>
      <c r="P701" s="30">
        <v>17510.79</v>
      </c>
      <c r="Q701" s="3" t="s">
        <v>382</v>
      </c>
      <c r="R701" s="3">
        <v>2</v>
      </c>
      <c r="S701" s="3">
        <v>148</v>
      </c>
      <c r="T701" s="3">
        <v>28.8</v>
      </c>
      <c r="U701" s="3" t="s">
        <v>32</v>
      </c>
      <c r="V701" s="18" t="s">
        <v>33</v>
      </c>
    </row>
    <row r="702" spans="1:22" ht="15" customHeight="1" x14ac:dyDescent="0.25">
      <c r="A702" s="15" t="s">
        <v>1443</v>
      </c>
      <c r="B702" s="2" t="s">
        <v>3622</v>
      </c>
      <c r="C702">
        <v>34</v>
      </c>
      <c r="D702" s="1" t="s">
        <v>47</v>
      </c>
      <c r="E702" s="1" t="s">
        <v>23</v>
      </c>
      <c r="F702" s="1" t="s">
        <v>155</v>
      </c>
      <c r="G702" s="1" t="s">
        <v>77</v>
      </c>
      <c r="H702" s="1" t="s">
        <v>51</v>
      </c>
      <c r="I702" s="6">
        <v>43876</v>
      </c>
      <c r="J702" s="7">
        <v>43884</v>
      </c>
      <c r="K702" s="1">
        <v>8</v>
      </c>
      <c r="L702" s="1" t="s">
        <v>102</v>
      </c>
      <c r="M702" s="1" t="s">
        <v>28</v>
      </c>
      <c r="N702" s="1" t="s">
        <v>79</v>
      </c>
      <c r="O702" s="1" t="s">
        <v>104</v>
      </c>
      <c r="P702" s="29">
        <v>24006.36</v>
      </c>
      <c r="Q702" s="1" t="s">
        <v>91</v>
      </c>
      <c r="R702" s="1">
        <v>10</v>
      </c>
      <c r="S702" s="1">
        <v>119</v>
      </c>
      <c r="T702" s="1">
        <v>33.1</v>
      </c>
      <c r="U702" s="1" t="s">
        <v>44</v>
      </c>
      <c r="V702" s="17" t="s">
        <v>33</v>
      </c>
    </row>
    <row r="703" spans="1:22" ht="15" customHeight="1" x14ac:dyDescent="0.25">
      <c r="A703" s="16" t="s">
        <v>1444</v>
      </c>
      <c r="B703" s="3" t="s">
        <v>1445</v>
      </c>
      <c r="C703">
        <v>26</v>
      </c>
      <c r="D703" s="3" t="s">
        <v>47</v>
      </c>
      <c r="E703" s="3" t="s">
        <v>23</v>
      </c>
      <c r="F703" s="3" t="s">
        <v>24</v>
      </c>
      <c r="G703" s="3" t="s">
        <v>25</v>
      </c>
      <c r="H703" s="3" t="s">
        <v>26</v>
      </c>
      <c r="I703" s="6">
        <v>43938</v>
      </c>
      <c r="J703" s="10"/>
      <c r="K703" s="3"/>
      <c r="L703" s="3" t="s">
        <v>185</v>
      </c>
      <c r="M703" s="3" t="s">
        <v>186</v>
      </c>
      <c r="N703" s="3" t="s">
        <v>248</v>
      </c>
      <c r="O703" s="3" t="s">
        <v>30</v>
      </c>
      <c r="P703" s="30">
        <v>24559.4</v>
      </c>
      <c r="Q703" s="3" t="s">
        <v>706</v>
      </c>
      <c r="R703" s="3">
        <v>12</v>
      </c>
      <c r="S703" s="3">
        <v>120</v>
      </c>
      <c r="T703" s="3">
        <v>22.8</v>
      </c>
      <c r="U703" s="3" t="s">
        <v>44</v>
      </c>
      <c r="V703" s="18" t="s">
        <v>33</v>
      </c>
    </row>
    <row r="704" spans="1:22" ht="15" customHeight="1" x14ac:dyDescent="0.25">
      <c r="A704" s="15" t="s">
        <v>1446</v>
      </c>
      <c r="B704" s="1" t="s">
        <v>1447</v>
      </c>
      <c r="C704">
        <v>52</v>
      </c>
      <c r="D704" s="1" t="s">
        <v>98</v>
      </c>
      <c r="E704" s="1" t="s">
        <v>23</v>
      </c>
      <c r="F704" s="2" t="s">
        <v>155</v>
      </c>
      <c r="G704" s="1" t="s">
        <v>131</v>
      </c>
      <c r="H704" s="1" t="s">
        <v>51</v>
      </c>
      <c r="I704" s="7">
        <v>44700</v>
      </c>
      <c r="J704" s="7">
        <v>44703</v>
      </c>
      <c r="K704" s="1">
        <v>3</v>
      </c>
      <c r="L704" s="1" t="s">
        <v>185</v>
      </c>
      <c r="M704" s="1" t="s">
        <v>186</v>
      </c>
      <c r="N704" s="1" t="s">
        <v>147</v>
      </c>
      <c r="O704" s="1" t="s">
        <v>42</v>
      </c>
      <c r="P704" s="29">
        <v>12734.82</v>
      </c>
      <c r="Q704" s="1" t="s">
        <v>695</v>
      </c>
      <c r="R704" s="1">
        <v>4</v>
      </c>
      <c r="S704" s="1">
        <v>163</v>
      </c>
      <c r="T704" s="1">
        <v>29.3</v>
      </c>
      <c r="U704" s="1" t="s">
        <v>44</v>
      </c>
      <c r="V704" s="17" t="s">
        <v>33</v>
      </c>
    </row>
    <row r="705" spans="1:22" ht="15" customHeight="1" x14ac:dyDescent="0.25">
      <c r="A705" s="16" t="s">
        <v>1448</v>
      </c>
      <c r="B705" s="3" t="s">
        <v>1449</v>
      </c>
      <c r="C705">
        <v>89</v>
      </c>
      <c r="D705" s="3" t="s">
        <v>36</v>
      </c>
      <c r="E705" s="3" t="s">
        <v>23</v>
      </c>
      <c r="F705" s="3" t="s">
        <v>99</v>
      </c>
      <c r="G705" s="3" t="s">
        <v>77</v>
      </c>
      <c r="H705" s="3" t="s">
        <v>78</v>
      </c>
      <c r="I705" s="6">
        <v>44417</v>
      </c>
      <c r="J705" s="8">
        <v>44458</v>
      </c>
      <c r="K705" s="3">
        <v>11</v>
      </c>
      <c r="L705" s="3" t="s">
        <v>231</v>
      </c>
      <c r="M705" s="3" t="s">
        <v>53</v>
      </c>
      <c r="N705" s="3" t="s">
        <v>189</v>
      </c>
      <c r="O705" s="3" t="s">
        <v>55</v>
      </c>
      <c r="P705" s="30">
        <v>58003.17</v>
      </c>
      <c r="Q705" s="3" t="s">
        <v>85</v>
      </c>
      <c r="R705" s="3">
        <v>9</v>
      </c>
      <c r="S705" s="3">
        <v>314</v>
      </c>
      <c r="T705" s="3">
        <v>35.9</v>
      </c>
      <c r="U705" s="3" t="s">
        <v>44</v>
      </c>
      <c r="V705" s="18" t="s">
        <v>45</v>
      </c>
    </row>
    <row r="706" spans="1:22" ht="15" customHeight="1" x14ac:dyDescent="0.25">
      <c r="A706" s="15" t="s">
        <v>1450</v>
      </c>
      <c r="B706" s="1" t="s">
        <v>1451</v>
      </c>
      <c r="C706">
        <v>57</v>
      </c>
      <c r="D706" s="1" t="s">
        <v>59</v>
      </c>
      <c r="E706" s="1" t="s">
        <v>23</v>
      </c>
      <c r="F706" s="1" t="s">
        <v>155</v>
      </c>
      <c r="G706" s="1" t="s">
        <v>163</v>
      </c>
      <c r="H706" s="1" t="s">
        <v>26</v>
      </c>
      <c r="I706" s="6">
        <v>45318</v>
      </c>
      <c r="J706" s="7">
        <v>45353</v>
      </c>
      <c r="K706" s="1">
        <v>7</v>
      </c>
      <c r="L706" s="1" t="s">
        <v>122</v>
      </c>
      <c r="M706" s="1" t="s">
        <v>40</v>
      </c>
      <c r="N706" s="1" t="s">
        <v>164</v>
      </c>
      <c r="O706" s="1" t="s">
        <v>104</v>
      </c>
      <c r="P706" s="29">
        <v>34140.019999999997</v>
      </c>
      <c r="Q706" s="1" t="s">
        <v>259</v>
      </c>
      <c r="R706" s="1">
        <v>5</v>
      </c>
      <c r="S706" s="1">
        <v>345</v>
      </c>
      <c r="T706" s="1">
        <v>29.1</v>
      </c>
      <c r="U706" s="1" t="s">
        <v>32</v>
      </c>
      <c r="V706" s="17" t="s">
        <v>33</v>
      </c>
    </row>
    <row r="707" spans="1:22" ht="15" customHeight="1" x14ac:dyDescent="0.25">
      <c r="A707" s="16" t="s">
        <v>1452</v>
      </c>
      <c r="B707" s="3" t="s">
        <v>1453</v>
      </c>
      <c r="C707">
        <v>59</v>
      </c>
      <c r="D707" s="3" t="s">
        <v>59</v>
      </c>
      <c r="E707" s="3" t="s">
        <v>23</v>
      </c>
      <c r="F707" s="3" t="s">
        <v>155</v>
      </c>
      <c r="G707" s="3" t="s">
        <v>25</v>
      </c>
      <c r="H707" s="3" t="s">
        <v>51</v>
      </c>
      <c r="I707" s="8">
        <v>44042</v>
      </c>
      <c r="J707" s="8">
        <v>44053</v>
      </c>
      <c r="K707" s="3">
        <v>11</v>
      </c>
      <c r="L707" s="3" t="s">
        <v>122</v>
      </c>
      <c r="M707" s="3" t="s">
        <v>40</v>
      </c>
      <c r="N707" s="3" t="s">
        <v>29</v>
      </c>
      <c r="O707" s="3" t="s">
        <v>42</v>
      </c>
      <c r="P707" s="30">
        <v>35378.639999999999</v>
      </c>
      <c r="Q707" s="3" t="s">
        <v>515</v>
      </c>
      <c r="R707" s="3">
        <v>12</v>
      </c>
      <c r="S707" s="3">
        <v>148</v>
      </c>
      <c r="T707" s="3">
        <v>21.3</v>
      </c>
      <c r="U707" s="3" t="s">
        <v>44</v>
      </c>
      <c r="V707" s="18" t="s">
        <v>33</v>
      </c>
    </row>
    <row r="708" spans="1:22" ht="15" customHeight="1" x14ac:dyDescent="0.25">
      <c r="A708" s="15" t="s">
        <v>1454</v>
      </c>
      <c r="B708" s="1" t="s">
        <v>1186</v>
      </c>
      <c r="C708">
        <v>81</v>
      </c>
      <c r="D708" s="1" t="s">
        <v>36</v>
      </c>
      <c r="E708" s="1" t="s">
        <v>23</v>
      </c>
      <c r="F708" s="1" t="s">
        <v>37</v>
      </c>
      <c r="G708" s="1" t="s">
        <v>77</v>
      </c>
      <c r="H708" s="1" t="s">
        <v>26</v>
      </c>
      <c r="I708" s="7">
        <v>45286</v>
      </c>
      <c r="J708" s="7">
        <v>45413</v>
      </c>
      <c r="K708" s="1">
        <v>10</v>
      </c>
      <c r="L708" s="1" t="s">
        <v>52</v>
      </c>
      <c r="M708" s="1" t="s">
        <v>53</v>
      </c>
      <c r="N708" s="1" t="s">
        <v>84</v>
      </c>
      <c r="O708" s="1" t="s">
        <v>30</v>
      </c>
      <c r="P708" s="29">
        <v>98622.78</v>
      </c>
      <c r="Q708" s="1" t="s">
        <v>223</v>
      </c>
      <c r="R708" s="1">
        <v>10</v>
      </c>
      <c r="S708" s="1">
        <v>352</v>
      </c>
      <c r="T708" s="1">
        <v>34.1</v>
      </c>
      <c r="U708" s="1" t="s">
        <v>44</v>
      </c>
      <c r="V708" s="17" t="s">
        <v>45</v>
      </c>
    </row>
    <row r="709" spans="1:22" ht="15" customHeight="1" x14ac:dyDescent="0.25">
      <c r="A709" s="16" t="s">
        <v>1455</v>
      </c>
      <c r="B709" s="3" t="s">
        <v>1456</v>
      </c>
      <c r="C709">
        <v>74</v>
      </c>
      <c r="D709" s="3" t="s">
        <v>82</v>
      </c>
      <c r="E709" s="3" t="s">
        <v>23</v>
      </c>
      <c r="F709" s="3" t="s">
        <v>83</v>
      </c>
      <c r="G709" s="3" t="s">
        <v>77</v>
      </c>
      <c r="H709" s="3" t="s">
        <v>26</v>
      </c>
      <c r="I709" s="8">
        <v>44919</v>
      </c>
      <c r="J709" s="8">
        <v>44927</v>
      </c>
      <c r="K709" s="3">
        <v>8</v>
      </c>
      <c r="L709" s="3" t="s">
        <v>132</v>
      </c>
      <c r="M709" s="3" t="s">
        <v>53</v>
      </c>
      <c r="N709" s="3" t="s">
        <v>84</v>
      </c>
      <c r="O709" s="3" t="s">
        <v>55</v>
      </c>
      <c r="P709" s="30">
        <v>51274.58</v>
      </c>
      <c r="Q709" s="3" t="s">
        <v>95</v>
      </c>
      <c r="R709" s="3">
        <v>9</v>
      </c>
      <c r="S709" s="3">
        <v>328</v>
      </c>
      <c r="T709" s="4"/>
      <c r="U709" s="3" t="s">
        <v>44</v>
      </c>
      <c r="V709" s="18" t="s">
        <v>33</v>
      </c>
    </row>
    <row r="710" spans="1:22" ht="15" customHeight="1" x14ac:dyDescent="0.25">
      <c r="A710" s="15" t="s">
        <v>1457</v>
      </c>
      <c r="B710" s="2" t="s">
        <v>337</v>
      </c>
      <c r="C710">
        <v>67</v>
      </c>
      <c r="D710" s="1" t="s">
        <v>82</v>
      </c>
      <c r="E710" s="1" t="s">
        <v>48</v>
      </c>
      <c r="F710" s="1" t="s">
        <v>76</v>
      </c>
      <c r="G710" s="1" t="s">
        <v>77</v>
      </c>
      <c r="H710" s="1" t="s">
        <v>51</v>
      </c>
      <c r="I710" s="7">
        <v>45482</v>
      </c>
      <c r="J710" s="7">
        <v>45490</v>
      </c>
      <c r="K710" s="1">
        <v>8</v>
      </c>
      <c r="L710" s="1" t="s">
        <v>112</v>
      </c>
      <c r="M710" s="1" t="s">
        <v>40</v>
      </c>
      <c r="N710" s="1" t="s">
        <v>94</v>
      </c>
      <c r="O710" s="1" t="s">
        <v>30</v>
      </c>
      <c r="P710" s="29">
        <v>55611</v>
      </c>
      <c r="Q710" s="1" t="s">
        <v>85</v>
      </c>
      <c r="R710" s="1">
        <v>10</v>
      </c>
      <c r="S710" s="1">
        <v>136</v>
      </c>
      <c r="T710" s="1">
        <v>32.799999999999997</v>
      </c>
      <c r="U710" s="1" t="s">
        <v>44</v>
      </c>
      <c r="V710" s="17" t="s">
        <v>33</v>
      </c>
    </row>
    <row r="711" spans="1:22" ht="15" customHeight="1" x14ac:dyDescent="0.25">
      <c r="A711" s="16" t="s">
        <v>1458</v>
      </c>
      <c r="B711" s="3" t="s">
        <v>1247</v>
      </c>
      <c r="C711">
        <v>56</v>
      </c>
      <c r="D711" s="3" t="s">
        <v>59</v>
      </c>
      <c r="E711" s="3" t="s">
        <v>48</v>
      </c>
      <c r="F711" s="3" t="s">
        <v>155</v>
      </c>
      <c r="G711" s="3" t="s">
        <v>50</v>
      </c>
      <c r="H711" s="3" t="s">
        <v>156</v>
      </c>
      <c r="I711" s="6">
        <v>45218</v>
      </c>
      <c r="J711" s="8">
        <v>45222</v>
      </c>
      <c r="K711" s="3">
        <v>4</v>
      </c>
      <c r="L711" s="3" t="s">
        <v>185</v>
      </c>
      <c r="M711" s="3" t="s">
        <v>186</v>
      </c>
      <c r="N711" s="3" t="s">
        <v>54</v>
      </c>
      <c r="O711" s="3" t="s">
        <v>66</v>
      </c>
      <c r="P711" s="30">
        <v>86356</v>
      </c>
      <c r="Q711" s="3" t="s">
        <v>144</v>
      </c>
      <c r="R711" s="3">
        <v>9</v>
      </c>
      <c r="S711" s="3">
        <v>469</v>
      </c>
      <c r="T711" s="3">
        <v>27.6</v>
      </c>
      <c r="U711" s="3" t="s">
        <v>44</v>
      </c>
      <c r="V711" s="18" t="s">
        <v>33</v>
      </c>
    </row>
    <row r="712" spans="1:22" ht="15" customHeight="1" x14ac:dyDescent="0.25">
      <c r="A712" s="15" t="s">
        <v>1459</v>
      </c>
      <c r="B712" s="1" t="s">
        <v>1460</v>
      </c>
      <c r="C712">
        <v>63</v>
      </c>
      <c r="D712" s="1" t="s">
        <v>59</v>
      </c>
      <c r="E712" s="1" t="s">
        <v>48</v>
      </c>
      <c r="F712" s="2" t="s">
        <v>155</v>
      </c>
      <c r="G712" s="1" t="s">
        <v>163</v>
      </c>
      <c r="H712" s="1" t="s">
        <v>26</v>
      </c>
      <c r="I712" s="7">
        <v>44085</v>
      </c>
      <c r="J712" s="7">
        <v>44087</v>
      </c>
      <c r="K712" s="1">
        <v>2</v>
      </c>
      <c r="L712" s="1" t="s">
        <v>132</v>
      </c>
      <c r="M712" s="1" t="s">
        <v>53</v>
      </c>
      <c r="N712" s="1" t="s">
        <v>346</v>
      </c>
      <c r="O712" s="1" t="s">
        <v>42</v>
      </c>
      <c r="P712" s="29">
        <v>52403.98</v>
      </c>
      <c r="Q712" s="1" t="s">
        <v>234</v>
      </c>
      <c r="R712" s="1">
        <v>4</v>
      </c>
      <c r="S712" s="1">
        <v>225</v>
      </c>
      <c r="T712" s="1">
        <v>36.799999999999997</v>
      </c>
      <c r="U712" s="1" t="s">
        <v>44</v>
      </c>
      <c r="V712" s="17" t="s">
        <v>33</v>
      </c>
    </row>
    <row r="713" spans="1:22" ht="15" customHeight="1" x14ac:dyDescent="0.25">
      <c r="A713" s="16" t="s">
        <v>1461</v>
      </c>
      <c r="B713" s="3" t="s">
        <v>1462</v>
      </c>
      <c r="C713">
        <v>57</v>
      </c>
      <c r="D713" s="3" t="s">
        <v>59</v>
      </c>
      <c r="E713" s="3" t="s">
        <v>48</v>
      </c>
      <c r="F713" s="3" t="s">
        <v>24</v>
      </c>
      <c r="G713" s="3" t="s">
        <v>25</v>
      </c>
      <c r="H713" s="3" t="s">
        <v>51</v>
      </c>
      <c r="I713" s="8">
        <v>45022</v>
      </c>
      <c r="J713" s="8">
        <v>45032</v>
      </c>
      <c r="K713" s="3">
        <v>10</v>
      </c>
      <c r="L713" s="3" t="s">
        <v>102</v>
      </c>
      <c r="M713" s="3" t="s">
        <v>28</v>
      </c>
      <c r="N713" s="3" t="s">
        <v>248</v>
      </c>
      <c r="O713" s="3" t="s">
        <v>104</v>
      </c>
      <c r="P713" s="30">
        <v>65474.77</v>
      </c>
      <c r="Q713" s="3" t="s">
        <v>67</v>
      </c>
      <c r="R713" s="3">
        <v>10</v>
      </c>
      <c r="S713" s="3">
        <v>117</v>
      </c>
      <c r="T713" s="4"/>
      <c r="U713" s="3" t="s">
        <v>44</v>
      </c>
      <c r="V713" s="18" t="s">
        <v>33</v>
      </c>
    </row>
    <row r="714" spans="1:22" ht="15" customHeight="1" x14ac:dyDescent="0.25">
      <c r="A714" s="15" t="s">
        <v>1463</v>
      </c>
      <c r="B714" s="1" t="s">
        <v>1464</v>
      </c>
      <c r="C714">
        <v>86</v>
      </c>
      <c r="D714" s="1" t="s">
        <v>36</v>
      </c>
      <c r="E714" s="1" t="s">
        <v>23</v>
      </c>
      <c r="F714" s="1" t="s">
        <v>70</v>
      </c>
      <c r="G714" s="1" t="s">
        <v>71</v>
      </c>
      <c r="H714" s="1" t="s">
        <v>26</v>
      </c>
      <c r="I714" s="7">
        <v>44976</v>
      </c>
      <c r="J714" s="7">
        <v>44979</v>
      </c>
      <c r="K714" s="1">
        <v>3</v>
      </c>
      <c r="L714" s="1" t="s">
        <v>102</v>
      </c>
      <c r="M714" s="1" t="s">
        <v>28</v>
      </c>
      <c r="N714" s="1" t="s">
        <v>312</v>
      </c>
      <c r="O714" s="1" t="s">
        <v>104</v>
      </c>
      <c r="P714" s="29">
        <v>19901.8</v>
      </c>
      <c r="Q714" s="1" t="s">
        <v>178</v>
      </c>
      <c r="R714" s="1">
        <v>5</v>
      </c>
      <c r="S714" s="1">
        <v>395</v>
      </c>
      <c r="T714" s="1">
        <v>24.7</v>
      </c>
      <c r="U714" s="1" t="s">
        <v>32</v>
      </c>
      <c r="V714" s="17" t="s">
        <v>33</v>
      </c>
    </row>
    <row r="715" spans="1:22" ht="15" customHeight="1" x14ac:dyDescent="0.25">
      <c r="A715" s="16" t="s">
        <v>1465</v>
      </c>
      <c r="B715" s="3" t="s">
        <v>1466</v>
      </c>
      <c r="C715">
        <v>70</v>
      </c>
      <c r="D715" s="3" t="s">
        <v>82</v>
      </c>
      <c r="E715" s="3" t="s">
        <v>23</v>
      </c>
      <c r="F715" s="3" t="s">
        <v>99</v>
      </c>
      <c r="G715" s="3" t="s">
        <v>131</v>
      </c>
      <c r="H715" s="3" t="s">
        <v>78</v>
      </c>
      <c r="I715" s="6">
        <v>44051</v>
      </c>
      <c r="J715" s="8">
        <v>44056</v>
      </c>
      <c r="K715" s="3">
        <v>5</v>
      </c>
      <c r="L715" s="3" t="s">
        <v>52</v>
      </c>
      <c r="M715" s="3" t="s">
        <v>53</v>
      </c>
      <c r="N715" s="3" t="s">
        <v>133</v>
      </c>
      <c r="O715" s="3" t="s">
        <v>104</v>
      </c>
      <c r="P715" s="30">
        <v>16637</v>
      </c>
      <c r="Q715" s="3" t="s">
        <v>148</v>
      </c>
      <c r="R715" s="3">
        <v>7</v>
      </c>
      <c r="S715" s="3">
        <v>167</v>
      </c>
      <c r="T715" s="3">
        <v>32.4</v>
      </c>
      <c r="U715" s="3" t="s">
        <v>32</v>
      </c>
      <c r="V715" s="18" t="s">
        <v>33</v>
      </c>
    </row>
    <row r="716" spans="1:22" ht="15" customHeight="1" x14ac:dyDescent="0.25">
      <c r="A716" s="15" t="s">
        <v>1467</v>
      </c>
      <c r="B716" s="1" t="s">
        <v>1468</v>
      </c>
      <c r="C716">
        <v>80</v>
      </c>
      <c r="D716" s="1" t="s">
        <v>36</v>
      </c>
      <c r="E716" s="1" t="s">
        <v>23</v>
      </c>
      <c r="F716" s="1" t="s">
        <v>37</v>
      </c>
      <c r="G716" s="1" t="s">
        <v>25</v>
      </c>
      <c r="H716" s="1" t="s">
        <v>78</v>
      </c>
      <c r="I716" s="6">
        <v>43491</v>
      </c>
      <c r="J716" s="7">
        <v>43498</v>
      </c>
      <c r="K716" s="1">
        <v>7</v>
      </c>
      <c r="L716" s="1" t="s">
        <v>132</v>
      </c>
      <c r="M716" s="1" t="s">
        <v>53</v>
      </c>
      <c r="N716" s="1" t="s">
        <v>65</v>
      </c>
      <c r="O716" s="1" t="s">
        <v>42</v>
      </c>
      <c r="P716" s="29">
        <v>97482</v>
      </c>
      <c r="Q716" s="1" t="s">
        <v>31</v>
      </c>
      <c r="R716" s="1">
        <v>12</v>
      </c>
      <c r="S716" s="1">
        <v>474</v>
      </c>
      <c r="T716" s="1">
        <v>20.3</v>
      </c>
      <c r="U716" s="1" t="s">
        <v>44</v>
      </c>
      <c r="V716" s="17" t="s">
        <v>33</v>
      </c>
    </row>
    <row r="717" spans="1:22" ht="15" customHeight="1" x14ac:dyDescent="0.25">
      <c r="A717" s="16" t="s">
        <v>1469</v>
      </c>
      <c r="B717" s="3" t="s">
        <v>1470</v>
      </c>
      <c r="C717">
        <v>37</v>
      </c>
      <c r="D717" s="3" t="s">
        <v>98</v>
      </c>
      <c r="E717" s="3" t="s">
        <v>48</v>
      </c>
      <c r="F717" s="3" t="s">
        <v>37</v>
      </c>
      <c r="G717" s="3" t="s">
        <v>163</v>
      </c>
      <c r="H717" s="3" t="s">
        <v>51</v>
      </c>
      <c r="I717" s="8">
        <v>44041</v>
      </c>
      <c r="J717" s="10"/>
      <c r="K717" s="3"/>
      <c r="L717" s="3" t="s">
        <v>132</v>
      </c>
      <c r="M717" s="3" t="s">
        <v>53</v>
      </c>
      <c r="N717" s="3" t="s">
        <v>213</v>
      </c>
      <c r="O717" s="3" t="s">
        <v>30</v>
      </c>
      <c r="P717" s="30">
        <v>21613.58</v>
      </c>
      <c r="Q717" s="3" t="s">
        <v>259</v>
      </c>
      <c r="R717" s="3">
        <v>6</v>
      </c>
      <c r="S717" s="3">
        <v>198</v>
      </c>
      <c r="T717" s="3">
        <v>17.899999999999999</v>
      </c>
      <c r="U717" s="3" t="s">
        <v>32</v>
      </c>
      <c r="V717" s="18" t="s">
        <v>33</v>
      </c>
    </row>
    <row r="718" spans="1:22" ht="15" customHeight="1" x14ac:dyDescent="0.25">
      <c r="A718" s="15" t="s">
        <v>1471</v>
      </c>
      <c r="B718" s="1" t="s">
        <v>1472</v>
      </c>
      <c r="C718">
        <v>71</v>
      </c>
      <c r="D718" s="1" t="s">
        <v>82</v>
      </c>
      <c r="E718" s="1" t="s">
        <v>48</v>
      </c>
      <c r="F718" s="1" t="s">
        <v>37</v>
      </c>
      <c r="G718" s="1" t="s">
        <v>77</v>
      </c>
      <c r="H718" s="1" t="s">
        <v>26</v>
      </c>
      <c r="I718" s="6">
        <v>43817</v>
      </c>
      <c r="J718" s="7">
        <v>43922</v>
      </c>
      <c r="K718" s="1">
        <v>17</v>
      </c>
      <c r="L718" s="1" t="s">
        <v>27</v>
      </c>
      <c r="M718" s="1" t="s">
        <v>28</v>
      </c>
      <c r="N718" s="1" t="s">
        <v>79</v>
      </c>
      <c r="O718" s="1" t="s">
        <v>30</v>
      </c>
      <c r="P718" s="29">
        <v>152216</v>
      </c>
      <c r="Q718" s="1" t="s">
        <v>85</v>
      </c>
      <c r="R718" s="1">
        <v>8</v>
      </c>
      <c r="S718" s="1">
        <v>311</v>
      </c>
      <c r="T718" s="1">
        <v>29.4</v>
      </c>
      <c r="U718" s="1" t="s">
        <v>86</v>
      </c>
      <c r="V718" s="17" t="s">
        <v>45</v>
      </c>
    </row>
    <row r="719" spans="1:22" ht="15" customHeight="1" x14ac:dyDescent="0.25">
      <c r="A719" s="16" t="s">
        <v>1473</v>
      </c>
      <c r="B719" s="3" t="s">
        <v>1474</v>
      </c>
      <c r="C719">
        <v>75</v>
      </c>
      <c r="D719" s="3" t="s">
        <v>36</v>
      </c>
      <c r="E719" s="3" t="s">
        <v>23</v>
      </c>
      <c r="F719" s="3" t="s">
        <v>24</v>
      </c>
      <c r="G719" s="3" t="s">
        <v>50</v>
      </c>
      <c r="H719" s="3" t="s">
        <v>51</v>
      </c>
      <c r="I719" s="8">
        <v>43711</v>
      </c>
      <c r="J719" s="8">
        <v>43717</v>
      </c>
      <c r="K719" s="3">
        <v>6</v>
      </c>
      <c r="L719" s="3" t="s">
        <v>132</v>
      </c>
      <c r="M719" s="3" t="s">
        <v>53</v>
      </c>
      <c r="N719" s="3" t="s">
        <v>126</v>
      </c>
      <c r="O719" s="3" t="s">
        <v>104</v>
      </c>
      <c r="P719" s="30">
        <v>49709.09</v>
      </c>
      <c r="Q719" s="3" t="s">
        <v>351</v>
      </c>
      <c r="R719" s="3">
        <v>9</v>
      </c>
      <c r="S719" s="3">
        <v>143</v>
      </c>
      <c r="T719" s="3">
        <v>21.2</v>
      </c>
      <c r="U719" s="3" t="s">
        <v>44</v>
      </c>
      <c r="V719" s="18" t="s">
        <v>45</v>
      </c>
    </row>
    <row r="720" spans="1:22" ht="15" customHeight="1" x14ac:dyDescent="0.25">
      <c r="A720" s="15" t="s">
        <v>1475</v>
      </c>
      <c r="B720" s="1" t="s">
        <v>1476</v>
      </c>
      <c r="C720">
        <v>69</v>
      </c>
      <c r="D720" s="1" t="s">
        <v>82</v>
      </c>
      <c r="E720" s="1" t="s">
        <v>23</v>
      </c>
      <c r="F720" s="1" t="s">
        <v>49</v>
      </c>
      <c r="G720" s="1" t="s">
        <v>38</v>
      </c>
      <c r="H720" s="1" t="s">
        <v>51</v>
      </c>
      <c r="I720" s="6">
        <v>43515</v>
      </c>
      <c r="J720" s="7">
        <v>43518</v>
      </c>
      <c r="K720" s="1">
        <v>3</v>
      </c>
      <c r="L720" s="1" t="s">
        <v>39</v>
      </c>
      <c r="M720" s="1" t="s">
        <v>40</v>
      </c>
      <c r="N720" s="1" t="s">
        <v>173</v>
      </c>
      <c r="O720" s="1" t="s">
        <v>104</v>
      </c>
      <c r="P720" s="29">
        <v>12795.35</v>
      </c>
      <c r="Q720" s="1" t="s">
        <v>204</v>
      </c>
      <c r="R720" s="1">
        <v>7</v>
      </c>
      <c r="S720" s="1">
        <v>167</v>
      </c>
      <c r="T720" s="1">
        <v>44.3</v>
      </c>
      <c r="U720" s="1" t="s">
        <v>44</v>
      </c>
      <c r="V720" s="17" t="s">
        <v>33</v>
      </c>
    </row>
    <row r="721" spans="1:22" ht="15" customHeight="1" x14ac:dyDescent="0.25">
      <c r="A721" s="16" t="s">
        <v>1477</v>
      </c>
      <c r="B721" s="3" t="s">
        <v>1478</v>
      </c>
      <c r="C721">
        <v>56</v>
      </c>
      <c r="D721" s="3" t="s">
        <v>59</v>
      </c>
      <c r="E721" s="3" t="s">
        <v>23</v>
      </c>
      <c r="F721" s="3" t="s">
        <v>83</v>
      </c>
      <c r="G721" s="3" t="s">
        <v>163</v>
      </c>
      <c r="H721" s="3" t="s">
        <v>51</v>
      </c>
      <c r="I721" s="6">
        <v>45539</v>
      </c>
      <c r="J721" s="8">
        <v>45393</v>
      </c>
      <c r="K721" s="3">
        <v>2</v>
      </c>
      <c r="L721" s="3" t="s">
        <v>27</v>
      </c>
      <c r="M721" s="3" t="s">
        <v>28</v>
      </c>
      <c r="N721" s="3" t="s">
        <v>213</v>
      </c>
      <c r="O721" s="3" t="s">
        <v>66</v>
      </c>
      <c r="P721" s="30">
        <v>45157.96</v>
      </c>
      <c r="Q721" s="3" t="s">
        <v>382</v>
      </c>
      <c r="R721" s="3">
        <v>5</v>
      </c>
      <c r="S721" s="3">
        <v>145</v>
      </c>
      <c r="T721" s="3">
        <v>29.3</v>
      </c>
      <c r="U721" s="3" t="s">
        <v>32</v>
      </c>
      <c r="V721" s="18" t="s">
        <v>33</v>
      </c>
    </row>
    <row r="722" spans="1:22" ht="15" customHeight="1" x14ac:dyDescent="0.25">
      <c r="A722" s="15" t="s">
        <v>1479</v>
      </c>
      <c r="B722" s="1" t="s">
        <v>1480</v>
      </c>
      <c r="C722">
        <v>73</v>
      </c>
      <c r="D722" s="1" t="s">
        <v>82</v>
      </c>
      <c r="E722" s="1" t="s">
        <v>23</v>
      </c>
      <c r="F722" s="2" t="s">
        <v>3714</v>
      </c>
      <c r="G722" s="1" t="s">
        <v>131</v>
      </c>
      <c r="H722" s="1" t="s">
        <v>51</v>
      </c>
      <c r="I722" s="7">
        <v>44887</v>
      </c>
      <c r="J722" s="7">
        <v>44890</v>
      </c>
      <c r="K722" s="1">
        <v>3</v>
      </c>
      <c r="L722" s="1" t="s">
        <v>52</v>
      </c>
      <c r="M722" s="1" t="s">
        <v>53</v>
      </c>
      <c r="N722" s="1" t="s">
        <v>157</v>
      </c>
      <c r="O722" s="1" t="s">
        <v>42</v>
      </c>
      <c r="P722" s="29">
        <v>15495.89</v>
      </c>
      <c r="Q722" s="1" t="s">
        <v>695</v>
      </c>
      <c r="R722" s="1">
        <v>5</v>
      </c>
      <c r="S722" s="1">
        <v>143</v>
      </c>
      <c r="T722" s="1">
        <v>27.7</v>
      </c>
      <c r="U722" s="1" t="s">
        <v>44</v>
      </c>
      <c r="V722" s="17" t="s">
        <v>33</v>
      </c>
    </row>
    <row r="723" spans="1:22" ht="15" customHeight="1" x14ac:dyDescent="0.25">
      <c r="A723" s="16" t="s">
        <v>1481</v>
      </c>
      <c r="B723" s="3" t="s">
        <v>1482</v>
      </c>
      <c r="C723">
        <v>64</v>
      </c>
      <c r="D723" s="3" t="s">
        <v>59</v>
      </c>
      <c r="E723" s="3" t="s">
        <v>48</v>
      </c>
      <c r="F723" s="3" t="s">
        <v>155</v>
      </c>
      <c r="G723" s="3" t="s">
        <v>38</v>
      </c>
      <c r="H723" s="3" t="s">
        <v>26</v>
      </c>
      <c r="I723" s="6">
        <v>43981</v>
      </c>
      <c r="J723" s="8">
        <v>43988</v>
      </c>
      <c r="K723" s="3">
        <v>7</v>
      </c>
      <c r="L723" s="3" t="s">
        <v>39</v>
      </c>
      <c r="M723" s="3" t="s">
        <v>40</v>
      </c>
      <c r="N723" s="3" t="s">
        <v>203</v>
      </c>
      <c r="O723" s="3" t="s">
        <v>55</v>
      </c>
      <c r="P723" s="30">
        <v>21871.03</v>
      </c>
      <c r="Q723" s="3" t="s">
        <v>204</v>
      </c>
      <c r="R723" s="3">
        <v>7</v>
      </c>
      <c r="S723" s="3">
        <v>384</v>
      </c>
      <c r="T723" s="3">
        <v>32.299999999999997</v>
      </c>
      <c r="U723" s="3" t="s">
        <v>44</v>
      </c>
      <c r="V723" s="18" t="s">
        <v>33</v>
      </c>
    </row>
    <row r="724" spans="1:22" ht="15" customHeight="1" x14ac:dyDescent="0.25">
      <c r="A724" s="15" t="s">
        <v>1483</v>
      </c>
      <c r="B724" s="1" t="s">
        <v>912</v>
      </c>
      <c r="C724">
        <v>56</v>
      </c>
      <c r="D724" s="1" t="s">
        <v>59</v>
      </c>
      <c r="E724" s="1" t="s">
        <v>23</v>
      </c>
      <c r="F724" s="1" t="s">
        <v>76</v>
      </c>
      <c r="G724" s="1" t="s">
        <v>50</v>
      </c>
      <c r="H724" s="1" t="s">
        <v>26</v>
      </c>
      <c r="I724" s="6">
        <v>45063</v>
      </c>
      <c r="J724" s="7">
        <v>45068</v>
      </c>
      <c r="K724" s="1">
        <v>5</v>
      </c>
      <c r="L724" s="1" t="s">
        <v>112</v>
      </c>
      <c r="M724" s="1" t="s">
        <v>40</v>
      </c>
      <c r="N724" s="1" t="s">
        <v>54</v>
      </c>
      <c r="O724" s="1" t="s">
        <v>42</v>
      </c>
      <c r="P724" s="29">
        <v>86873.9</v>
      </c>
      <c r="Q724" s="1" t="s">
        <v>127</v>
      </c>
      <c r="R724" s="1">
        <v>9</v>
      </c>
      <c r="S724" s="1">
        <v>396</v>
      </c>
      <c r="T724" s="1">
        <v>31.3</v>
      </c>
      <c r="U724" s="1" t="s">
        <v>44</v>
      </c>
      <c r="V724" s="17" t="s">
        <v>33</v>
      </c>
    </row>
    <row r="725" spans="1:22" ht="15" customHeight="1" x14ac:dyDescent="0.25">
      <c r="A725" s="16" t="s">
        <v>1484</v>
      </c>
      <c r="B725" s="3" t="s">
        <v>1485</v>
      </c>
      <c r="C725">
        <v>53</v>
      </c>
      <c r="D725" s="3" t="s">
        <v>98</v>
      </c>
      <c r="E725" s="3" t="s">
        <v>48</v>
      </c>
      <c r="F725" s="3" t="s">
        <v>99</v>
      </c>
      <c r="G725" s="3" t="s">
        <v>38</v>
      </c>
      <c r="H725" s="3" t="s">
        <v>51</v>
      </c>
      <c r="I725" s="6">
        <v>45506</v>
      </c>
      <c r="J725" s="8">
        <v>45334</v>
      </c>
      <c r="K725" s="3">
        <v>4</v>
      </c>
      <c r="L725" s="3" t="s">
        <v>52</v>
      </c>
      <c r="M725" s="3" t="s">
        <v>53</v>
      </c>
      <c r="N725" s="3" t="s">
        <v>173</v>
      </c>
      <c r="O725" s="3" t="s">
        <v>104</v>
      </c>
      <c r="P725" s="30">
        <v>12061.48</v>
      </c>
      <c r="Q725" s="3" t="s">
        <v>204</v>
      </c>
      <c r="R725" s="3">
        <v>8</v>
      </c>
      <c r="S725" s="3">
        <v>148</v>
      </c>
      <c r="T725" s="3">
        <v>36.6</v>
      </c>
      <c r="U725" s="3" t="s">
        <v>32</v>
      </c>
      <c r="V725" s="18" t="s">
        <v>33</v>
      </c>
    </row>
    <row r="726" spans="1:22" ht="15" customHeight="1" x14ac:dyDescent="0.25">
      <c r="A726" s="15" t="s">
        <v>1486</v>
      </c>
      <c r="B726" s="2" t="s">
        <v>3623</v>
      </c>
      <c r="C726">
        <v>80</v>
      </c>
      <c r="D726" s="1" t="s">
        <v>36</v>
      </c>
      <c r="E726" s="1" t="s">
        <v>23</v>
      </c>
      <c r="F726" s="1" t="s">
        <v>37</v>
      </c>
      <c r="G726" s="1" t="s">
        <v>25</v>
      </c>
      <c r="H726" s="1" t="s">
        <v>26</v>
      </c>
      <c r="I726" s="7">
        <v>43553</v>
      </c>
      <c r="J726" s="7">
        <v>43569</v>
      </c>
      <c r="K726" s="1">
        <v>16</v>
      </c>
      <c r="L726" s="1" t="s">
        <v>89</v>
      </c>
      <c r="M726" s="1" t="s">
        <v>90</v>
      </c>
      <c r="N726" s="1" t="s">
        <v>65</v>
      </c>
      <c r="O726" s="1" t="s">
        <v>30</v>
      </c>
      <c r="P726" s="29">
        <v>58881.1</v>
      </c>
      <c r="Q726" s="1" t="s">
        <v>515</v>
      </c>
      <c r="R726" s="1">
        <v>10</v>
      </c>
      <c r="S726" s="1">
        <v>168</v>
      </c>
      <c r="T726" s="4"/>
      <c r="U726" s="1" t="s">
        <v>86</v>
      </c>
      <c r="V726" s="17" t="s">
        <v>33</v>
      </c>
    </row>
    <row r="727" spans="1:22" ht="15" customHeight="1" x14ac:dyDescent="0.25">
      <c r="A727" s="16" t="s">
        <v>1487</v>
      </c>
      <c r="B727" s="3" t="s">
        <v>1488</v>
      </c>
      <c r="C727">
        <v>85</v>
      </c>
      <c r="D727" s="3" t="s">
        <v>36</v>
      </c>
      <c r="E727" s="3" t="s">
        <v>48</v>
      </c>
      <c r="F727" s="3" t="s">
        <v>99</v>
      </c>
      <c r="G727" s="3" t="s">
        <v>163</v>
      </c>
      <c r="H727" s="3" t="s">
        <v>51</v>
      </c>
      <c r="I727" s="8">
        <v>43831</v>
      </c>
      <c r="J727" s="8">
        <v>43834</v>
      </c>
      <c r="K727" s="3">
        <v>3</v>
      </c>
      <c r="L727" s="3" t="s">
        <v>27</v>
      </c>
      <c r="M727" s="3" t="s">
        <v>28</v>
      </c>
      <c r="N727" s="3" t="s">
        <v>164</v>
      </c>
      <c r="O727" s="3" t="s">
        <v>104</v>
      </c>
      <c r="P727" s="30">
        <v>24310.560000000001</v>
      </c>
      <c r="Q727" s="3" t="s">
        <v>165</v>
      </c>
      <c r="R727" s="3">
        <v>5</v>
      </c>
      <c r="S727" s="3">
        <v>119</v>
      </c>
      <c r="T727" s="3">
        <v>38.5</v>
      </c>
      <c r="U727" s="3" t="s">
        <v>86</v>
      </c>
      <c r="V727" s="18" t="s">
        <v>33</v>
      </c>
    </row>
    <row r="728" spans="1:22" ht="15" customHeight="1" x14ac:dyDescent="0.25">
      <c r="A728" s="15" t="s">
        <v>1489</v>
      </c>
      <c r="B728" s="1" t="s">
        <v>1490</v>
      </c>
      <c r="C728">
        <v>71</v>
      </c>
      <c r="D728" s="1" t="s">
        <v>82</v>
      </c>
      <c r="E728" s="1" t="s">
        <v>23</v>
      </c>
      <c r="F728" s="1" t="s">
        <v>99</v>
      </c>
      <c r="G728" s="1" t="s">
        <v>60</v>
      </c>
      <c r="H728" s="1" t="s">
        <v>78</v>
      </c>
      <c r="I728" s="6">
        <v>44147</v>
      </c>
      <c r="J728" s="10"/>
      <c r="K728" s="1"/>
      <c r="L728" s="1" t="s">
        <v>102</v>
      </c>
      <c r="M728" s="1" t="s">
        <v>28</v>
      </c>
      <c r="N728" s="1" t="s">
        <v>61</v>
      </c>
      <c r="O728" s="1" t="s">
        <v>42</v>
      </c>
      <c r="P728" s="29">
        <v>40006.85</v>
      </c>
      <c r="Q728" s="1" t="s">
        <v>62</v>
      </c>
      <c r="R728" s="1">
        <v>3</v>
      </c>
      <c r="S728" s="1">
        <v>353</v>
      </c>
      <c r="T728" s="1">
        <v>27.2</v>
      </c>
      <c r="U728" s="1" t="s">
        <v>44</v>
      </c>
      <c r="V728" s="17" t="s">
        <v>45</v>
      </c>
    </row>
    <row r="729" spans="1:22" ht="15" customHeight="1" x14ac:dyDescent="0.25">
      <c r="A729" s="16" t="s">
        <v>1491</v>
      </c>
      <c r="B729" s="3" t="s">
        <v>1492</v>
      </c>
      <c r="C729">
        <v>68</v>
      </c>
      <c r="D729" s="3" t="s">
        <v>82</v>
      </c>
      <c r="E729" s="3" t="s">
        <v>48</v>
      </c>
      <c r="F729" s="3" t="s">
        <v>99</v>
      </c>
      <c r="G729" s="3" t="s">
        <v>25</v>
      </c>
      <c r="H729" s="3" t="s">
        <v>78</v>
      </c>
      <c r="I729" s="8">
        <v>44288</v>
      </c>
      <c r="J729" s="8">
        <v>44302</v>
      </c>
      <c r="K729" s="3">
        <v>14</v>
      </c>
      <c r="L729" s="3" t="s">
        <v>231</v>
      </c>
      <c r="M729" s="3" t="s">
        <v>53</v>
      </c>
      <c r="N729" s="3" t="s">
        <v>248</v>
      </c>
      <c r="O729" s="3" t="s">
        <v>104</v>
      </c>
      <c r="P729" s="30">
        <v>88516.6</v>
      </c>
      <c r="Q729" s="3" t="s">
        <v>198</v>
      </c>
      <c r="R729" s="3">
        <v>11</v>
      </c>
      <c r="S729" s="3">
        <v>122</v>
      </c>
      <c r="T729" s="4"/>
      <c r="U729" s="3" t="s">
        <v>44</v>
      </c>
      <c r="V729" s="18" t="s">
        <v>45</v>
      </c>
    </row>
    <row r="730" spans="1:22" ht="15" customHeight="1" x14ac:dyDescent="0.25">
      <c r="A730" s="15" t="s">
        <v>1493</v>
      </c>
      <c r="B730" s="1" t="s">
        <v>1494</v>
      </c>
      <c r="C730">
        <v>77</v>
      </c>
      <c r="D730" s="1" t="s">
        <v>36</v>
      </c>
      <c r="E730" s="1" t="s">
        <v>23</v>
      </c>
      <c r="F730" s="1" t="s">
        <v>99</v>
      </c>
      <c r="G730" s="1" t="s">
        <v>131</v>
      </c>
      <c r="H730" s="1" t="s">
        <v>51</v>
      </c>
      <c r="I730" s="7">
        <v>45055</v>
      </c>
      <c r="J730" s="7">
        <v>45177</v>
      </c>
      <c r="K730" s="1">
        <v>3</v>
      </c>
      <c r="L730" s="1" t="s">
        <v>52</v>
      </c>
      <c r="M730" s="1" t="s">
        <v>53</v>
      </c>
      <c r="N730" s="1" t="s">
        <v>133</v>
      </c>
      <c r="O730" s="1" t="s">
        <v>42</v>
      </c>
      <c r="P730" s="29">
        <v>31106</v>
      </c>
      <c r="Q730" s="1" t="s">
        <v>158</v>
      </c>
      <c r="R730" s="1">
        <v>7</v>
      </c>
      <c r="S730" s="1">
        <v>144</v>
      </c>
      <c r="T730" s="1">
        <v>25.2</v>
      </c>
      <c r="U730" s="1" t="s">
        <v>86</v>
      </c>
      <c r="V730" s="17" t="s">
        <v>33</v>
      </c>
    </row>
    <row r="731" spans="1:22" ht="15" customHeight="1" x14ac:dyDescent="0.25">
      <c r="A731" s="16" t="s">
        <v>1495</v>
      </c>
      <c r="B731" s="3" t="s">
        <v>1496</v>
      </c>
      <c r="C731">
        <v>29</v>
      </c>
      <c r="D731" s="3" t="s">
        <v>47</v>
      </c>
      <c r="E731" s="3" t="s">
        <v>48</v>
      </c>
      <c r="F731" s="3" t="s">
        <v>24</v>
      </c>
      <c r="G731" s="3" t="s">
        <v>71</v>
      </c>
      <c r="H731" s="3" t="s">
        <v>51</v>
      </c>
      <c r="I731" s="8">
        <v>44296</v>
      </c>
      <c r="J731" s="8">
        <v>44301</v>
      </c>
      <c r="K731" s="3">
        <v>5</v>
      </c>
      <c r="L731" s="3" t="s">
        <v>231</v>
      </c>
      <c r="M731" s="3" t="s">
        <v>53</v>
      </c>
      <c r="N731" s="3" t="s">
        <v>177</v>
      </c>
      <c r="O731" s="3" t="s">
        <v>30</v>
      </c>
      <c r="P731" s="30">
        <v>4133.6400000000003</v>
      </c>
      <c r="Q731" s="3" t="s">
        <v>178</v>
      </c>
      <c r="R731" s="3">
        <v>5</v>
      </c>
      <c r="S731" s="3">
        <v>113</v>
      </c>
      <c r="T731" s="3">
        <v>23</v>
      </c>
      <c r="U731" s="3" t="s">
        <v>32</v>
      </c>
      <c r="V731" s="18" t="s">
        <v>33</v>
      </c>
    </row>
    <row r="732" spans="1:22" ht="15" customHeight="1" x14ac:dyDescent="0.25">
      <c r="A732" s="15" t="s">
        <v>1497</v>
      </c>
      <c r="B732" s="1" t="s">
        <v>1498</v>
      </c>
      <c r="C732">
        <v>62</v>
      </c>
      <c r="D732" s="1" t="s">
        <v>59</v>
      </c>
      <c r="E732" s="1" t="s">
        <v>23</v>
      </c>
      <c r="F732" s="1" t="s">
        <v>70</v>
      </c>
      <c r="G732" s="1" t="s">
        <v>71</v>
      </c>
      <c r="H732" s="1" t="s">
        <v>51</v>
      </c>
      <c r="I732" s="7">
        <v>44930</v>
      </c>
      <c r="J732" s="7">
        <v>45078</v>
      </c>
      <c r="K732" s="1">
        <v>2</v>
      </c>
      <c r="L732" s="1" t="s">
        <v>231</v>
      </c>
      <c r="M732" s="1" t="s">
        <v>53</v>
      </c>
      <c r="N732" s="1" t="s">
        <v>312</v>
      </c>
      <c r="O732" s="1" t="s">
        <v>104</v>
      </c>
      <c r="P732" s="29">
        <v>10112.469999999999</v>
      </c>
      <c r="Q732" s="1" t="s">
        <v>178</v>
      </c>
      <c r="R732" s="1">
        <v>3</v>
      </c>
      <c r="S732" s="1">
        <v>141</v>
      </c>
      <c r="T732" s="1">
        <v>33.700000000000003</v>
      </c>
      <c r="U732" s="1" t="s">
        <v>32</v>
      </c>
      <c r="V732" s="17" t="s">
        <v>33</v>
      </c>
    </row>
    <row r="733" spans="1:22" ht="15" customHeight="1" x14ac:dyDescent="0.25">
      <c r="A733" s="16" t="s">
        <v>1499</v>
      </c>
      <c r="B733" s="3" t="s">
        <v>1500</v>
      </c>
      <c r="C733">
        <v>74</v>
      </c>
      <c r="D733" s="3" t="s">
        <v>82</v>
      </c>
      <c r="E733" s="3" t="s">
        <v>23</v>
      </c>
      <c r="F733" s="3" t="s">
        <v>155</v>
      </c>
      <c r="G733" s="3" t="s">
        <v>163</v>
      </c>
      <c r="H733" s="3" t="s">
        <v>51</v>
      </c>
      <c r="I733" s="8">
        <v>45418</v>
      </c>
      <c r="J733" s="8">
        <v>45421</v>
      </c>
      <c r="K733" s="3">
        <v>3</v>
      </c>
      <c r="L733" s="3" t="s">
        <v>39</v>
      </c>
      <c r="M733" s="3" t="s">
        <v>40</v>
      </c>
      <c r="N733" s="3" t="s">
        <v>346</v>
      </c>
      <c r="O733" s="3" t="s">
        <v>42</v>
      </c>
      <c r="P733" s="30">
        <v>36548.879999999997</v>
      </c>
      <c r="Q733" s="3" t="s">
        <v>165</v>
      </c>
      <c r="R733" s="3">
        <v>4</v>
      </c>
      <c r="S733" s="3">
        <v>137</v>
      </c>
      <c r="T733" s="4"/>
      <c r="U733" s="3" t="s">
        <v>32</v>
      </c>
      <c r="V733" s="18" t="s">
        <v>33</v>
      </c>
    </row>
    <row r="734" spans="1:22" ht="15" customHeight="1" x14ac:dyDescent="0.25">
      <c r="A734" s="15" t="s">
        <v>1501</v>
      </c>
      <c r="B734" s="1" t="s">
        <v>1231</v>
      </c>
      <c r="C734">
        <v>63</v>
      </c>
      <c r="D734" s="1" t="s">
        <v>59</v>
      </c>
      <c r="E734" s="1" t="s">
        <v>48</v>
      </c>
      <c r="F734" s="1" t="s">
        <v>155</v>
      </c>
      <c r="G734" s="1" t="s">
        <v>1502</v>
      </c>
      <c r="H734" s="1" t="s">
        <v>26</v>
      </c>
      <c r="I734" s="6">
        <v>45648</v>
      </c>
      <c r="J734" s="7">
        <v>45656</v>
      </c>
      <c r="K734" s="1">
        <v>8</v>
      </c>
      <c r="L734" s="1" t="s">
        <v>39</v>
      </c>
      <c r="M734" s="1" t="s">
        <v>40</v>
      </c>
      <c r="N734" s="1" t="s">
        <v>126</v>
      </c>
      <c r="O734" s="1" t="s">
        <v>55</v>
      </c>
      <c r="P734" s="29">
        <v>74319.259999999995</v>
      </c>
      <c r="Q734" s="1" t="s">
        <v>85</v>
      </c>
      <c r="R734" s="1">
        <v>8</v>
      </c>
      <c r="S734" s="1">
        <v>302</v>
      </c>
      <c r="T734" s="1">
        <v>29.6</v>
      </c>
      <c r="U734" s="1" t="s">
        <v>32</v>
      </c>
      <c r="V734" s="17" t="s">
        <v>33</v>
      </c>
    </row>
    <row r="735" spans="1:22" ht="15" customHeight="1" x14ac:dyDescent="0.25">
      <c r="A735" s="16" t="s">
        <v>1503</v>
      </c>
      <c r="B735" s="3" t="s">
        <v>637</v>
      </c>
      <c r="C735">
        <v>85</v>
      </c>
      <c r="D735" s="3" t="s">
        <v>36</v>
      </c>
      <c r="E735" s="3" t="s">
        <v>48</v>
      </c>
      <c r="F735" s="3" t="s">
        <v>37</v>
      </c>
      <c r="G735" s="3" t="s">
        <v>77</v>
      </c>
      <c r="H735" s="3" t="s">
        <v>51</v>
      </c>
      <c r="I735" s="8">
        <v>45646</v>
      </c>
      <c r="J735" s="8">
        <v>45652</v>
      </c>
      <c r="K735" s="3">
        <v>6</v>
      </c>
      <c r="L735" s="3" t="s">
        <v>122</v>
      </c>
      <c r="M735" s="3" t="s">
        <v>40</v>
      </c>
      <c r="N735" s="3" t="s">
        <v>94</v>
      </c>
      <c r="O735" s="3" t="s">
        <v>104</v>
      </c>
      <c r="P735" s="30">
        <v>45628.35</v>
      </c>
      <c r="Q735" s="3" t="s">
        <v>592</v>
      </c>
      <c r="R735" s="3">
        <v>10</v>
      </c>
      <c r="S735" s="3">
        <v>117</v>
      </c>
      <c r="T735" s="3">
        <v>31.2</v>
      </c>
      <c r="U735" s="3" t="s">
        <v>44</v>
      </c>
      <c r="V735" s="18" t="s">
        <v>45</v>
      </c>
    </row>
    <row r="736" spans="1:22" ht="15" customHeight="1" x14ac:dyDescent="0.25">
      <c r="A736" s="15" t="s">
        <v>1504</v>
      </c>
      <c r="B736" s="1" t="s">
        <v>1505</v>
      </c>
      <c r="C736">
        <v>84</v>
      </c>
      <c r="D736" s="1" t="s">
        <v>36</v>
      </c>
      <c r="E736" s="1" t="s">
        <v>48</v>
      </c>
      <c r="F736" s="1" t="s">
        <v>70</v>
      </c>
      <c r="G736" s="1" t="s">
        <v>77</v>
      </c>
      <c r="H736" s="1" t="s">
        <v>26</v>
      </c>
      <c r="I736" s="6">
        <v>44971</v>
      </c>
      <c r="J736" s="7">
        <v>44984</v>
      </c>
      <c r="K736" s="1">
        <v>13</v>
      </c>
      <c r="L736" s="1" t="s">
        <v>185</v>
      </c>
      <c r="M736" s="1" t="s">
        <v>186</v>
      </c>
      <c r="N736" s="1" t="s">
        <v>94</v>
      </c>
      <c r="O736" s="1" t="s">
        <v>55</v>
      </c>
      <c r="P736" s="29">
        <v>62527.48</v>
      </c>
      <c r="Q736" s="1" t="s">
        <v>85</v>
      </c>
      <c r="R736" s="1">
        <v>8</v>
      </c>
      <c r="S736" s="1">
        <v>395</v>
      </c>
      <c r="T736" s="1">
        <v>35.4</v>
      </c>
      <c r="U736" s="1" t="s">
        <v>44</v>
      </c>
      <c r="V736" s="17" t="s">
        <v>45</v>
      </c>
    </row>
    <row r="737" spans="1:22" ht="15" customHeight="1" x14ac:dyDescent="0.25">
      <c r="A737" s="16" t="s">
        <v>1506</v>
      </c>
      <c r="B737" s="3" t="s">
        <v>1507</v>
      </c>
      <c r="C737">
        <v>86</v>
      </c>
      <c r="D737" s="3" t="s">
        <v>36</v>
      </c>
      <c r="E737" s="3" t="s">
        <v>48</v>
      </c>
      <c r="F737" s="3" t="s">
        <v>70</v>
      </c>
      <c r="G737" s="3" t="s">
        <v>25</v>
      </c>
      <c r="H737" s="3" t="s">
        <v>156</v>
      </c>
      <c r="I737" s="8">
        <v>44693</v>
      </c>
      <c r="J737" s="10"/>
      <c r="K737" s="3"/>
      <c r="L737" s="3" t="s">
        <v>102</v>
      </c>
      <c r="M737" s="3" t="s">
        <v>28</v>
      </c>
      <c r="N737" s="3" t="s">
        <v>248</v>
      </c>
      <c r="O737" s="3" t="s">
        <v>55</v>
      </c>
      <c r="P737" s="30">
        <v>113381.79</v>
      </c>
      <c r="Q737" s="3" t="s">
        <v>269</v>
      </c>
      <c r="R737" s="3">
        <v>8</v>
      </c>
      <c r="S737" s="3">
        <v>387</v>
      </c>
      <c r="T737" s="3">
        <v>24.4</v>
      </c>
      <c r="U737" s="3" t="s">
        <v>44</v>
      </c>
      <c r="V737" s="18" t="s">
        <v>45</v>
      </c>
    </row>
    <row r="738" spans="1:22" ht="15" customHeight="1" x14ac:dyDescent="0.25">
      <c r="A738" s="15" t="s">
        <v>1508</v>
      </c>
      <c r="B738" s="2" t="s">
        <v>813</v>
      </c>
      <c r="C738">
        <v>48</v>
      </c>
      <c r="D738" s="1" t="s">
        <v>98</v>
      </c>
      <c r="E738" s="1" t="s">
        <v>48</v>
      </c>
      <c r="F738" s="1" t="s">
        <v>76</v>
      </c>
      <c r="G738" s="1" t="s">
        <v>131</v>
      </c>
      <c r="H738" s="1" t="s">
        <v>26</v>
      </c>
      <c r="I738" s="7">
        <v>43819</v>
      </c>
      <c r="J738" s="10"/>
      <c r="K738" s="1"/>
      <c r="L738" s="1" t="s">
        <v>122</v>
      </c>
      <c r="M738" s="1" t="s">
        <v>40</v>
      </c>
      <c r="N738" s="1" t="s">
        <v>157</v>
      </c>
      <c r="O738" s="1" t="s">
        <v>42</v>
      </c>
      <c r="P738" s="29">
        <v>29893.34</v>
      </c>
      <c r="Q738" s="1" t="s">
        <v>158</v>
      </c>
      <c r="R738" s="1">
        <v>7</v>
      </c>
      <c r="S738" s="1">
        <v>340</v>
      </c>
      <c r="T738" s="1">
        <v>34.4</v>
      </c>
      <c r="U738" s="1" t="s">
        <v>32</v>
      </c>
      <c r="V738" s="17" t="s">
        <v>33</v>
      </c>
    </row>
    <row r="739" spans="1:22" ht="15" customHeight="1" x14ac:dyDescent="0.25">
      <c r="A739" s="16" t="s">
        <v>1509</v>
      </c>
      <c r="B739" s="3" t="s">
        <v>1510</v>
      </c>
      <c r="C739">
        <v>65</v>
      </c>
      <c r="D739" s="3" t="s">
        <v>82</v>
      </c>
      <c r="E739" s="3" t="s">
        <v>23</v>
      </c>
      <c r="F739" s="3" t="s">
        <v>83</v>
      </c>
      <c r="G739" s="3" t="s">
        <v>131</v>
      </c>
      <c r="H739" s="3" t="s">
        <v>26</v>
      </c>
      <c r="I739" s="8">
        <v>43485</v>
      </c>
      <c r="J739" s="8">
        <v>43490</v>
      </c>
      <c r="K739" s="3">
        <v>5</v>
      </c>
      <c r="L739" s="3" t="s">
        <v>39</v>
      </c>
      <c r="M739" s="3" t="s">
        <v>40</v>
      </c>
      <c r="N739" s="3" t="s">
        <v>157</v>
      </c>
      <c r="O739" s="3" t="s">
        <v>42</v>
      </c>
      <c r="P739" s="30">
        <v>33784</v>
      </c>
      <c r="Q739" s="3" t="s">
        <v>158</v>
      </c>
      <c r="R739" s="3">
        <v>7</v>
      </c>
      <c r="S739" s="3">
        <v>397</v>
      </c>
      <c r="T739" s="3">
        <v>24</v>
      </c>
      <c r="U739" s="3" t="s">
        <v>32</v>
      </c>
      <c r="V739" s="18" t="s">
        <v>33</v>
      </c>
    </row>
    <row r="740" spans="1:22" ht="15" customHeight="1" x14ac:dyDescent="0.25">
      <c r="A740" s="15" t="s">
        <v>1511</v>
      </c>
      <c r="B740" s="1" t="s">
        <v>1512</v>
      </c>
      <c r="C740">
        <v>42</v>
      </c>
      <c r="D740" s="1" t="s">
        <v>98</v>
      </c>
      <c r="E740" s="1" t="s">
        <v>48</v>
      </c>
      <c r="F740" s="1" t="s">
        <v>49</v>
      </c>
      <c r="G740" s="1" t="s">
        <v>71</v>
      </c>
      <c r="H740" s="1" t="s">
        <v>51</v>
      </c>
      <c r="I740" s="6">
        <v>44548</v>
      </c>
      <c r="J740" s="7">
        <v>44550</v>
      </c>
      <c r="K740" s="1">
        <v>2</v>
      </c>
      <c r="L740" s="1" t="s">
        <v>112</v>
      </c>
      <c r="M740" s="1" t="s">
        <v>40</v>
      </c>
      <c r="N740" s="1" t="s">
        <v>312</v>
      </c>
      <c r="O740" s="1" t="s">
        <v>104</v>
      </c>
      <c r="P740" s="29">
        <v>6089.78</v>
      </c>
      <c r="Q740" s="1" t="s">
        <v>178</v>
      </c>
      <c r="R740" s="1">
        <v>2</v>
      </c>
      <c r="S740" s="1">
        <v>105</v>
      </c>
      <c r="T740" s="1">
        <v>24.8</v>
      </c>
      <c r="U740" s="1" t="s">
        <v>44</v>
      </c>
      <c r="V740" s="17" t="s">
        <v>33</v>
      </c>
    </row>
    <row r="741" spans="1:22" ht="15" customHeight="1" x14ac:dyDescent="0.25">
      <c r="A741" s="16" t="s">
        <v>1513</v>
      </c>
      <c r="B741" s="3" t="s">
        <v>1514</v>
      </c>
      <c r="C741">
        <v>56</v>
      </c>
      <c r="D741" s="3" t="s">
        <v>59</v>
      </c>
      <c r="E741" s="3" t="s">
        <v>48</v>
      </c>
      <c r="F741" s="3" t="s">
        <v>24</v>
      </c>
      <c r="G741" s="3" t="s">
        <v>25</v>
      </c>
      <c r="H741" s="3" t="s">
        <v>51</v>
      </c>
      <c r="I741" s="6">
        <v>43713</v>
      </c>
      <c r="J741" s="8">
        <v>43607</v>
      </c>
      <c r="K741" s="3">
        <v>13</v>
      </c>
      <c r="L741" s="3" t="s">
        <v>39</v>
      </c>
      <c r="M741" s="3" t="s">
        <v>40</v>
      </c>
      <c r="N741" s="3" t="s">
        <v>29</v>
      </c>
      <c r="O741" s="3" t="s">
        <v>42</v>
      </c>
      <c r="P741" s="30">
        <v>64226.71</v>
      </c>
      <c r="Q741" s="3" t="s">
        <v>515</v>
      </c>
      <c r="R741" s="3">
        <v>12</v>
      </c>
      <c r="S741" s="3">
        <v>192</v>
      </c>
      <c r="T741" s="3">
        <v>26.8</v>
      </c>
      <c r="U741" s="3" t="s">
        <v>86</v>
      </c>
      <c r="V741" s="18" t="s">
        <v>33</v>
      </c>
    </row>
    <row r="742" spans="1:22" ht="15" customHeight="1" x14ac:dyDescent="0.25">
      <c r="A742" s="15" t="s">
        <v>1515</v>
      </c>
      <c r="B742" s="1" t="s">
        <v>1516</v>
      </c>
      <c r="C742">
        <v>80</v>
      </c>
      <c r="D742" s="1" t="s">
        <v>36</v>
      </c>
      <c r="E742" s="1" t="s">
        <v>48</v>
      </c>
      <c r="F742" s="1" t="s">
        <v>24</v>
      </c>
      <c r="G742" s="1" t="s">
        <v>38</v>
      </c>
      <c r="H742" s="1" t="s">
        <v>51</v>
      </c>
      <c r="I742" s="7">
        <v>44120</v>
      </c>
      <c r="J742" s="7">
        <v>44123</v>
      </c>
      <c r="K742" s="1">
        <v>3</v>
      </c>
      <c r="L742" s="1" t="s">
        <v>185</v>
      </c>
      <c r="M742" s="1" t="s">
        <v>186</v>
      </c>
      <c r="N742" s="1" t="s">
        <v>173</v>
      </c>
      <c r="O742" s="1" t="s">
        <v>42</v>
      </c>
      <c r="P742" s="29">
        <v>26934.84</v>
      </c>
      <c r="Q742" s="1" t="s">
        <v>174</v>
      </c>
      <c r="R742" s="1">
        <v>8</v>
      </c>
      <c r="S742" s="1">
        <v>169</v>
      </c>
      <c r="T742" s="1">
        <v>28.1</v>
      </c>
      <c r="U742" s="1" t="s">
        <v>86</v>
      </c>
      <c r="V742" s="17" t="s">
        <v>33</v>
      </c>
    </row>
    <row r="743" spans="1:22" ht="15" customHeight="1" x14ac:dyDescent="0.25">
      <c r="A743" s="16" t="s">
        <v>1517</v>
      </c>
      <c r="B743" s="3" t="s">
        <v>1023</v>
      </c>
      <c r="C743">
        <v>58</v>
      </c>
      <c r="D743" s="3" t="s">
        <v>59</v>
      </c>
      <c r="E743" s="3" t="s">
        <v>48</v>
      </c>
      <c r="F743" s="3" t="s">
        <v>83</v>
      </c>
      <c r="G743" s="3" t="s">
        <v>163</v>
      </c>
      <c r="H743" s="3" t="s">
        <v>78</v>
      </c>
      <c r="I743" s="8">
        <v>45639</v>
      </c>
      <c r="J743" s="8">
        <v>45646</v>
      </c>
      <c r="K743" s="3">
        <v>7</v>
      </c>
      <c r="L743" s="3" t="s">
        <v>231</v>
      </c>
      <c r="M743" s="3" t="s">
        <v>53</v>
      </c>
      <c r="N743" s="3" t="s">
        <v>213</v>
      </c>
      <c r="O743" s="3" t="s">
        <v>30</v>
      </c>
      <c r="P743" s="30">
        <v>26991.49</v>
      </c>
      <c r="Q743" s="3" t="s">
        <v>62</v>
      </c>
      <c r="R743" s="3">
        <v>6</v>
      </c>
      <c r="S743" s="3">
        <v>167</v>
      </c>
      <c r="T743" s="3">
        <v>22.5</v>
      </c>
      <c r="U743" s="3" t="s">
        <v>44</v>
      </c>
      <c r="V743" s="18" t="s">
        <v>33</v>
      </c>
    </row>
    <row r="744" spans="1:22" ht="15" customHeight="1" x14ac:dyDescent="0.25">
      <c r="A744" s="15" t="s">
        <v>1518</v>
      </c>
      <c r="B744" s="1" t="s">
        <v>1474</v>
      </c>
      <c r="C744">
        <v>66</v>
      </c>
      <c r="D744" s="1" t="s">
        <v>82</v>
      </c>
      <c r="E744" s="1" t="s">
        <v>23</v>
      </c>
      <c r="F744" s="1" t="s">
        <v>49</v>
      </c>
      <c r="G744" s="1" t="s">
        <v>38</v>
      </c>
      <c r="H744" s="1" t="s">
        <v>26</v>
      </c>
      <c r="I744" s="7">
        <v>44297</v>
      </c>
      <c r="J744" s="7">
        <v>44303</v>
      </c>
      <c r="K744" s="1">
        <v>6</v>
      </c>
      <c r="L744" s="1" t="s">
        <v>89</v>
      </c>
      <c r="M744" s="1" t="s">
        <v>90</v>
      </c>
      <c r="N744" s="1" t="s">
        <v>41</v>
      </c>
      <c r="O744" s="1" t="s">
        <v>42</v>
      </c>
      <c r="P744" s="29">
        <v>40039.49</v>
      </c>
      <c r="Q744" s="1" t="s">
        <v>119</v>
      </c>
      <c r="R744" s="1">
        <v>7</v>
      </c>
      <c r="S744" s="1">
        <v>409</v>
      </c>
      <c r="T744" s="1">
        <v>31.4</v>
      </c>
      <c r="U744" s="1" t="s">
        <v>44</v>
      </c>
      <c r="V744" s="17" t="s">
        <v>33</v>
      </c>
    </row>
    <row r="745" spans="1:22" ht="15" customHeight="1" x14ac:dyDescent="0.25">
      <c r="A745" s="16" t="s">
        <v>1519</v>
      </c>
      <c r="B745" s="3" t="s">
        <v>1520</v>
      </c>
      <c r="C745">
        <v>81</v>
      </c>
      <c r="D745" s="3" t="s">
        <v>36</v>
      </c>
      <c r="E745" s="3" t="s">
        <v>48</v>
      </c>
      <c r="F745" s="3" t="s">
        <v>49</v>
      </c>
      <c r="G745" s="3" t="s">
        <v>50</v>
      </c>
      <c r="H745" s="3" t="s">
        <v>26</v>
      </c>
      <c r="I745" s="6">
        <v>45528</v>
      </c>
      <c r="J745" s="8">
        <v>45300</v>
      </c>
      <c r="K745" s="3">
        <v>8</v>
      </c>
      <c r="L745" s="3" t="s">
        <v>112</v>
      </c>
      <c r="M745" s="3" t="s">
        <v>40</v>
      </c>
      <c r="N745" s="3" t="s">
        <v>116</v>
      </c>
      <c r="O745" s="3" t="s">
        <v>42</v>
      </c>
      <c r="P745" s="30">
        <v>47299.85</v>
      </c>
      <c r="Q745" s="3" t="s">
        <v>552</v>
      </c>
      <c r="R745" s="3">
        <v>9</v>
      </c>
      <c r="S745" s="3">
        <v>317</v>
      </c>
      <c r="T745" s="3">
        <v>20</v>
      </c>
      <c r="U745" s="3" t="s">
        <v>44</v>
      </c>
      <c r="V745" s="18" t="s">
        <v>33</v>
      </c>
    </row>
    <row r="746" spans="1:22" ht="15" customHeight="1" x14ac:dyDescent="0.25">
      <c r="A746" s="15" t="s">
        <v>1521</v>
      </c>
      <c r="B746" s="1" t="s">
        <v>1522</v>
      </c>
      <c r="C746">
        <v>64</v>
      </c>
      <c r="D746" s="1" t="s">
        <v>59</v>
      </c>
      <c r="E746" s="1" t="s">
        <v>48</v>
      </c>
      <c r="F746" s="2" t="s">
        <v>3714</v>
      </c>
      <c r="G746" s="1" t="s">
        <v>38</v>
      </c>
      <c r="H746" s="1" t="s">
        <v>26</v>
      </c>
      <c r="I746" s="7">
        <v>44193</v>
      </c>
      <c r="J746" s="7">
        <v>44228</v>
      </c>
      <c r="K746" s="1">
        <v>5</v>
      </c>
      <c r="L746" s="1" t="s">
        <v>122</v>
      </c>
      <c r="M746" s="1" t="s">
        <v>40</v>
      </c>
      <c r="N746" s="1" t="s">
        <v>173</v>
      </c>
      <c r="O746" s="1" t="s">
        <v>30</v>
      </c>
      <c r="P746" s="29">
        <v>19750</v>
      </c>
      <c r="Q746" s="1" t="s">
        <v>174</v>
      </c>
      <c r="R746" s="1">
        <v>8</v>
      </c>
      <c r="S746" s="1">
        <v>205</v>
      </c>
      <c r="T746" s="1">
        <v>27.4</v>
      </c>
      <c r="U746" s="1" t="s">
        <v>44</v>
      </c>
      <c r="V746" s="17" t="s">
        <v>33</v>
      </c>
    </row>
    <row r="747" spans="1:22" ht="15" customHeight="1" x14ac:dyDescent="0.25">
      <c r="A747" s="16" t="s">
        <v>1523</v>
      </c>
      <c r="B747" s="3" t="s">
        <v>1524</v>
      </c>
      <c r="C747">
        <v>73</v>
      </c>
      <c r="D747" s="3" t="s">
        <v>82</v>
      </c>
      <c r="E747" s="3" t="s">
        <v>48</v>
      </c>
      <c r="F747" s="2" t="s">
        <v>76</v>
      </c>
      <c r="G747" s="3" t="s">
        <v>131</v>
      </c>
      <c r="H747" s="3" t="s">
        <v>78</v>
      </c>
      <c r="I747" s="6">
        <v>45352</v>
      </c>
      <c r="J747" s="8">
        <v>45301</v>
      </c>
      <c r="K747" s="3">
        <v>7</v>
      </c>
      <c r="L747" s="3" t="s">
        <v>27</v>
      </c>
      <c r="M747" s="3" t="s">
        <v>28</v>
      </c>
      <c r="N747" s="3" t="s">
        <v>157</v>
      </c>
      <c r="O747" s="3" t="s">
        <v>104</v>
      </c>
      <c r="P747" s="30">
        <v>16880.37</v>
      </c>
      <c r="Q747" s="3" t="s">
        <v>152</v>
      </c>
      <c r="R747" s="3">
        <v>7</v>
      </c>
      <c r="S747" s="3">
        <v>200</v>
      </c>
      <c r="T747" s="3">
        <v>29.5</v>
      </c>
      <c r="U747" s="3" t="s">
        <v>32</v>
      </c>
      <c r="V747" s="18" t="s">
        <v>45</v>
      </c>
    </row>
    <row r="748" spans="1:22" ht="15" customHeight="1" x14ac:dyDescent="0.25">
      <c r="A748" s="15" t="s">
        <v>1525</v>
      </c>
      <c r="B748" s="1" t="s">
        <v>1526</v>
      </c>
      <c r="C748">
        <v>48</v>
      </c>
      <c r="D748" s="1" t="s">
        <v>98</v>
      </c>
      <c r="E748" s="1" t="s">
        <v>23</v>
      </c>
      <c r="F748" s="1" t="s">
        <v>99</v>
      </c>
      <c r="G748" s="1" t="s">
        <v>131</v>
      </c>
      <c r="H748" s="1" t="s">
        <v>78</v>
      </c>
      <c r="I748" s="6">
        <v>43517</v>
      </c>
      <c r="J748" s="7">
        <v>43521</v>
      </c>
      <c r="K748" s="1">
        <v>4</v>
      </c>
      <c r="L748" s="1" t="s">
        <v>185</v>
      </c>
      <c r="M748" s="1" t="s">
        <v>186</v>
      </c>
      <c r="N748" s="1" t="s">
        <v>133</v>
      </c>
      <c r="O748" s="1" t="s">
        <v>42</v>
      </c>
      <c r="P748" s="29">
        <v>17756.080000000002</v>
      </c>
      <c r="Q748" s="1" t="s">
        <v>148</v>
      </c>
      <c r="R748" s="1">
        <v>4</v>
      </c>
      <c r="S748" s="1">
        <v>434</v>
      </c>
      <c r="T748" s="1">
        <v>33.700000000000003</v>
      </c>
      <c r="U748" s="1" t="s">
        <v>32</v>
      </c>
      <c r="V748" s="17" t="s">
        <v>33</v>
      </c>
    </row>
    <row r="749" spans="1:22" ht="15" customHeight="1" x14ac:dyDescent="0.25">
      <c r="A749" s="16" t="s">
        <v>1527</v>
      </c>
      <c r="B749" s="3" t="s">
        <v>1528</v>
      </c>
      <c r="C749">
        <v>63</v>
      </c>
      <c r="D749" s="3" t="s">
        <v>59</v>
      </c>
      <c r="E749" s="3" t="s">
        <v>23</v>
      </c>
      <c r="F749" s="3" t="s">
        <v>70</v>
      </c>
      <c r="G749" s="3" t="s">
        <v>77</v>
      </c>
      <c r="H749" s="3" t="s">
        <v>26</v>
      </c>
      <c r="I749" s="8">
        <v>45187</v>
      </c>
      <c r="J749" s="8">
        <v>45201</v>
      </c>
      <c r="K749" s="3">
        <v>14</v>
      </c>
      <c r="L749" s="3" t="s">
        <v>52</v>
      </c>
      <c r="M749" s="3" t="s">
        <v>53</v>
      </c>
      <c r="N749" s="3" t="s">
        <v>79</v>
      </c>
      <c r="O749" s="3" t="s">
        <v>30</v>
      </c>
      <c r="P749" s="30">
        <v>36176</v>
      </c>
      <c r="Q749" s="3" t="s">
        <v>592</v>
      </c>
      <c r="R749" s="3">
        <v>8</v>
      </c>
      <c r="S749" s="3">
        <v>345</v>
      </c>
      <c r="T749" s="3">
        <v>32.9</v>
      </c>
      <c r="U749" s="3" t="s">
        <v>44</v>
      </c>
      <c r="V749" s="18" t="s">
        <v>33</v>
      </c>
    </row>
    <row r="750" spans="1:22" ht="15" customHeight="1" x14ac:dyDescent="0.25">
      <c r="A750" s="15" t="s">
        <v>1529</v>
      </c>
      <c r="B750" s="1" t="s">
        <v>1530</v>
      </c>
      <c r="C750">
        <v>89</v>
      </c>
      <c r="D750" s="1" t="s">
        <v>36</v>
      </c>
      <c r="E750" s="1" t="s">
        <v>48</v>
      </c>
      <c r="F750" s="2" t="s">
        <v>3714</v>
      </c>
      <c r="G750" s="1" t="s">
        <v>50</v>
      </c>
      <c r="H750" s="1" t="s">
        <v>78</v>
      </c>
      <c r="I750" s="6">
        <v>45615</v>
      </c>
      <c r="J750" s="7">
        <v>45623</v>
      </c>
      <c r="K750" s="1">
        <v>8</v>
      </c>
      <c r="L750" s="1" t="s">
        <v>231</v>
      </c>
      <c r="M750" s="1" t="s">
        <v>53</v>
      </c>
      <c r="N750" s="1" t="s">
        <v>54</v>
      </c>
      <c r="O750" s="1" t="s">
        <v>104</v>
      </c>
      <c r="P750" s="29">
        <v>50570.77</v>
      </c>
      <c r="Q750" s="1" t="s">
        <v>351</v>
      </c>
      <c r="R750" s="1">
        <v>9</v>
      </c>
      <c r="S750" s="1">
        <v>136</v>
      </c>
      <c r="T750" s="1">
        <v>28.1</v>
      </c>
      <c r="U750" s="1" t="s">
        <v>44</v>
      </c>
      <c r="V750" s="17" t="s">
        <v>33</v>
      </c>
    </row>
    <row r="751" spans="1:22" ht="15" customHeight="1" x14ac:dyDescent="0.25">
      <c r="A751" s="16" t="s">
        <v>1531</v>
      </c>
      <c r="B751" s="3" t="s">
        <v>1200</v>
      </c>
      <c r="C751">
        <v>66</v>
      </c>
      <c r="D751" s="3" t="s">
        <v>82</v>
      </c>
      <c r="E751" s="3" t="s">
        <v>23</v>
      </c>
      <c r="F751" s="3" t="s">
        <v>99</v>
      </c>
      <c r="G751" s="3" t="s">
        <v>131</v>
      </c>
      <c r="H751" s="3" t="s">
        <v>26</v>
      </c>
      <c r="I751" s="6">
        <v>45168</v>
      </c>
      <c r="J751" s="8">
        <v>45025</v>
      </c>
      <c r="K751" s="3">
        <v>5</v>
      </c>
      <c r="L751" s="3" t="s">
        <v>52</v>
      </c>
      <c r="M751" s="3" t="s">
        <v>53</v>
      </c>
      <c r="N751" s="3" t="s">
        <v>147</v>
      </c>
      <c r="O751" s="3" t="s">
        <v>104</v>
      </c>
      <c r="P751" s="30">
        <v>32206.6</v>
      </c>
      <c r="Q751" s="3" t="s">
        <v>152</v>
      </c>
      <c r="R751" s="3">
        <v>7</v>
      </c>
      <c r="S751" s="3">
        <v>387</v>
      </c>
      <c r="T751" s="4"/>
      <c r="U751" s="3" t="s">
        <v>44</v>
      </c>
      <c r="V751" s="18" t="s">
        <v>33</v>
      </c>
    </row>
    <row r="752" spans="1:22" ht="15" customHeight="1" x14ac:dyDescent="0.25">
      <c r="A752" s="15" t="s">
        <v>1532</v>
      </c>
      <c r="B752" s="1" t="s">
        <v>1533</v>
      </c>
      <c r="C752">
        <v>86</v>
      </c>
      <c r="D752" s="1" t="s">
        <v>36</v>
      </c>
      <c r="E752" s="1" t="s">
        <v>23</v>
      </c>
      <c r="F752" s="1" t="s">
        <v>70</v>
      </c>
      <c r="G752" s="1" t="s">
        <v>77</v>
      </c>
      <c r="H752" s="1" t="s">
        <v>26</v>
      </c>
      <c r="I752" s="6">
        <v>45149</v>
      </c>
      <c r="J752" s="7">
        <v>45249</v>
      </c>
      <c r="K752" s="1">
        <v>11</v>
      </c>
      <c r="L752" s="1" t="s">
        <v>52</v>
      </c>
      <c r="M752" s="1" t="s">
        <v>53</v>
      </c>
      <c r="N752" s="1" t="s">
        <v>79</v>
      </c>
      <c r="O752" s="1" t="s">
        <v>30</v>
      </c>
      <c r="P752" s="29">
        <v>90715.67</v>
      </c>
      <c r="Q752" s="1" t="s">
        <v>100</v>
      </c>
      <c r="R752" s="1">
        <v>10</v>
      </c>
      <c r="S752" s="1">
        <v>357</v>
      </c>
      <c r="T752" s="1">
        <v>37.5</v>
      </c>
      <c r="U752" s="1" t="s">
        <v>44</v>
      </c>
      <c r="V752" s="17" t="s">
        <v>33</v>
      </c>
    </row>
    <row r="753" spans="1:22" ht="15" customHeight="1" x14ac:dyDescent="0.25">
      <c r="A753" s="16" t="s">
        <v>1534</v>
      </c>
      <c r="B753" s="3" t="s">
        <v>1500</v>
      </c>
      <c r="C753">
        <v>53</v>
      </c>
      <c r="D753" s="3" t="s">
        <v>98</v>
      </c>
      <c r="E753" s="3" t="s">
        <v>23</v>
      </c>
      <c r="F753" s="3" t="s">
        <v>49</v>
      </c>
      <c r="G753" s="3" t="s">
        <v>38</v>
      </c>
      <c r="H753" s="3" t="s">
        <v>78</v>
      </c>
      <c r="I753" s="6">
        <v>44018</v>
      </c>
      <c r="J753" s="8">
        <v>44020</v>
      </c>
      <c r="K753" s="3">
        <v>2</v>
      </c>
      <c r="L753" s="3" t="s">
        <v>52</v>
      </c>
      <c r="M753" s="3" t="s">
        <v>53</v>
      </c>
      <c r="N753" s="3" t="s">
        <v>173</v>
      </c>
      <c r="O753" s="3" t="s">
        <v>42</v>
      </c>
      <c r="P753" s="30">
        <v>25691.31</v>
      </c>
      <c r="Q753" s="3" t="s">
        <v>43</v>
      </c>
      <c r="R753" s="3">
        <v>6</v>
      </c>
      <c r="S753" s="3">
        <v>450</v>
      </c>
      <c r="T753" s="4"/>
      <c r="U753" s="3" t="s">
        <v>86</v>
      </c>
      <c r="V753" s="18" t="s">
        <v>33</v>
      </c>
    </row>
    <row r="754" spans="1:22" ht="15" customHeight="1" x14ac:dyDescent="0.25">
      <c r="A754" s="15" t="s">
        <v>1535</v>
      </c>
      <c r="B754" s="1" t="s">
        <v>1536</v>
      </c>
      <c r="C754">
        <v>31</v>
      </c>
      <c r="D754" s="1" t="s">
        <v>47</v>
      </c>
      <c r="E754" s="1" t="s">
        <v>23</v>
      </c>
      <c r="F754" s="1" t="s">
        <v>70</v>
      </c>
      <c r="G754" s="1" t="s">
        <v>71</v>
      </c>
      <c r="H754" s="1" t="s">
        <v>26</v>
      </c>
      <c r="I754" s="7">
        <v>45163</v>
      </c>
      <c r="J754" s="7">
        <v>45165</v>
      </c>
      <c r="K754" s="1">
        <v>2</v>
      </c>
      <c r="L754" s="1" t="s">
        <v>39</v>
      </c>
      <c r="M754" s="1" t="s">
        <v>40</v>
      </c>
      <c r="N754" s="1" t="s">
        <v>72</v>
      </c>
      <c r="O754" s="1" t="s">
        <v>55</v>
      </c>
      <c r="P754" s="29">
        <v>15102.65</v>
      </c>
      <c r="Q754" s="1" t="s">
        <v>170</v>
      </c>
      <c r="R754" s="1">
        <v>4</v>
      </c>
      <c r="S754" s="1">
        <v>457</v>
      </c>
      <c r="T754" s="1">
        <v>20.100000000000001</v>
      </c>
      <c r="U754" s="1" t="s">
        <v>32</v>
      </c>
      <c r="V754" s="17" t="s">
        <v>33</v>
      </c>
    </row>
    <row r="755" spans="1:22" ht="15" customHeight="1" x14ac:dyDescent="0.25">
      <c r="A755" s="16" t="s">
        <v>1537</v>
      </c>
      <c r="B755" s="3" t="s">
        <v>1538</v>
      </c>
      <c r="C755">
        <v>33</v>
      </c>
      <c r="D755" s="3" t="s">
        <v>47</v>
      </c>
      <c r="E755" s="3" t="s">
        <v>23</v>
      </c>
      <c r="F755" s="3" t="s">
        <v>70</v>
      </c>
      <c r="G755" s="3" t="s">
        <v>77</v>
      </c>
      <c r="H755" s="3" t="s">
        <v>78</v>
      </c>
      <c r="I755" s="6">
        <v>45242</v>
      </c>
      <c r="J755" s="8">
        <v>45282</v>
      </c>
      <c r="K755" s="3">
        <v>11</v>
      </c>
      <c r="L755" s="3" t="s">
        <v>231</v>
      </c>
      <c r="M755" s="3" t="s">
        <v>53</v>
      </c>
      <c r="N755" s="3" t="s">
        <v>84</v>
      </c>
      <c r="O755" s="3" t="s">
        <v>104</v>
      </c>
      <c r="P755" s="30">
        <v>13066.81</v>
      </c>
      <c r="Q755" s="3" t="s">
        <v>109</v>
      </c>
      <c r="R755" s="3">
        <v>9</v>
      </c>
      <c r="S755" s="3">
        <v>400</v>
      </c>
      <c r="T755" s="3">
        <v>34.9</v>
      </c>
      <c r="U755" s="3" t="s">
        <v>32</v>
      </c>
      <c r="V755" s="18" t="s">
        <v>33</v>
      </c>
    </row>
    <row r="756" spans="1:22" ht="15" customHeight="1" x14ac:dyDescent="0.25">
      <c r="A756" s="15" t="s">
        <v>1539</v>
      </c>
      <c r="B756" s="1" t="s">
        <v>1249</v>
      </c>
      <c r="C756">
        <v>81</v>
      </c>
      <c r="D756" s="1" t="s">
        <v>36</v>
      </c>
      <c r="E756" s="1" t="s">
        <v>48</v>
      </c>
      <c r="F756" s="1" t="s">
        <v>83</v>
      </c>
      <c r="G756" s="1" t="s">
        <v>71</v>
      </c>
      <c r="H756" s="1" t="s">
        <v>26</v>
      </c>
      <c r="I756" s="6">
        <v>44220</v>
      </c>
      <c r="J756" s="7">
        <v>44223</v>
      </c>
      <c r="K756" s="1">
        <v>3</v>
      </c>
      <c r="L756" s="1" t="s">
        <v>39</v>
      </c>
      <c r="M756" s="1" t="s">
        <v>40</v>
      </c>
      <c r="N756" s="1" t="s">
        <v>72</v>
      </c>
      <c r="O756" s="1" t="s">
        <v>30</v>
      </c>
      <c r="P756" s="29">
        <v>35020.15</v>
      </c>
      <c r="Q756" s="1" t="s">
        <v>178</v>
      </c>
      <c r="R756" s="1">
        <v>5</v>
      </c>
      <c r="S756" s="1">
        <v>162</v>
      </c>
      <c r="T756" s="1">
        <v>31.3</v>
      </c>
      <c r="U756" s="1" t="s">
        <v>86</v>
      </c>
      <c r="V756" s="17" t="s">
        <v>33</v>
      </c>
    </row>
    <row r="757" spans="1:22" ht="15" customHeight="1" x14ac:dyDescent="0.25">
      <c r="A757" s="16" t="s">
        <v>1540</v>
      </c>
      <c r="B757" s="3" t="s">
        <v>1541</v>
      </c>
      <c r="C757">
        <v>41</v>
      </c>
      <c r="D757" s="3" t="s">
        <v>98</v>
      </c>
      <c r="E757" s="3" t="s">
        <v>48</v>
      </c>
      <c r="F757" s="3" t="s">
        <v>155</v>
      </c>
      <c r="G757" s="3" t="s">
        <v>131</v>
      </c>
      <c r="H757" s="3" t="s">
        <v>51</v>
      </c>
      <c r="I757" s="6">
        <v>45243</v>
      </c>
      <c r="J757" s="8">
        <v>45248</v>
      </c>
      <c r="K757" s="3">
        <v>5</v>
      </c>
      <c r="L757" s="3" t="s">
        <v>39</v>
      </c>
      <c r="M757" s="3" t="s">
        <v>40</v>
      </c>
      <c r="N757" s="3" t="s">
        <v>157</v>
      </c>
      <c r="O757" s="3" t="s">
        <v>104</v>
      </c>
      <c r="P757" s="30">
        <v>14298.71</v>
      </c>
      <c r="Q757" s="3" t="s">
        <v>158</v>
      </c>
      <c r="R757" s="3">
        <v>6</v>
      </c>
      <c r="S757" s="3">
        <v>178</v>
      </c>
      <c r="T757" s="3">
        <v>23.5</v>
      </c>
      <c r="U757" s="3" t="s">
        <v>32</v>
      </c>
      <c r="V757" s="18" t="s">
        <v>33</v>
      </c>
    </row>
    <row r="758" spans="1:22" ht="15" customHeight="1" x14ac:dyDescent="0.25">
      <c r="A758" s="15" t="s">
        <v>1542</v>
      </c>
      <c r="B758" s="1" t="s">
        <v>1543</v>
      </c>
      <c r="C758">
        <v>68</v>
      </c>
      <c r="D758" s="1" t="s">
        <v>82</v>
      </c>
      <c r="E758" s="1" t="s">
        <v>23</v>
      </c>
      <c r="F758" s="1" t="s">
        <v>49</v>
      </c>
      <c r="G758" s="1" t="s">
        <v>38</v>
      </c>
      <c r="H758" s="1" t="s">
        <v>78</v>
      </c>
      <c r="I758" s="7">
        <v>45393</v>
      </c>
      <c r="J758" s="7">
        <v>45398</v>
      </c>
      <c r="K758" s="1">
        <v>5</v>
      </c>
      <c r="L758" s="1" t="s">
        <v>185</v>
      </c>
      <c r="M758" s="1" t="s">
        <v>186</v>
      </c>
      <c r="N758" s="1" t="s">
        <v>173</v>
      </c>
      <c r="O758" s="1" t="s">
        <v>30</v>
      </c>
      <c r="P758" s="29">
        <v>23661.94</v>
      </c>
      <c r="Q758" s="1" t="s">
        <v>567</v>
      </c>
      <c r="R758" s="1">
        <v>8</v>
      </c>
      <c r="S758" s="1">
        <v>469</v>
      </c>
      <c r="T758" s="1">
        <v>23.7</v>
      </c>
      <c r="U758" s="1" t="s">
        <v>44</v>
      </c>
      <c r="V758" s="17" t="s">
        <v>33</v>
      </c>
    </row>
    <row r="759" spans="1:22" ht="15" customHeight="1" x14ac:dyDescent="0.25">
      <c r="A759" s="16" t="s">
        <v>1544</v>
      </c>
      <c r="B759" s="2" t="s">
        <v>3624</v>
      </c>
      <c r="C759">
        <v>42</v>
      </c>
      <c r="D759" s="3" t="s">
        <v>98</v>
      </c>
      <c r="E759" s="3" t="s">
        <v>23</v>
      </c>
      <c r="F759" s="3" t="s">
        <v>49</v>
      </c>
      <c r="G759" s="3" t="s">
        <v>71</v>
      </c>
      <c r="H759" s="3" t="s">
        <v>26</v>
      </c>
      <c r="I759" s="8">
        <v>44154</v>
      </c>
      <c r="J759" s="8">
        <v>44160</v>
      </c>
      <c r="K759" s="3">
        <v>6</v>
      </c>
      <c r="L759" s="3" t="s">
        <v>27</v>
      </c>
      <c r="M759" s="3" t="s">
        <v>28</v>
      </c>
      <c r="N759" s="3" t="s">
        <v>177</v>
      </c>
      <c r="O759" s="3" t="s">
        <v>30</v>
      </c>
      <c r="P759" s="30">
        <v>18458.34</v>
      </c>
      <c r="Q759" s="3" t="s">
        <v>73</v>
      </c>
      <c r="R759" s="3">
        <v>5</v>
      </c>
      <c r="S759" s="3">
        <v>363</v>
      </c>
      <c r="T759" s="3">
        <v>17.8</v>
      </c>
      <c r="U759" s="3" t="s">
        <v>32</v>
      </c>
      <c r="V759" s="18" t="s">
        <v>33</v>
      </c>
    </row>
    <row r="760" spans="1:22" ht="15" customHeight="1" x14ac:dyDescent="0.25">
      <c r="A760" s="15" t="s">
        <v>1545</v>
      </c>
      <c r="B760" s="1" t="s">
        <v>1546</v>
      </c>
      <c r="C760">
        <v>11</v>
      </c>
      <c r="D760" s="1" t="s">
        <v>22</v>
      </c>
      <c r="E760" s="1" t="s">
        <v>23</v>
      </c>
      <c r="F760" s="1" t="s">
        <v>83</v>
      </c>
      <c r="G760" s="1" t="s">
        <v>60</v>
      </c>
      <c r="H760" s="1" t="s">
        <v>51</v>
      </c>
      <c r="I760" s="7">
        <v>44776</v>
      </c>
      <c r="J760" s="7">
        <v>44689</v>
      </c>
      <c r="K760" s="1">
        <v>2</v>
      </c>
      <c r="L760" s="1" t="s">
        <v>27</v>
      </c>
      <c r="M760" s="1" t="s">
        <v>28</v>
      </c>
      <c r="N760" s="1" t="s">
        <v>210</v>
      </c>
      <c r="O760" s="1" t="s">
        <v>42</v>
      </c>
      <c r="P760" s="29">
        <v>20923.73</v>
      </c>
      <c r="Q760" s="1" t="s">
        <v>170</v>
      </c>
      <c r="R760" s="1">
        <v>6</v>
      </c>
      <c r="S760" s="1">
        <v>178</v>
      </c>
      <c r="T760" s="4"/>
      <c r="U760" s="1" t="s">
        <v>32</v>
      </c>
      <c r="V760" s="17" t="s">
        <v>33</v>
      </c>
    </row>
    <row r="761" spans="1:22" ht="15" customHeight="1" x14ac:dyDescent="0.25">
      <c r="A761" s="16" t="s">
        <v>1547</v>
      </c>
      <c r="B761" s="3" t="s">
        <v>1548</v>
      </c>
      <c r="C761">
        <v>67</v>
      </c>
      <c r="D761" s="3" t="s">
        <v>82</v>
      </c>
      <c r="E761" s="3" t="s">
        <v>23</v>
      </c>
      <c r="F761" s="3" t="s">
        <v>99</v>
      </c>
      <c r="G761" s="3" t="s">
        <v>77</v>
      </c>
      <c r="H761" s="3" t="s">
        <v>51</v>
      </c>
      <c r="I761" s="8">
        <v>44887</v>
      </c>
      <c r="J761" s="8">
        <v>44891</v>
      </c>
      <c r="K761" s="3">
        <v>4</v>
      </c>
      <c r="L761" s="3" t="s">
        <v>52</v>
      </c>
      <c r="M761" s="3" t="s">
        <v>53</v>
      </c>
      <c r="N761" s="3" t="s">
        <v>94</v>
      </c>
      <c r="O761" s="3" t="s">
        <v>42</v>
      </c>
      <c r="P761" s="30">
        <v>19991.330000000002</v>
      </c>
      <c r="Q761" s="3" t="s">
        <v>223</v>
      </c>
      <c r="R761" s="3">
        <v>7</v>
      </c>
      <c r="S761" s="3">
        <v>119</v>
      </c>
      <c r="T761" s="3">
        <v>27.2</v>
      </c>
      <c r="U761" s="3" t="s">
        <v>44</v>
      </c>
      <c r="V761" s="18" t="s">
        <v>33</v>
      </c>
    </row>
    <row r="762" spans="1:22" ht="15" customHeight="1" x14ac:dyDescent="0.25">
      <c r="A762" s="15" t="s">
        <v>1549</v>
      </c>
      <c r="B762" s="1" t="s">
        <v>1550</v>
      </c>
      <c r="C762">
        <v>48</v>
      </c>
      <c r="D762" s="1" t="s">
        <v>98</v>
      </c>
      <c r="E762" s="1" t="s">
        <v>23</v>
      </c>
      <c r="F762" s="1" t="s">
        <v>24</v>
      </c>
      <c r="G762" s="1" t="s">
        <v>417</v>
      </c>
      <c r="H762" s="1" t="s">
        <v>26</v>
      </c>
      <c r="I762" s="7">
        <v>44985</v>
      </c>
      <c r="J762" s="7">
        <v>44991</v>
      </c>
      <c r="K762" s="1">
        <v>6</v>
      </c>
      <c r="L762" s="1" t="s">
        <v>52</v>
      </c>
      <c r="M762" s="1" t="s">
        <v>53</v>
      </c>
      <c r="N762" s="1" t="s">
        <v>41</v>
      </c>
      <c r="O762" s="1" t="s">
        <v>30</v>
      </c>
      <c r="P762" s="29">
        <v>25526.65</v>
      </c>
      <c r="Q762" s="1" t="s">
        <v>305</v>
      </c>
      <c r="R762" s="1">
        <v>6</v>
      </c>
      <c r="S762" s="1">
        <v>237</v>
      </c>
      <c r="T762" s="1">
        <v>24.4</v>
      </c>
      <c r="U762" s="1" t="s">
        <v>44</v>
      </c>
      <c r="V762" s="17" t="s">
        <v>33</v>
      </c>
    </row>
    <row r="763" spans="1:22" ht="15" customHeight="1" x14ac:dyDescent="0.25">
      <c r="A763" s="16" t="s">
        <v>1551</v>
      </c>
      <c r="B763" s="3" t="s">
        <v>1552</v>
      </c>
      <c r="C763">
        <v>52</v>
      </c>
      <c r="D763" s="3" t="s">
        <v>98</v>
      </c>
      <c r="E763" s="3" t="s">
        <v>48</v>
      </c>
      <c r="F763" s="2" t="s">
        <v>3714</v>
      </c>
      <c r="G763" s="3" t="s">
        <v>71</v>
      </c>
      <c r="H763" s="3" t="s">
        <v>51</v>
      </c>
      <c r="I763" s="8">
        <v>43499</v>
      </c>
      <c r="J763" s="8">
        <v>43501</v>
      </c>
      <c r="K763" s="3">
        <v>2</v>
      </c>
      <c r="L763" s="3" t="s">
        <v>52</v>
      </c>
      <c r="M763" s="3" t="s">
        <v>53</v>
      </c>
      <c r="N763" s="3" t="s">
        <v>177</v>
      </c>
      <c r="O763" s="3" t="s">
        <v>30</v>
      </c>
      <c r="P763" s="30">
        <v>12854.66</v>
      </c>
      <c r="Q763" s="3" t="s">
        <v>178</v>
      </c>
      <c r="R763" s="3">
        <v>5</v>
      </c>
      <c r="S763" s="3">
        <v>175</v>
      </c>
      <c r="T763" s="3">
        <v>27.9</v>
      </c>
      <c r="U763" s="3" t="s">
        <v>32</v>
      </c>
      <c r="V763" s="18" t="s">
        <v>45</v>
      </c>
    </row>
    <row r="764" spans="1:22" ht="15" customHeight="1" x14ac:dyDescent="0.25">
      <c r="A764" s="15" t="s">
        <v>1553</v>
      </c>
      <c r="B764" s="1" t="s">
        <v>1554</v>
      </c>
      <c r="C764">
        <v>84</v>
      </c>
      <c r="D764" s="1" t="s">
        <v>36</v>
      </c>
      <c r="E764" s="1" t="s">
        <v>48</v>
      </c>
      <c r="F764" s="1" t="s">
        <v>99</v>
      </c>
      <c r="G764" s="1" t="s">
        <v>38</v>
      </c>
      <c r="H764" s="1" t="s">
        <v>51</v>
      </c>
      <c r="I764" s="7">
        <v>44523</v>
      </c>
      <c r="J764" s="7">
        <v>44528</v>
      </c>
      <c r="K764" s="1">
        <v>5</v>
      </c>
      <c r="L764" s="1" t="s">
        <v>102</v>
      </c>
      <c r="M764" s="1" t="s">
        <v>28</v>
      </c>
      <c r="N764" s="1" t="s">
        <v>173</v>
      </c>
      <c r="O764" s="1" t="s">
        <v>104</v>
      </c>
      <c r="P764" s="29">
        <v>24161</v>
      </c>
      <c r="Q764" s="1" t="s">
        <v>305</v>
      </c>
      <c r="R764" s="1">
        <v>8</v>
      </c>
      <c r="S764" s="1">
        <v>157</v>
      </c>
      <c r="T764" s="1">
        <v>45.7</v>
      </c>
      <c r="U764" s="1" t="s">
        <v>44</v>
      </c>
      <c r="V764" s="17" t="s">
        <v>33</v>
      </c>
    </row>
    <row r="765" spans="1:22" ht="15" customHeight="1" x14ac:dyDescent="0.25">
      <c r="A765" s="16" t="s">
        <v>1555</v>
      </c>
      <c r="B765" s="3" t="s">
        <v>88</v>
      </c>
      <c r="C765">
        <v>65</v>
      </c>
      <c r="D765" s="3" t="s">
        <v>82</v>
      </c>
      <c r="E765" s="3" t="s">
        <v>48</v>
      </c>
      <c r="F765" s="3" t="s">
        <v>24</v>
      </c>
      <c r="G765" s="3" t="s">
        <v>38</v>
      </c>
      <c r="H765" s="3" t="s">
        <v>51</v>
      </c>
      <c r="I765" s="8">
        <v>44664</v>
      </c>
      <c r="J765" s="8">
        <v>44668</v>
      </c>
      <c r="K765" s="3">
        <v>4</v>
      </c>
      <c r="L765" s="3" t="s">
        <v>102</v>
      </c>
      <c r="M765" s="3" t="s">
        <v>28</v>
      </c>
      <c r="N765" s="3" t="s">
        <v>203</v>
      </c>
      <c r="O765" s="3" t="s">
        <v>66</v>
      </c>
      <c r="P765" s="30">
        <v>37794.21</v>
      </c>
      <c r="Q765" s="3" t="s">
        <v>174</v>
      </c>
      <c r="R765" s="3">
        <v>8</v>
      </c>
      <c r="S765" s="3">
        <v>182</v>
      </c>
      <c r="T765" s="3">
        <v>30.5</v>
      </c>
      <c r="U765" s="3" t="s">
        <v>44</v>
      </c>
      <c r="V765" s="18" t="s">
        <v>33</v>
      </c>
    </row>
    <row r="766" spans="1:22" ht="15" customHeight="1" x14ac:dyDescent="0.25">
      <c r="A766" s="15" t="s">
        <v>1556</v>
      </c>
      <c r="B766" s="1" t="s">
        <v>605</v>
      </c>
      <c r="C766">
        <v>90</v>
      </c>
      <c r="D766" s="1" t="s">
        <v>36</v>
      </c>
      <c r="E766" s="1" t="s">
        <v>23</v>
      </c>
      <c r="F766" s="1" t="s">
        <v>76</v>
      </c>
      <c r="G766" s="1" t="s">
        <v>25</v>
      </c>
      <c r="H766" s="1" t="s">
        <v>51</v>
      </c>
      <c r="I766" s="7">
        <v>45397</v>
      </c>
      <c r="J766" s="7">
        <v>45411</v>
      </c>
      <c r="K766" s="1">
        <v>14</v>
      </c>
      <c r="L766" s="1" t="s">
        <v>89</v>
      </c>
      <c r="M766" s="1" t="s">
        <v>90</v>
      </c>
      <c r="N766" s="1" t="s">
        <v>65</v>
      </c>
      <c r="O766" s="1" t="s">
        <v>55</v>
      </c>
      <c r="P766" s="29">
        <v>64580</v>
      </c>
      <c r="Q766" s="1" t="s">
        <v>31</v>
      </c>
      <c r="R766" s="1">
        <v>12</v>
      </c>
      <c r="S766" s="1">
        <v>138</v>
      </c>
      <c r="T766" s="1">
        <v>22.7</v>
      </c>
      <c r="U766" s="1" t="s">
        <v>86</v>
      </c>
      <c r="V766" s="17" t="s">
        <v>33</v>
      </c>
    </row>
    <row r="767" spans="1:22" ht="15" customHeight="1" x14ac:dyDescent="0.25">
      <c r="A767" s="16" t="s">
        <v>1557</v>
      </c>
      <c r="B767" s="3" t="s">
        <v>1558</v>
      </c>
      <c r="C767">
        <v>44</v>
      </c>
      <c r="D767" s="3" t="s">
        <v>98</v>
      </c>
      <c r="E767" s="3" t="s">
        <v>48</v>
      </c>
      <c r="F767" s="3" t="s">
        <v>76</v>
      </c>
      <c r="G767" s="3" t="s">
        <v>50</v>
      </c>
      <c r="H767" s="3" t="s">
        <v>26</v>
      </c>
      <c r="I767" s="6">
        <v>43812</v>
      </c>
      <c r="J767" s="8">
        <v>43829</v>
      </c>
      <c r="K767" s="3">
        <v>17</v>
      </c>
      <c r="L767" s="3" t="s">
        <v>102</v>
      </c>
      <c r="M767" s="3" t="s">
        <v>28</v>
      </c>
      <c r="N767" s="3" t="s">
        <v>126</v>
      </c>
      <c r="O767" s="3" t="s">
        <v>30</v>
      </c>
      <c r="P767" s="30">
        <v>48799.41</v>
      </c>
      <c r="Q767" s="3" t="s">
        <v>127</v>
      </c>
      <c r="R767" s="3">
        <v>9</v>
      </c>
      <c r="S767" s="3">
        <v>348</v>
      </c>
      <c r="T767" s="3">
        <v>26.2</v>
      </c>
      <c r="U767" s="3" t="s">
        <v>32</v>
      </c>
      <c r="V767" s="18" t="s">
        <v>33</v>
      </c>
    </row>
    <row r="768" spans="1:22" ht="15" customHeight="1" x14ac:dyDescent="0.25">
      <c r="A768" s="15" t="s">
        <v>1559</v>
      </c>
      <c r="B768" s="1" t="s">
        <v>1560</v>
      </c>
      <c r="C768">
        <v>41</v>
      </c>
      <c r="D768" s="1" t="s">
        <v>98</v>
      </c>
      <c r="E768" s="1" t="s">
        <v>48</v>
      </c>
      <c r="F768" s="1" t="s">
        <v>49</v>
      </c>
      <c r="G768" s="1" t="s">
        <v>131</v>
      </c>
      <c r="H768" s="1" t="s">
        <v>26</v>
      </c>
      <c r="I768" s="6">
        <v>45012</v>
      </c>
      <c r="J768" s="7">
        <v>45027</v>
      </c>
      <c r="K768" s="1">
        <v>15</v>
      </c>
      <c r="L768" s="1" t="s">
        <v>89</v>
      </c>
      <c r="M768" s="1" t="s">
        <v>90</v>
      </c>
      <c r="N768" s="1" t="s">
        <v>147</v>
      </c>
      <c r="O768" s="1" t="s">
        <v>30</v>
      </c>
      <c r="P768" s="29">
        <v>17759.84</v>
      </c>
      <c r="Q768" s="1" t="s">
        <v>695</v>
      </c>
      <c r="R768" s="1">
        <v>7</v>
      </c>
      <c r="S768" s="1">
        <v>335</v>
      </c>
      <c r="T768" s="1">
        <v>28.1</v>
      </c>
      <c r="U768" s="1" t="s">
        <v>44</v>
      </c>
      <c r="V768" s="17" t="s">
        <v>33</v>
      </c>
    </row>
    <row r="769" spans="1:22" ht="15" customHeight="1" x14ac:dyDescent="0.25">
      <c r="A769" s="16" t="s">
        <v>1561</v>
      </c>
      <c r="B769" s="3" t="s">
        <v>1106</v>
      </c>
      <c r="C769">
        <v>57</v>
      </c>
      <c r="D769" s="3" t="s">
        <v>59</v>
      </c>
      <c r="E769" s="3" t="s">
        <v>23</v>
      </c>
      <c r="F769" s="3" t="s">
        <v>24</v>
      </c>
      <c r="G769" s="3" t="s">
        <v>77</v>
      </c>
      <c r="H769" s="3" t="s">
        <v>26</v>
      </c>
      <c r="I769" s="6">
        <v>45466</v>
      </c>
      <c r="J769" s="8">
        <v>45480</v>
      </c>
      <c r="K769" s="3">
        <v>14</v>
      </c>
      <c r="L769" s="3" t="s">
        <v>122</v>
      </c>
      <c r="M769" s="3" t="s">
        <v>40</v>
      </c>
      <c r="N769" s="3" t="s">
        <v>79</v>
      </c>
      <c r="O769" s="3" t="s">
        <v>104</v>
      </c>
      <c r="P769" s="30">
        <v>82222.13</v>
      </c>
      <c r="Q769" s="3" t="s">
        <v>100</v>
      </c>
      <c r="R769" s="3">
        <v>10</v>
      </c>
      <c r="S769" s="3">
        <v>332</v>
      </c>
      <c r="T769" s="3">
        <v>35.299999999999997</v>
      </c>
      <c r="U769" s="3" t="s">
        <v>86</v>
      </c>
      <c r="V769" s="18" t="s">
        <v>33</v>
      </c>
    </row>
    <row r="770" spans="1:22" ht="15" customHeight="1" x14ac:dyDescent="0.25">
      <c r="A770" s="15" t="s">
        <v>1562</v>
      </c>
      <c r="B770" s="2" t="s">
        <v>3570</v>
      </c>
      <c r="C770">
        <v>62</v>
      </c>
      <c r="D770" s="1" t="s">
        <v>59</v>
      </c>
      <c r="E770" s="1" t="s">
        <v>23</v>
      </c>
      <c r="F770" s="1" t="s">
        <v>99</v>
      </c>
      <c r="G770" s="1" t="s">
        <v>50</v>
      </c>
      <c r="H770" s="1" t="s">
        <v>26</v>
      </c>
      <c r="I770" s="7">
        <v>44918</v>
      </c>
      <c r="J770" s="7">
        <v>44924</v>
      </c>
      <c r="K770" s="1">
        <v>6</v>
      </c>
      <c r="L770" s="1" t="s">
        <v>112</v>
      </c>
      <c r="M770" s="1" t="s">
        <v>40</v>
      </c>
      <c r="N770" s="1" t="s">
        <v>116</v>
      </c>
      <c r="O770" s="1" t="s">
        <v>30</v>
      </c>
      <c r="P770" s="29">
        <v>116736.87</v>
      </c>
      <c r="Q770" s="1" t="s">
        <v>623</v>
      </c>
      <c r="R770" s="1">
        <v>9</v>
      </c>
      <c r="S770" s="1">
        <v>347</v>
      </c>
      <c r="T770" s="4"/>
      <c r="U770" s="1" t="s">
        <v>44</v>
      </c>
      <c r="V770" s="17" t="s">
        <v>33</v>
      </c>
    </row>
    <row r="771" spans="1:22" ht="15" customHeight="1" x14ac:dyDescent="0.25">
      <c r="A771" s="16" t="s">
        <v>1563</v>
      </c>
      <c r="B771" s="3" t="s">
        <v>206</v>
      </c>
      <c r="C771">
        <v>70</v>
      </c>
      <c r="D771" s="3" t="s">
        <v>82</v>
      </c>
      <c r="E771" s="3" t="s">
        <v>23</v>
      </c>
      <c r="F771" s="3" t="s">
        <v>24</v>
      </c>
      <c r="G771" s="3" t="s">
        <v>163</v>
      </c>
      <c r="H771" s="3" t="s">
        <v>78</v>
      </c>
      <c r="I771" s="6">
        <v>43999</v>
      </c>
      <c r="J771" s="8">
        <v>44005</v>
      </c>
      <c r="K771" s="3">
        <v>6</v>
      </c>
      <c r="L771" s="3" t="s">
        <v>39</v>
      </c>
      <c r="M771" s="3" t="s">
        <v>40</v>
      </c>
      <c r="N771" s="3" t="s">
        <v>164</v>
      </c>
      <c r="O771" s="3" t="s">
        <v>30</v>
      </c>
      <c r="P771" s="30">
        <v>18815.7</v>
      </c>
      <c r="Q771" s="3" t="s">
        <v>382</v>
      </c>
      <c r="R771" s="3">
        <v>4</v>
      </c>
      <c r="S771" s="3">
        <v>140</v>
      </c>
      <c r="T771" s="3">
        <v>25.8</v>
      </c>
      <c r="U771" s="3" t="s">
        <v>32</v>
      </c>
      <c r="V771" s="18" t="s">
        <v>33</v>
      </c>
    </row>
    <row r="772" spans="1:22" ht="15" customHeight="1" x14ac:dyDescent="0.25">
      <c r="A772" s="15" t="s">
        <v>1564</v>
      </c>
      <c r="B772" s="2" t="s">
        <v>3625</v>
      </c>
      <c r="C772">
        <v>60</v>
      </c>
      <c r="D772" s="1" t="s">
        <v>59</v>
      </c>
      <c r="E772" s="1" t="s">
        <v>48</v>
      </c>
      <c r="F772" s="1" t="s">
        <v>70</v>
      </c>
      <c r="G772" s="1" t="s">
        <v>25</v>
      </c>
      <c r="H772" s="1" t="s">
        <v>51</v>
      </c>
      <c r="I772" s="6">
        <v>44744</v>
      </c>
      <c r="J772" s="7">
        <v>44608</v>
      </c>
      <c r="K772" s="1">
        <v>9</v>
      </c>
      <c r="L772" s="1" t="s">
        <v>39</v>
      </c>
      <c r="M772" s="1" t="s">
        <v>40</v>
      </c>
      <c r="N772" s="1" t="s">
        <v>65</v>
      </c>
      <c r="O772" s="1" t="s">
        <v>104</v>
      </c>
      <c r="P772" s="29">
        <v>16668.64</v>
      </c>
      <c r="Q772" s="1" t="s">
        <v>198</v>
      </c>
      <c r="R772" s="1">
        <v>10</v>
      </c>
      <c r="S772" s="1">
        <v>102</v>
      </c>
      <c r="T772" s="1">
        <v>21.6</v>
      </c>
      <c r="U772" s="1" t="s">
        <v>44</v>
      </c>
      <c r="V772" s="17" t="s">
        <v>45</v>
      </c>
    </row>
    <row r="773" spans="1:22" ht="15" customHeight="1" x14ac:dyDescent="0.25">
      <c r="A773" s="16" t="s">
        <v>1565</v>
      </c>
      <c r="B773" s="3" t="s">
        <v>1566</v>
      </c>
      <c r="C773">
        <v>70</v>
      </c>
      <c r="D773" s="3" t="s">
        <v>82</v>
      </c>
      <c r="E773" s="3" t="s">
        <v>23</v>
      </c>
      <c r="F773" s="3" t="s">
        <v>99</v>
      </c>
      <c r="G773" s="3" t="s">
        <v>131</v>
      </c>
      <c r="H773" s="3" t="s">
        <v>51</v>
      </c>
      <c r="I773" s="6">
        <v>44528</v>
      </c>
      <c r="J773" s="8">
        <v>44531</v>
      </c>
      <c r="K773" s="3">
        <v>3</v>
      </c>
      <c r="L773" s="3" t="s">
        <v>231</v>
      </c>
      <c r="M773" s="3" t="s">
        <v>53</v>
      </c>
      <c r="N773" s="3" t="s">
        <v>133</v>
      </c>
      <c r="O773" s="3" t="s">
        <v>42</v>
      </c>
      <c r="P773" s="30">
        <v>18277.25</v>
      </c>
      <c r="Q773" s="3" t="s">
        <v>148</v>
      </c>
      <c r="R773" s="3">
        <v>6</v>
      </c>
      <c r="S773" s="3">
        <v>127</v>
      </c>
      <c r="T773" s="3">
        <v>30.6</v>
      </c>
      <c r="U773" s="3" t="s">
        <v>44</v>
      </c>
      <c r="V773" s="18" t="s">
        <v>33</v>
      </c>
    </row>
    <row r="774" spans="1:22" ht="15" customHeight="1" x14ac:dyDescent="0.25">
      <c r="A774" s="15" t="s">
        <v>1567</v>
      </c>
      <c r="B774" s="1" t="s">
        <v>1568</v>
      </c>
      <c r="C774">
        <v>57</v>
      </c>
      <c r="D774" s="1" t="s">
        <v>59</v>
      </c>
      <c r="E774" s="1" t="s">
        <v>23</v>
      </c>
      <c r="F774" s="1" t="s">
        <v>49</v>
      </c>
      <c r="G774" s="1" t="s">
        <v>163</v>
      </c>
      <c r="H774" s="1" t="s">
        <v>51</v>
      </c>
      <c r="I774" s="7">
        <v>43534</v>
      </c>
      <c r="J774" s="7">
        <v>43536</v>
      </c>
      <c r="K774" s="1">
        <v>2</v>
      </c>
      <c r="L774" s="1" t="s">
        <v>122</v>
      </c>
      <c r="M774" s="1" t="s">
        <v>40</v>
      </c>
      <c r="N774" s="1" t="s">
        <v>213</v>
      </c>
      <c r="O774" s="1" t="s">
        <v>30</v>
      </c>
      <c r="P774" s="29">
        <v>23077.599999999999</v>
      </c>
      <c r="Q774" s="1" t="s">
        <v>234</v>
      </c>
      <c r="R774" s="1">
        <v>2</v>
      </c>
      <c r="S774" s="1">
        <v>109</v>
      </c>
      <c r="T774" s="1">
        <v>31.7</v>
      </c>
      <c r="U774" s="1" t="s">
        <v>32</v>
      </c>
      <c r="V774" s="17" t="s">
        <v>33</v>
      </c>
    </row>
    <row r="775" spans="1:22" ht="15" customHeight="1" x14ac:dyDescent="0.25">
      <c r="A775" s="16" t="s">
        <v>1569</v>
      </c>
      <c r="B775" s="3" t="s">
        <v>1570</v>
      </c>
      <c r="C775">
        <v>48</v>
      </c>
      <c r="D775" s="3" t="s">
        <v>98</v>
      </c>
      <c r="E775" s="3" t="s">
        <v>48</v>
      </c>
      <c r="F775" s="3" t="s">
        <v>70</v>
      </c>
      <c r="G775" s="3" t="s">
        <v>38</v>
      </c>
      <c r="H775" s="3" t="s">
        <v>51</v>
      </c>
      <c r="I775" s="8">
        <v>44153</v>
      </c>
      <c r="J775" s="8">
        <v>44155</v>
      </c>
      <c r="K775" s="3">
        <v>2</v>
      </c>
      <c r="L775" s="3" t="s">
        <v>52</v>
      </c>
      <c r="M775" s="3" t="s">
        <v>53</v>
      </c>
      <c r="N775" s="3" t="s">
        <v>173</v>
      </c>
      <c r="O775" s="3" t="s">
        <v>66</v>
      </c>
      <c r="P775" s="30">
        <v>13946.82</v>
      </c>
      <c r="Q775" s="3" t="s">
        <v>43</v>
      </c>
      <c r="R775" s="3">
        <v>8</v>
      </c>
      <c r="S775" s="3">
        <v>114</v>
      </c>
      <c r="T775" s="3">
        <v>23.7</v>
      </c>
      <c r="U775" s="3" t="s">
        <v>86</v>
      </c>
      <c r="V775" s="18" t="s">
        <v>33</v>
      </c>
    </row>
    <row r="776" spans="1:22" ht="15" customHeight="1" x14ac:dyDescent="0.25">
      <c r="A776" s="15" t="s">
        <v>1571</v>
      </c>
      <c r="B776" s="1" t="s">
        <v>1572</v>
      </c>
      <c r="C776">
        <v>38</v>
      </c>
      <c r="D776" s="1" t="s">
        <v>98</v>
      </c>
      <c r="E776" s="1" t="s">
        <v>23</v>
      </c>
      <c r="F776" s="1" t="s">
        <v>49</v>
      </c>
      <c r="G776" s="1" t="s">
        <v>77</v>
      </c>
      <c r="H776" s="1" t="s">
        <v>51</v>
      </c>
      <c r="I776" s="6">
        <v>44269</v>
      </c>
      <c r="J776" s="7">
        <v>44276</v>
      </c>
      <c r="K776" s="1">
        <v>7</v>
      </c>
      <c r="L776" s="1" t="s">
        <v>52</v>
      </c>
      <c r="M776" s="1" t="s">
        <v>53</v>
      </c>
      <c r="N776" s="1" t="s">
        <v>94</v>
      </c>
      <c r="O776" s="1" t="s">
        <v>30</v>
      </c>
      <c r="P776" s="29">
        <v>15543.39</v>
      </c>
      <c r="Q776" s="1" t="s">
        <v>80</v>
      </c>
      <c r="R776" s="1">
        <v>10</v>
      </c>
      <c r="S776" s="1">
        <v>160</v>
      </c>
      <c r="T776" s="1">
        <v>31</v>
      </c>
      <c r="U776" s="1" t="s">
        <v>32</v>
      </c>
      <c r="V776" s="17" t="s">
        <v>33</v>
      </c>
    </row>
    <row r="777" spans="1:22" ht="15" customHeight="1" x14ac:dyDescent="0.25">
      <c r="A777" s="16" t="s">
        <v>1573</v>
      </c>
      <c r="B777" s="3" t="s">
        <v>206</v>
      </c>
      <c r="C777">
        <v>58</v>
      </c>
      <c r="D777" s="3" t="s">
        <v>59</v>
      </c>
      <c r="E777" s="3" t="s">
        <v>23</v>
      </c>
      <c r="F777" s="3" t="s">
        <v>70</v>
      </c>
      <c r="G777" s="3" t="s">
        <v>131</v>
      </c>
      <c r="H777" s="3" t="s">
        <v>26</v>
      </c>
      <c r="I777" s="8">
        <v>44479</v>
      </c>
      <c r="J777" s="8">
        <v>44482</v>
      </c>
      <c r="K777" s="3">
        <v>3</v>
      </c>
      <c r="L777" s="3" t="s">
        <v>231</v>
      </c>
      <c r="M777" s="3" t="s">
        <v>53</v>
      </c>
      <c r="N777" s="3" t="s">
        <v>147</v>
      </c>
      <c r="O777" s="3" t="s">
        <v>55</v>
      </c>
      <c r="P777" s="30">
        <v>67717.03</v>
      </c>
      <c r="Q777" s="3" t="s">
        <v>158</v>
      </c>
      <c r="R777" s="3">
        <v>6</v>
      </c>
      <c r="S777" s="3">
        <v>341</v>
      </c>
      <c r="T777" s="3">
        <v>25</v>
      </c>
      <c r="U777" s="3" t="s">
        <v>44</v>
      </c>
      <c r="V777" s="18" t="s">
        <v>33</v>
      </c>
    </row>
    <row r="778" spans="1:22" ht="15" customHeight="1" x14ac:dyDescent="0.25">
      <c r="A778" s="15" t="s">
        <v>1574</v>
      </c>
      <c r="B778" s="1" t="s">
        <v>1575</v>
      </c>
      <c r="C778">
        <v>53</v>
      </c>
      <c r="D778" s="1" t="s">
        <v>98</v>
      </c>
      <c r="E778" s="1" t="s">
        <v>23</v>
      </c>
      <c r="F778" s="1" t="s">
        <v>37</v>
      </c>
      <c r="G778" s="1" t="s">
        <v>163</v>
      </c>
      <c r="H778" s="1" t="s">
        <v>51</v>
      </c>
      <c r="I778" s="6">
        <v>43536</v>
      </c>
      <c r="J778" s="7">
        <v>43806</v>
      </c>
      <c r="K778" s="1">
        <v>4</v>
      </c>
      <c r="L778" s="1" t="s">
        <v>52</v>
      </c>
      <c r="M778" s="1" t="s">
        <v>53</v>
      </c>
      <c r="N778" s="1" t="s">
        <v>164</v>
      </c>
      <c r="O778" s="1" t="s">
        <v>30</v>
      </c>
      <c r="P778" s="29">
        <v>34590.89</v>
      </c>
      <c r="Q778" s="1" t="s">
        <v>257</v>
      </c>
      <c r="R778" s="1">
        <v>5</v>
      </c>
      <c r="S778" s="1">
        <v>181</v>
      </c>
      <c r="T778" s="1">
        <v>27.3</v>
      </c>
      <c r="U778" s="1" t="s">
        <v>32</v>
      </c>
      <c r="V778" s="17" t="s">
        <v>33</v>
      </c>
    </row>
    <row r="779" spans="1:22" ht="15" customHeight="1" x14ac:dyDescent="0.25">
      <c r="A779" s="16" t="s">
        <v>1576</v>
      </c>
      <c r="B779" s="2" t="s">
        <v>3626</v>
      </c>
      <c r="C779">
        <v>74</v>
      </c>
      <c r="D779" s="3" t="s">
        <v>82</v>
      </c>
      <c r="E779" s="3" t="s">
        <v>23</v>
      </c>
      <c r="F779" s="3" t="s">
        <v>76</v>
      </c>
      <c r="G779" s="3" t="s">
        <v>77</v>
      </c>
      <c r="H779" s="3" t="s">
        <v>51</v>
      </c>
      <c r="I779" s="8">
        <v>43481</v>
      </c>
      <c r="J779" s="8">
        <v>43488</v>
      </c>
      <c r="K779" s="3">
        <v>7</v>
      </c>
      <c r="L779" s="3" t="s">
        <v>231</v>
      </c>
      <c r="M779" s="3" t="s">
        <v>53</v>
      </c>
      <c r="N779" s="3" t="s">
        <v>79</v>
      </c>
      <c r="O779" s="3" t="s">
        <v>42</v>
      </c>
      <c r="P779" s="30">
        <v>60729.18</v>
      </c>
      <c r="Q779" s="3" t="s">
        <v>80</v>
      </c>
      <c r="R779" s="3">
        <v>10</v>
      </c>
      <c r="S779" s="3">
        <v>171</v>
      </c>
      <c r="T779" s="3">
        <v>31.2</v>
      </c>
      <c r="U779" s="3" t="s">
        <v>86</v>
      </c>
      <c r="V779" s="18" t="s">
        <v>33</v>
      </c>
    </row>
    <row r="780" spans="1:22" ht="15" customHeight="1" x14ac:dyDescent="0.25">
      <c r="A780" s="15" t="s">
        <v>1577</v>
      </c>
      <c r="B780" s="2" t="s">
        <v>2827</v>
      </c>
      <c r="C780">
        <v>55</v>
      </c>
      <c r="D780" s="1" t="s">
        <v>59</v>
      </c>
      <c r="E780" s="1" t="s">
        <v>23</v>
      </c>
      <c r="F780" s="1" t="s">
        <v>24</v>
      </c>
      <c r="G780" s="1" t="s">
        <v>77</v>
      </c>
      <c r="H780" s="1" t="s">
        <v>26</v>
      </c>
      <c r="I780" s="7">
        <v>43645</v>
      </c>
      <c r="J780" s="7">
        <v>43650</v>
      </c>
      <c r="K780" s="1">
        <v>5</v>
      </c>
      <c r="L780" s="1" t="s">
        <v>112</v>
      </c>
      <c r="M780" s="1" t="s">
        <v>40</v>
      </c>
      <c r="N780" s="1" t="s">
        <v>94</v>
      </c>
      <c r="O780" s="1" t="s">
        <v>66</v>
      </c>
      <c r="P780" s="29">
        <v>93992.11</v>
      </c>
      <c r="Q780" s="1" t="s">
        <v>223</v>
      </c>
      <c r="R780" s="1">
        <v>10</v>
      </c>
      <c r="S780" s="1">
        <v>304</v>
      </c>
      <c r="T780" s="1">
        <v>26.6</v>
      </c>
      <c r="U780" s="1" t="s">
        <v>86</v>
      </c>
      <c r="V780" s="17" t="s">
        <v>45</v>
      </c>
    </row>
    <row r="781" spans="1:22" ht="15" customHeight="1" x14ac:dyDescent="0.25">
      <c r="A781" s="16" t="s">
        <v>1578</v>
      </c>
      <c r="B781" s="3" t="s">
        <v>1579</v>
      </c>
      <c r="C781">
        <v>68</v>
      </c>
      <c r="D781" s="3" t="s">
        <v>82</v>
      </c>
      <c r="E781" s="3" t="s">
        <v>48</v>
      </c>
      <c r="F781" s="2" t="s">
        <v>37</v>
      </c>
      <c r="G781" s="3" t="s">
        <v>131</v>
      </c>
      <c r="H781" s="3" t="s">
        <v>26</v>
      </c>
      <c r="I781" s="8">
        <v>44439</v>
      </c>
      <c r="J781" s="8">
        <v>44295</v>
      </c>
      <c r="K781" s="3">
        <v>4</v>
      </c>
      <c r="L781" s="3" t="s">
        <v>27</v>
      </c>
      <c r="M781" s="3" t="s">
        <v>28</v>
      </c>
      <c r="N781" s="3" t="s">
        <v>147</v>
      </c>
      <c r="O781" s="3" t="s">
        <v>104</v>
      </c>
      <c r="P781" s="30">
        <v>27405.29</v>
      </c>
      <c r="Q781" s="3" t="s">
        <v>148</v>
      </c>
      <c r="R781" s="3">
        <v>7</v>
      </c>
      <c r="S781" s="3">
        <v>375</v>
      </c>
      <c r="T781" s="3">
        <v>26.3</v>
      </c>
      <c r="U781" s="3" t="s">
        <v>86</v>
      </c>
      <c r="V781" s="18" t="s">
        <v>33</v>
      </c>
    </row>
    <row r="782" spans="1:22" ht="15" customHeight="1" x14ac:dyDescent="0.25">
      <c r="A782" s="15" t="s">
        <v>1580</v>
      </c>
      <c r="B782" s="1" t="s">
        <v>1581</v>
      </c>
      <c r="C782">
        <v>65</v>
      </c>
      <c r="D782" s="1" t="s">
        <v>82</v>
      </c>
      <c r="E782" s="1" t="s">
        <v>23</v>
      </c>
      <c r="F782" s="1" t="s">
        <v>49</v>
      </c>
      <c r="G782" s="1" t="s">
        <v>77</v>
      </c>
      <c r="H782" s="1" t="s">
        <v>51</v>
      </c>
      <c r="I782" s="7">
        <v>44473</v>
      </c>
      <c r="J782" s="7">
        <v>44486</v>
      </c>
      <c r="K782" s="1">
        <v>13</v>
      </c>
      <c r="L782" s="1" t="s">
        <v>89</v>
      </c>
      <c r="M782" s="1" t="s">
        <v>90</v>
      </c>
      <c r="N782" s="1" t="s">
        <v>79</v>
      </c>
      <c r="O782" s="1" t="s">
        <v>55</v>
      </c>
      <c r="P782" s="29">
        <v>69213.06</v>
      </c>
      <c r="Q782" s="1" t="s">
        <v>95</v>
      </c>
      <c r="R782" s="1">
        <v>9</v>
      </c>
      <c r="S782" s="1">
        <v>181</v>
      </c>
      <c r="T782" s="1">
        <v>23.4</v>
      </c>
      <c r="U782" s="1" t="s">
        <v>86</v>
      </c>
      <c r="V782" s="17" t="s">
        <v>33</v>
      </c>
    </row>
    <row r="783" spans="1:22" ht="15" customHeight="1" x14ac:dyDescent="0.25">
      <c r="A783" s="16" t="s">
        <v>1582</v>
      </c>
      <c r="B783" s="3" t="s">
        <v>1583</v>
      </c>
      <c r="C783">
        <v>72</v>
      </c>
      <c r="D783" s="3" t="s">
        <v>82</v>
      </c>
      <c r="E783" s="3" t="s">
        <v>23</v>
      </c>
      <c r="F783" s="3" t="s">
        <v>49</v>
      </c>
      <c r="G783" s="3" t="s">
        <v>77</v>
      </c>
      <c r="H783" s="3" t="s">
        <v>51</v>
      </c>
      <c r="I783" s="8">
        <v>44824</v>
      </c>
      <c r="J783" s="8">
        <v>44830</v>
      </c>
      <c r="K783" s="3">
        <v>6</v>
      </c>
      <c r="L783" s="3" t="s">
        <v>102</v>
      </c>
      <c r="M783" s="3" t="s">
        <v>28</v>
      </c>
      <c r="N783" s="3" t="s">
        <v>84</v>
      </c>
      <c r="O783" s="3" t="s">
        <v>55</v>
      </c>
      <c r="P783" s="30">
        <v>104936.59</v>
      </c>
      <c r="Q783" s="3" t="s">
        <v>91</v>
      </c>
      <c r="R783" s="3">
        <v>10</v>
      </c>
      <c r="S783" s="3">
        <v>126</v>
      </c>
      <c r="T783" s="3">
        <v>24.9</v>
      </c>
      <c r="U783" s="3" t="s">
        <v>44</v>
      </c>
      <c r="V783" s="18" t="s">
        <v>33</v>
      </c>
    </row>
    <row r="784" spans="1:22" ht="15" customHeight="1" x14ac:dyDescent="0.25">
      <c r="A784" s="15" t="s">
        <v>1584</v>
      </c>
      <c r="B784" s="1" t="s">
        <v>1585</v>
      </c>
      <c r="C784">
        <v>71</v>
      </c>
      <c r="D784" s="1" t="s">
        <v>82</v>
      </c>
      <c r="E784" s="1" t="s">
        <v>23</v>
      </c>
      <c r="F784" s="1" t="s">
        <v>37</v>
      </c>
      <c r="G784" s="1" t="s">
        <v>38</v>
      </c>
      <c r="H784" s="1" t="s">
        <v>51</v>
      </c>
      <c r="I784" s="7">
        <v>44362</v>
      </c>
      <c r="J784" s="7">
        <v>44365</v>
      </c>
      <c r="K784" s="1">
        <v>3</v>
      </c>
      <c r="L784" s="1" t="s">
        <v>122</v>
      </c>
      <c r="M784" s="1" t="s">
        <v>40</v>
      </c>
      <c r="N784" s="1" t="s">
        <v>173</v>
      </c>
      <c r="O784" s="1" t="s">
        <v>42</v>
      </c>
      <c r="P784" s="29">
        <v>17654.48</v>
      </c>
      <c r="Q784" s="1" t="s">
        <v>236</v>
      </c>
      <c r="R784" s="1">
        <v>8</v>
      </c>
      <c r="S784" s="1">
        <v>179</v>
      </c>
      <c r="T784" s="1">
        <v>38.700000000000003</v>
      </c>
      <c r="U784" s="1" t="s">
        <v>44</v>
      </c>
      <c r="V784" s="17" t="s">
        <v>33</v>
      </c>
    </row>
    <row r="785" spans="1:22" ht="15" customHeight="1" x14ac:dyDescent="0.25">
      <c r="A785" s="16" t="s">
        <v>1586</v>
      </c>
      <c r="B785" s="3" t="s">
        <v>1587</v>
      </c>
      <c r="C785">
        <v>77</v>
      </c>
      <c r="D785" s="3" t="s">
        <v>36</v>
      </c>
      <c r="E785" s="3" t="s">
        <v>48</v>
      </c>
      <c r="F785" s="3" t="s">
        <v>70</v>
      </c>
      <c r="G785" s="3" t="s">
        <v>131</v>
      </c>
      <c r="H785" s="3" t="s">
        <v>26</v>
      </c>
      <c r="I785" s="8">
        <v>43948</v>
      </c>
      <c r="J785" s="8">
        <v>44048</v>
      </c>
      <c r="K785" s="3">
        <v>11</v>
      </c>
      <c r="L785" s="3" t="s">
        <v>112</v>
      </c>
      <c r="M785" s="3" t="s">
        <v>40</v>
      </c>
      <c r="N785" s="3" t="s">
        <v>157</v>
      </c>
      <c r="O785" s="3" t="s">
        <v>104</v>
      </c>
      <c r="P785" s="30">
        <v>27804.22</v>
      </c>
      <c r="Q785" s="3" t="s">
        <v>134</v>
      </c>
      <c r="R785" s="3">
        <v>7</v>
      </c>
      <c r="S785" s="3">
        <v>354</v>
      </c>
      <c r="T785" s="3">
        <v>25.2</v>
      </c>
      <c r="U785" s="3" t="s">
        <v>32</v>
      </c>
      <c r="V785" s="18" t="s">
        <v>33</v>
      </c>
    </row>
    <row r="786" spans="1:22" ht="15" customHeight="1" x14ac:dyDescent="0.25">
      <c r="A786" s="15" t="s">
        <v>1588</v>
      </c>
      <c r="B786" s="1" t="s">
        <v>1589</v>
      </c>
      <c r="C786">
        <v>86</v>
      </c>
      <c r="D786" s="1" t="s">
        <v>36</v>
      </c>
      <c r="E786" s="1" t="s">
        <v>48</v>
      </c>
      <c r="F786" s="1" t="s">
        <v>99</v>
      </c>
      <c r="G786" s="1" t="s">
        <v>77</v>
      </c>
      <c r="H786" s="1" t="s">
        <v>26</v>
      </c>
      <c r="I786" s="6">
        <v>45296</v>
      </c>
      <c r="J786" s="7">
        <v>45424</v>
      </c>
      <c r="K786" s="1">
        <v>11</v>
      </c>
      <c r="L786" s="1" t="s">
        <v>102</v>
      </c>
      <c r="M786" s="1" t="s">
        <v>28</v>
      </c>
      <c r="N786" s="1" t="s">
        <v>189</v>
      </c>
      <c r="O786" s="1" t="s">
        <v>55</v>
      </c>
      <c r="P786" s="29">
        <v>261626.03</v>
      </c>
      <c r="Q786" s="1" t="s">
        <v>223</v>
      </c>
      <c r="R786" s="1">
        <v>10</v>
      </c>
      <c r="S786" s="1">
        <v>310</v>
      </c>
      <c r="T786" s="1">
        <v>22.3</v>
      </c>
      <c r="U786" s="1" t="s">
        <v>44</v>
      </c>
      <c r="V786" s="17" t="s">
        <v>45</v>
      </c>
    </row>
    <row r="787" spans="1:22" ht="15" customHeight="1" x14ac:dyDescent="0.25">
      <c r="A787" s="16" t="s">
        <v>1590</v>
      </c>
      <c r="B787" s="3" t="s">
        <v>1591</v>
      </c>
      <c r="C787">
        <v>68</v>
      </c>
      <c r="D787" s="3" t="s">
        <v>82</v>
      </c>
      <c r="E787" s="3" t="s">
        <v>48</v>
      </c>
      <c r="F787" s="3" t="s">
        <v>70</v>
      </c>
      <c r="G787" s="3" t="s">
        <v>131</v>
      </c>
      <c r="H787" s="3" t="s">
        <v>26</v>
      </c>
      <c r="I787" s="8">
        <v>45624</v>
      </c>
      <c r="J787" s="8">
        <v>45363</v>
      </c>
      <c r="K787" s="3">
        <v>5</v>
      </c>
      <c r="L787" s="3" t="s">
        <v>39</v>
      </c>
      <c r="M787" s="3" t="s">
        <v>40</v>
      </c>
      <c r="N787" s="3" t="s">
        <v>133</v>
      </c>
      <c r="O787" s="3" t="s">
        <v>55</v>
      </c>
      <c r="P787" s="30">
        <v>32462.61</v>
      </c>
      <c r="Q787" s="3" t="s">
        <v>695</v>
      </c>
      <c r="R787" s="3">
        <v>7</v>
      </c>
      <c r="S787" s="3">
        <v>363</v>
      </c>
      <c r="T787" s="3">
        <v>30.5</v>
      </c>
      <c r="U787" s="3" t="s">
        <v>86</v>
      </c>
      <c r="V787" s="18" t="s">
        <v>33</v>
      </c>
    </row>
    <row r="788" spans="1:22" ht="15" customHeight="1" x14ac:dyDescent="0.25">
      <c r="A788" s="15" t="s">
        <v>1592</v>
      </c>
      <c r="B788" s="1" t="s">
        <v>1593</v>
      </c>
      <c r="C788">
        <v>69</v>
      </c>
      <c r="D788" s="1" t="s">
        <v>82</v>
      </c>
      <c r="E788" s="1" t="s">
        <v>48</v>
      </c>
      <c r="F788" s="1" t="s">
        <v>24</v>
      </c>
      <c r="G788" s="1" t="s">
        <v>131</v>
      </c>
      <c r="H788" s="1" t="s">
        <v>26</v>
      </c>
      <c r="I788" s="7">
        <v>44094</v>
      </c>
      <c r="J788" s="7">
        <v>44103</v>
      </c>
      <c r="K788" s="1">
        <v>9</v>
      </c>
      <c r="L788" s="1" t="s">
        <v>112</v>
      </c>
      <c r="M788" s="1" t="s">
        <v>40</v>
      </c>
      <c r="N788" s="1" t="s">
        <v>133</v>
      </c>
      <c r="O788" s="1" t="s">
        <v>42</v>
      </c>
      <c r="P788" s="29">
        <v>108908.84</v>
      </c>
      <c r="Q788" s="1" t="s">
        <v>291</v>
      </c>
      <c r="R788" s="1">
        <v>7</v>
      </c>
      <c r="S788" s="1">
        <v>320</v>
      </c>
      <c r="T788" s="1">
        <v>34.1</v>
      </c>
      <c r="U788" s="1" t="s">
        <v>44</v>
      </c>
      <c r="V788" s="17" t="s">
        <v>45</v>
      </c>
    </row>
    <row r="789" spans="1:22" ht="15" customHeight="1" x14ac:dyDescent="0.25">
      <c r="A789" s="16" t="s">
        <v>1594</v>
      </c>
      <c r="B789" s="3" t="s">
        <v>1595</v>
      </c>
      <c r="C789">
        <v>63</v>
      </c>
      <c r="D789" s="3" t="s">
        <v>59</v>
      </c>
      <c r="E789" s="3" t="s">
        <v>23</v>
      </c>
      <c r="F789" s="3" t="s">
        <v>99</v>
      </c>
      <c r="G789" s="3" t="s">
        <v>25</v>
      </c>
      <c r="H789" s="3" t="s">
        <v>78</v>
      </c>
      <c r="I789" s="8">
        <v>43802</v>
      </c>
      <c r="J789" s="8">
        <v>43830</v>
      </c>
      <c r="K789" s="3">
        <v>28</v>
      </c>
      <c r="L789" s="3" t="s">
        <v>52</v>
      </c>
      <c r="M789" s="3" t="s">
        <v>53</v>
      </c>
      <c r="N789" s="3" t="s">
        <v>65</v>
      </c>
      <c r="O789" s="3" t="s">
        <v>42</v>
      </c>
      <c r="P789" s="30">
        <v>177203</v>
      </c>
      <c r="Q789" s="3" t="s">
        <v>310</v>
      </c>
      <c r="R789" s="3">
        <v>10</v>
      </c>
      <c r="S789" s="3">
        <v>444</v>
      </c>
      <c r="T789" s="3">
        <v>23.6</v>
      </c>
      <c r="U789" s="3" t="s">
        <v>44</v>
      </c>
      <c r="V789" s="18" t="s">
        <v>33</v>
      </c>
    </row>
    <row r="790" spans="1:22" ht="15" customHeight="1" x14ac:dyDescent="0.25">
      <c r="A790" s="15" t="s">
        <v>1596</v>
      </c>
      <c r="B790" s="1" t="s">
        <v>1597</v>
      </c>
      <c r="C790">
        <v>68</v>
      </c>
      <c r="D790" s="1" t="s">
        <v>82</v>
      </c>
      <c r="E790" s="1" t="s">
        <v>23</v>
      </c>
      <c r="F790" s="1" t="s">
        <v>37</v>
      </c>
      <c r="G790" s="1" t="s">
        <v>77</v>
      </c>
      <c r="H790" s="1" t="s">
        <v>26</v>
      </c>
      <c r="I790" s="7">
        <v>43616</v>
      </c>
      <c r="J790" s="7">
        <v>43775</v>
      </c>
      <c r="K790" s="1">
        <v>11</v>
      </c>
      <c r="L790" s="1" t="s">
        <v>89</v>
      </c>
      <c r="M790" s="1" t="s">
        <v>90</v>
      </c>
      <c r="N790" s="1" t="s">
        <v>189</v>
      </c>
      <c r="O790" s="1" t="s">
        <v>104</v>
      </c>
      <c r="P790" s="29">
        <v>105908.1</v>
      </c>
      <c r="Q790" s="1" t="s">
        <v>181</v>
      </c>
      <c r="R790" s="1">
        <v>10</v>
      </c>
      <c r="S790" s="1">
        <v>374</v>
      </c>
      <c r="T790" s="1">
        <v>39.700000000000003</v>
      </c>
      <c r="U790" s="1" t="s">
        <v>44</v>
      </c>
      <c r="V790" s="17" t="s">
        <v>33</v>
      </c>
    </row>
    <row r="791" spans="1:22" ht="15" customHeight="1" x14ac:dyDescent="0.25">
      <c r="A791" s="16" t="s">
        <v>1598</v>
      </c>
      <c r="B791" s="3" t="s">
        <v>1407</v>
      </c>
      <c r="C791">
        <v>82</v>
      </c>
      <c r="D791" s="3" t="s">
        <v>36</v>
      </c>
      <c r="E791" s="3" t="s">
        <v>23</v>
      </c>
      <c r="F791" s="3" t="s">
        <v>24</v>
      </c>
      <c r="G791" s="3" t="s">
        <v>38</v>
      </c>
      <c r="H791" s="3" t="s">
        <v>26</v>
      </c>
      <c r="I791" s="8">
        <v>43661</v>
      </c>
      <c r="J791" s="8">
        <v>43668</v>
      </c>
      <c r="K791" s="3">
        <v>7</v>
      </c>
      <c r="L791" s="3" t="s">
        <v>52</v>
      </c>
      <c r="M791" s="3" t="s">
        <v>53</v>
      </c>
      <c r="N791" s="3" t="s">
        <v>173</v>
      </c>
      <c r="O791" s="3" t="s">
        <v>104</v>
      </c>
      <c r="P791" s="30">
        <v>40371.040000000001</v>
      </c>
      <c r="Q791" s="3" t="s">
        <v>305</v>
      </c>
      <c r="R791" s="3">
        <v>6</v>
      </c>
      <c r="S791" s="3">
        <v>272</v>
      </c>
      <c r="T791" s="3">
        <v>19.7</v>
      </c>
      <c r="U791" s="3" t="s">
        <v>32</v>
      </c>
      <c r="V791" s="18" t="s">
        <v>33</v>
      </c>
    </row>
    <row r="792" spans="1:22" ht="15" customHeight="1" x14ac:dyDescent="0.25">
      <c r="A792" s="15" t="s">
        <v>1599</v>
      </c>
      <c r="B792" s="1" t="s">
        <v>1600</v>
      </c>
      <c r="C792">
        <v>72</v>
      </c>
      <c r="D792" s="1" t="s">
        <v>82</v>
      </c>
      <c r="E792" s="1" t="s">
        <v>23</v>
      </c>
      <c r="F792" s="1" t="s">
        <v>70</v>
      </c>
      <c r="G792" s="1" t="s">
        <v>25</v>
      </c>
      <c r="H792" s="1" t="s">
        <v>51</v>
      </c>
      <c r="I792" s="6">
        <v>44439</v>
      </c>
      <c r="J792" s="10"/>
      <c r="K792" s="1"/>
      <c r="L792" s="1" t="s">
        <v>39</v>
      </c>
      <c r="M792" s="1" t="s">
        <v>40</v>
      </c>
      <c r="N792" s="1" t="s">
        <v>65</v>
      </c>
      <c r="O792" s="1" t="s">
        <v>104</v>
      </c>
      <c r="P792" s="29">
        <v>119739.11</v>
      </c>
      <c r="Q792" s="1" t="s">
        <v>400</v>
      </c>
      <c r="R792" s="1">
        <v>12</v>
      </c>
      <c r="S792" s="1">
        <v>167</v>
      </c>
      <c r="T792" s="1">
        <v>24.7</v>
      </c>
      <c r="U792" s="1" t="s">
        <v>44</v>
      </c>
      <c r="V792" s="17" t="s">
        <v>33</v>
      </c>
    </row>
    <row r="793" spans="1:22" ht="15" customHeight="1" x14ac:dyDescent="0.25">
      <c r="A793" s="16" t="s">
        <v>1601</v>
      </c>
      <c r="B793" s="3" t="s">
        <v>1602</v>
      </c>
      <c r="C793">
        <v>71</v>
      </c>
      <c r="D793" s="3" t="s">
        <v>82</v>
      </c>
      <c r="E793" s="3" t="s">
        <v>23</v>
      </c>
      <c r="F793" s="3" t="s">
        <v>99</v>
      </c>
      <c r="G793" s="3" t="s">
        <v>25</v>
      </c>
      <c r="H793" s="3" t="s">
        <v>51</v>
      </c>
      <c r="I793" s="8">
        <v>44496</v>
      </c>
      <c r="J793" s="8">
        <v>44505</v>
      </c>
      <c r="K793" s="3">
        <v>9</v>
      </c>
      <c r="L793" s="3" t="s">
        <v>89</v>
      </c>
      <c r="M793" s="3" t="s">
        <v>90</v>
      </c>
      <c r="N793" s="3" t="s">
        <v>29</v>
      </c>
      <c r="O793" s="3" t="s">
        <v>104</v>
      </c>
      <c r="P793" s="30">
        <v>55329.120000000003</v>
      </c>
      <c r="Q793" s="3" t="s">
        <v>322</v>
      </c>
      <c r="R793" s="3">
        <v>10</v>
      </c>
      <c r="S793" s="3">
        <v>173</v>
      </c>
      <c r="T793" s="3">
        <v>22.7</v>
      </c>
      <c r="U793" s="3" t="s">
        <v>32</v>
      </c>
      <c r="V793" s="18" t="s">
        <v>33</v>
      </c>
    </row>
    <row r="794" spans="1:22" ht="15" customHeight="1" x14ac:dyDescent="0.25">
      <c r="A794" s="15" t="s">
        <v>1603</v>
      </c>
      <c r="B794" s="1" t="s">
        <v>1604</v>
      </c>
      <c r="C794">
        <v>61</v>
      </c>
      <c r="D794" s="1" t="s">
        <v>59</v>
      </c>
      <c r="E794" s="1" t="s">
        <v>23</v>
      </c>
      <c r="F794" s="1" t="s">
        <v>49</v>
      </c>
      <c r="G794" s="1" t="s">
        <v>38</v>
      </c>
      <c r="H794" s="1" t="s">
        <v>51</v>
      </c>
      <c r="I794" s="7">
        <v>43593</v>
      </c>
      <c r="J794" s="7">
        <v>43599</v>
      </c>
      <c r="K794" s="1">
        <v>6</v>
      </c>
      <c r="L794" s="1" t="s">
        <v>102</v>
      </c>
      <c r="M794" s="1" t="s">
        <v>28</v>
      </c>
      <c r="N794" s="1" t="s">
        <v>173</v>
      </c>
      <c r="O794" s="1" t="s">
        <v>30</v>
      </c>
      <c r="P794" s="29">
        <v>11396.68</v>
      </c>
      <c r="Q794" s="1" t="s">
        <v>204</v>
      </c>
      <c r="R794" s="1">
        <v>8</v>
      </c>
      <c r="S794" s="1">
        <v>119</v>
      </c>
      <c r="T794" s="1">
        <v>18</v>
      </c>
      <c r="U794" s="1" t="s">
        <v>44</v>
      </c>
      <c r="V794" s="17" t="s">
        <v>33</v>
      </c>
    </row>
    <row r="795" spans="1:22" ht="15" customHeight="1" x14ac:dyDescent="0.25">
      <c r="A795" s="16" t="s">
        <v>1605</v>
      </c>
      <c r="B795" s="3" t="s">
        <v>1169</v>
      </c>
      <c r="C795">
        <v>74</v>
      </c>
      <c r="D795" s="3" t="s">
        <v>82</v>
      </c>
      <c r="E795" s="3" t="s">
        <v>23</v>
      </c>
      <c r="F795" s="3" t="s">
        <v>49</v>
      </c>
      <c r="G795" s="3" t="s">
        <v>50</v>
      </c>
      <c r="H795" s="3" t="s">
        <v>26</v>
      </c>
      <c r="I795" s="8">
        <v>44924</v>
      </c>
      <c r="J795" s="8">
        <v>44935</v>
      </c>
      <c r="K795" s="3">
        <v>11</v>
      </c>
      <c r="L795" s="3" t="s">
        <v>231</v>
      </c>
      <c r="M795" s="3" t="s">
        <v>53</v>
      </c>
      <c r="N795" s="3" t="s">
        <v>54</v>
      </c>
      <c r="O795" s="3" t="s">
        <v>55</v>
      </c>
      <c r="P795" s="30">
        <v>81043.48</v>
      </c>
      <c r="Q795" s="3" t="s">
        <v>194</v>
      </c>
      <c r="R795" s="3">
        <v>9</v>
      </c>
      <c r="S795" s="3">
        <v>377</v>
      </c>
      <c r="T795" s="3">
        <v>24.8</v>
      </c>
      <c r="U795" s="3" t="s">
        <v>86</v>
      </c>
      <c r="V795" s="18" t="s">
        <v>33</v>
      </c>
    </row>
    <row r="796" spans="1:22" ht="15" customHeight="1" x14ac:dyDescent="0.25">
      <c r="A796" s="15" t="s">
        <v>1606</v>
      </c>
      <c r="B796" s="1" t="s">
        <v>1607</v>
      </c>
      <c r="C796">
        <v>82</v>
      </c>
      <c r="D796" s="1" t="s">
        <v>36</v>
      </c>
      <c r="E796" s="1" t="s">
        <v>48</v>
      </c>
      <c r="F796" s="1" t="s">
        <v>37</v>
      </c>
      <c r="G796" s="1" t="s">
        <v>25</v>
      </c>
      <c r="H796" s="1" t="s">
        <v>78</v>
      </c>
      <c r="I796" s="7">
        <v>44563</v>
      </c>
      <c r="J796" s="7">
        <v>44575</v>
      </c>
      <c r="K796" s="1">
        <v>12</v>
      </c>
      <c r="L796" s="1" t="s">
        <v>52</v>
      </c>
      <c r="M796" s="1" t="s">
        <v>53</v>
      </c>
      <c r="N796" s="1" t="s">
        <v>29</v>
      </c>
      <c r="O796" s="1" t="s">
        <v>104</v>
      </c>
      <c r="P796" s="29">
        <v>55369.22</v>
      </c>
      <c r="Q796" s="1" t="s">
        <v>67</v>
      </c>
      <c r="R796" s="1">
        <v>9</v>
      </c>
      <c r="S796" s="1">
        <v>442</v>
      </c>
      <c r="T796" s="4"/>
      <c r="U796" s="1" t="s">
        <v>44</v>
      </c>
      <c r="V796" s="17" t="s">
        <v>33</v>
      </c>
    </row>
    <row r="797" spans="1:22" ht="15" customHeight="1" x14ac:dyDescent="0.25">
      <c r="A797" s="16" t="s">
        <v>1608</v>
      </c>
      <c r="B797" s="3" t="s">
        <v>1012</v>
      </c>
      <c r="C797">
        <v>37</v>
      </c>
      <c r="D797" s="3" t="s">
        <v>98</v>
      </c>
      <c r="E797" s="3" t="s">
        <v>23</v>
      </c>
      <c r="F797" s="3" t="s">
        <v>37</v>
      </c>
      <c r="G797" s="3" t="s">
        <v>25</v>
      </c>
      <c r="H797" s="3" t="s">
        <v>51</v>
      </c>
      <c r="I797" s="8">
        <v>44269</v>
      </c>
      <c r="J797" s="8">
        <v>44284</v>
      </c>
      <c r="K797" s="3">
        <v>15</v>
      </c>
      <c r="L797" s="3" t="s">
        <v>52</v>
      </c>
      <c r="M797" s="3" t="s">
        <v>53</v>
      </c>
      <c r="N797" s="3" t="s">
        <v>248</v>
      </c>
      <c r="O797" s="3" t="s">
        <v>30</v>
      </c>
      <c r="P797" s="30">
        <v>48000.58</v>
      </c>
      <c r="Q797" s="3" t="s">
        <v>269</v>
      </c>
      <c r="R797" s="3">
        <v>9</v>
      </c>
      <c r="S797" s="3">
        <v>139</v>
      </c>
      <c r="T797" s="3">
        <v>30.8</v>
      </c>
      <c r="U797" s="3" t="s">
        <v>44</v>
      </c>
      <c r="V797" s="18" t="s">
        <v>33</v>
      </c>
    </row>
    <row r="798" spans="1:22" ht="15" customHeight="1" x14ac:dyDescent="0.25">
      <c r="A798" s="15" t="s">
        <v>1609</v>
      </c>
      <c r="B798" s="1" t="s">
        <v>1610</v>
      </c>
      <c r="C798">
        <v>69</v>
      </c>
      <c r="D798" s="1" t="s">
        <v>82</v>
      </c>
      <c r="E798" s="1" t="s">
        <v>23</v>
      </c>
      <c r="F798" s="1" t="s">
        <v>70</v>
      </c>
      <c r="G798" s="1" t="s">
        <v>60</v>
      </c>
      <c r="H798" s="1" t="s">
        <v>51</v>
      </c>
      <c r="I798" s="6">
        <v>43719</v>
      </c>
      <c r="J798" s="7">
        <v>43784</v>
      </c>
      <c r="K798" s="1">
        <v>6</v>
      </c>
      <c r="L798" s="1" t="s">
        <v>39</v>
      </c>
      <c r="M798" s="1" t="s">
        <v>40</v>
      </c>
      <c r="N798" s="1" t="s">
        <v>61</v>
      </c>
      <c r="O798" s="1" t="s">
        <v>42</v>
      </c>
      <c r="P798" s="29">
        <v>42006.67</v>
      </c>
      <c r="Q798" s="1" t="s">
        <v>62</v>
      </c>
      <c r="R798" s="1">
        <v>3</v>
      </c>
      <c r="S798" s="1">
        <v>168</v>
      </c>
      <c r="T798" s="1">
        <v>21</v>
      </c>
      <c r="U798" s="1" t="s">
        <v>32</v>
      </c>
      <c r="V798" s="17" t="s">
        <v>33</v>
      </c>
    </row>
    <row r="799" spans="1:22" ht="15" customHeight="1" x14ac:dyDescent="0.25">
      <c r="A799" s="16" t="s">
        <v>1611</v>
      </c>
      <c r="B799" s="3" t="s">
        <v>1612</v>
      </c>
      <c r="C799">
        <v>57</v>
      </c>
      <c r="D799" s="3" t="s">
        <v>59</v>
      </c>
      <c r="E799" s="3" t="s">
        <v>23</v>
      </c>
      <c r="F799" s="3" t="s">
        <v>155</v>
      </c>
      <c r="G799" s="3" t="s">
        <v>77</v>
      </c>
      <c r="H799" s="3" t="s">
        <v>78</v>
      </c>
      <c r="I799" s="8">
        <v>43921</v>
      </c>
      <c r="J799" s="8">
        <v>44047</v>
      </c>
      <c r="K799" s="3">
        <v>8</v>
      </c>
      <c r="L799" s="3" t="s">
        <v>231</v>
      </c>
      <c r="M799" s="3" t="s">
        <v>53</v>
      </c>
      <c r="N799" s="3" t="s">
        <v>94</v>
      </c>
      <c r="O799" s="3" t="s">
        <v>30</v>
      </c>
      <c r="P799" s="30">
        <v>39088.19</v>
      </c>
      <c r="Q799" s="3" t="s">
        <v>100</v>
      </c>
      <c r="R799" s="3">
        <v>10</v>
      </c>
      <c r="S799" s="3">
        <v>322</v>
      </c>
      <c r="T799" s="3">
        <v>26.5</v>
      </c>
      <c r="U799" s="3" t="s">
        <v>44</v>
      </c>
      <c r="V799" s="18" t="s">
        <v>33</v>
      </c>
    </row>
    <row r="800" spans="1:22" ht="15" customHeight="1" x14ac:dyDescent="0.25">
      <c r="A800" s="15" t="s">
        <v>1613</v>
      </c>
      <c r="B800" s="1" t="s">
        <v>759</v>
      </c>
      <c r="C800">
        <v>70</v>
      </c>
      <c r="D800" s="1" t="s">
        <v>82</v>
      </c>
      <c r="E800" s="1" t="s">
        <v>23</v>
      </c>
      <c r="F800" s="1" t="s">
        <v>70</v>
      </c>
      <c r="G800" s="1" t="s">
        <v>131</v>
      </c>
      <c r="H800" s="1" t="s">
        <v>26</v>
      </c>
      <c r="I800" s="6">
        <v>45247</v>
      </c>
      <c r="J800" s="7">
        <v>45255</v>
      </c>
      <c r="K800" s="1">
        <v>8</v>
      </c>
      <c r="L800" s="1" t="s">
        <v>185</v>
      </c>
      <c r="M800" s="1" t="s">
        <v>186</v>
      </c>
      <c r="N800" s="1" t="s">
        <v>133</v>
      </c>
      <c r="O800" s="1" t="s">
        <v>42</v>
      </c>
      <c r="P800" s="29">
        <v>55198.44</v>
      </c>
      <c r="Q800" s="1" t="s">
        <v>158</v>
      </c>
      <c r="R800" s="1">
        <v>7</v>
      </c>
      <c r="S800" s="1">
        <v>375</v>
      </c>
      <c r="T800" s="1">
        <v>25.8</v>
      </c>
      <c r="U800" s="1" t="s">
        <v>32</v>
      </c>
      <c r="V800" s="17" t="s">
        <v>33</v>
      </c>
    </row>
    <row r="801" spans="1:22" ht="15" customHeight="1" x14ac:dyDescent="0.25">
      <c r="A801" s="16" t="s">
        <v>1614</v>
      </c>
      <c r="B801" s="3" t="s">
        <v>1615</v>
      </c>
      <c r="C801">
        <v>74</v>
      </c>
      <c r="D801" s="3" t="s">
        <v>82</v>
      </c>
      <c r="E801" s="3" t="s">
        <v>48</v>
      </c>
      <c r="F801" s="3" t="s">
        <v>37</v>
      </c>
      <c r="G801" s="3" t="s">
        <v>71</v>
      </c>
      <c r="H801" s="3" t="s">
        <v>51</v>
      </c>
      <c r="I801" s="8">
        <v>45458</v>
      </c>
      <c r="J801" s="8">
        <v>45462</v>
      </c>
      <c r="K801" s="3">
        <v>4</v>
      </c>
      <c r="L801" s="3" t="s">
        <v>52</v>
      </c>
      <c r="M801" s="3" t="s">
        <v>53</v>
      </c>
      <c r="N801" s="3" t="s">
        <v>312</v>
      </c>
      <c r="O801" s="3" t="s">
        <v>30</v>
      </c>
      <c r="P801" s="30">
        <v>16436.740000000002</v>
      </c>
      <c r="Q801" s="3" t="s">
        <v>374</v>
      </c>
      <c r="R801" s="3">
        <v>5</v>
      </c>
      <c r="S801" s="3">
        <v>101</v>
      </c>
      <c r="T801" s="3">
        <v>26.4</v>
      </c>
      <c r="U801" s="3" t="s">
        <v>32</v>
      </c>
      <c r="V801" s="18" t="s">
        <v>45</v>
      </c>
    </row>
    <row r="802" spans="1:22" ht="15" customHeight="1" x14ac:dyDescent="0.25">
      <c r="A802" s="15" t="s">
        <v>1616</v>
      </c>
      <c r="B802" s="1" t="s">
        <v>1617</v>
      </c>
      <c r="C802">
        <v>25</v>
      </c>
      <c r="D802" s="1" t="s">
        <v>47</v>
      </c>
      <c r="E802" s="1" t="s">
        <v>48</v>
      </c>
      <c r="F802" s="1" t="s">
        <v>83</v>
      </c>
      <c r="G802" s="1" t="s">
        <v>71</v>
      </c>
      <c r="H802" s="1" t="s">
        <v>26</v>
      </c>
      <c r="I802" s="6">
        <v>44179</v>
      </c>
      <c r="J802" s="7">
        <v>44180</v>
      </c>
      <c r="K802" s="1">
        <v>1</v>
      </c>
      <c r="L802" s="1" t="s">
        <v>39</v>
      </c>
      <c r="M802" s="1" t="s">
        <v>40</v>
      </c>
      <c r="N802" s="1" t="s">
        <v>312</v>
      </c>
      <c r="O802" s="1" t="s">
        <v>66</v>
      </c>
      <c r="P802" s="29">
        <v>17394.18</v>
      </c>
      <c r="Q802" s="1" t="s">
        <v>170</v>
      </c>
      <c r="R802" s="1">
        <v>5</v>
      </c>
      <c r="S802" s="1">
        <v>198</v>
      </c>
      <c r="T802" s="1">
        <v>26.8</v>
      </c>
      <c r="U802" s="1" t="s">
        <v>86</v>
      </c>
      <c r="V802" s="17" t="s">
        <v>33</v>
      </c>
    </row>
    <row r="803" spans="1:22" ht="15" customHeight="1" x14ac:dyDescent="0.25">
      <c r="A803" s="16" t="s">
        <v>1618</v>
      </c>
      <c r="B803" s="3" t="s">
        <v>1619</v>
      </c>
      <c r="C803">
        <v>60</v>
      </c>
      <c r="D803" s="3" t="s">
        <v>59</v>
      </c>
      <c r="E803" s="3" t="s">
        <v>48</v>
      </c>
      <c r="F803" s="3" t="s">
        <v>155</v>
      </c>
      <c r="G803" s="3" t="s">
        <v>38</v>
      </c>
      <c r="H803" s="3" t="s">
        <v>51</v>
      </c>
      <c r="I803" s="6">
        <v>44879</v>
      </c>
      <c r="J803" s="8">
        <v>44885</v>
      </c>
      <c r="K803" s="3">
        <v>6</v>
      </c>
      <c r="L803" s="3" t="s">
        <v>89</v>
      </c>
      <c r="M803" s="3" t="s">
        <v>90</v>
      </c>
      <c r="N803" s="3" t="s">
        <v>41</v>
      </c>
      <c r="O803" s="3" t="s">
        <v>104</v>
      </c>
      <c r="P803" s="30">
        <v>13673.89</v>
      </c>
      <c r="Q803" s="3" t="s">
        <v>174</v>
      </c>
      <c r="R803" s="3">
        <v>8</v>
      </c>
      <c r="S803" s="3">
        <v>197</v>
      </c>
      <c r="T803" s="3">
        <v>39.6</v>
      </c>
      <c r="U803" s="3" t="s">
        <v>44</v>
      </c>
      <c r="V803" s="18" t="s">
        <v>33</v>
      </c>
    </row>
    <row r="804" spans="1:22" ht="15" customHeight="1" x14ac:dyDescent="0.25">
      <c r="A804" s="15" t="s">
        <v>1620</v>
      </c>
      <c r="B804" s="1" t="s">
        <v>1621</v>
      </c>
      <c r="C804">
        <v>75</v>
      </c>
      <c r="D804" s="1" t="s">
        <v>36</v>
      </c>
      <c r="E804" s="1" t="s">
        <v>23</v>
      </c>
      <c r="F804" s="1" t="s">
        <v>70</v>
      </c>
      <c r="G804" s="1" t="s">
        <v>38</v>
      </c>
      <c r="H804" s="1" t="s">
        <v>26</v>
      </c>
      <c r="I804" s="7">
        <v>45030</v>
      </c>
      <c r="J804" s="7">
        <v>45035</v>
      </c>
      <c r="K804" s="1">
        <v>5</v>
      </c>
      <c r="L804" s="1" t="s">
        <v>122</v>
      </c>
      <c r="M804" s="1" t="s">
        <v>40</v>
      </c>
      <c r="N804" s="1" t="s">
        <v>203</v>
      </c>
      <c r="O804" s="1" t="s">
        <v>55</v>
      </c>
      <c r="P804" s="29">
        <v>33193.910000000003</v>
      </c>
      <c r="Q804" s="1" t="s">
        <v>305</v>
      </c>
      <c r="R804" s="1">
        <v>8</v>
      </c>
      <c r="S804" s="1">
        <v>298</v>
      </c>
      <c r="T804" s="1">
        <v>31.1</v>
      </c>
      <c r="U804" s="1" t="s">
        <v>44</v>
      </c>
      <c r="V804" s="17" t="s">
        <v>33</v>
      </c>
    </row>
    <row r="805" spans="1:22" ht="15" customHeight="1" x14ac:dyDescent="0.25">
      <c r="A805" s="16" t="s">
        <v>1622</v>
      </c>
      <c r="B805" s="3" t="s">
        <v>1623</v>
      </c>
      <c r="C805">
        <v>74</v>
      </c>
      <c r="D805" s="3" t="s">
        <v>82</v>
      </c>
      <c r="E805" s="3" t="s">
        <v>48</v>
      </c>
      <c r="F805" s="3" t="s">
        <v>49</v>
      </c>
      <c r="G805" s="3" t="s">
        <v>25</v>
      </c>
      <c r="H805" s="3" t="s">
        <v>51</v>
      </c>
      <c r="I805" s="6">
        <v>44434</v>
      </c>
      <c r="J805" s="8">
        <v>44205</v>
      </c>
      <c r="K805" s="3">
        <v>6</v>
      </c>
      <c r="L805" s="3" t="s">
        <v>231</v>
      </c>
      <c r="M805" s="3" t="s">
        <v>53</v>
      </c>
      <c r="N805" s="3" t="s">
        <v>29</v>
      </c>
      <c r="O805" s="3" t="s">
        <v>55</v>
      </c>
      <c r="P805" s="30">
        <v>177064.34</v>
      </c>
      <c r="Q805" s="3" t="s">
        <v>484</v>
      </c>
      <c r="R805" s="3">
        <v>8</v>
      </c>
      <c r="S805" s="3">
        <v>168</v>
      </c>
      <c r="T805" s="3">
        <v>25.7</v>
      </c>
      <c r="U805" s="3" t="s">
        <v>86</v>
      </c>
      <c r="V805" s="18" t="s">
        <v>33</v>
      </c>
    </row>
    <row r="806" spans="1:22" ht="15" customHeight="1" x14ac:dyDescent="0.25">
      <c r="A806" s="15" t="s">
        <v>1624</v>
      </c>
      <c r="B806" s="1" t="s">
        <v>1570</v>
      </c>
      <c r="C806">
        <v>68</v>
      </c>
      <c r="D806" s="1" t="s">
        <v>82</v>
      </c>
      <c r="E806" s="1" t="s">
        <v>48</v>
      </c>
      <c r="F806" s="1" t="s">
        <v>70</v>
      </c>
      <c r="G806" s="1" t="s">
        <v>60</v>
      </c>
      <c r="H806" s="1" t="s">
        <v>51</v>
      </c>
      <c r="I806" s="7">
        <v>45447</v>
      </c>
      <c r="J806" s="7">
        <v>45510</v>
      </c>
      <c r="K806" s="1">
        <v>4</v>
      </c>
      <c r="L806" s="1" t="s">
        <v>102</v>
      </c>
      <c r="M806" s="1" t="s">
        <v>28</v>
      </c>
      <c r="N806" s="1" t="s">
        <v>210</v>
      </c>
      <c r="O806" s="1" t="s">
        <v>30</v>
      </c>
      <c r="P806" s="29">
        <v>43186.43</v>
      </c>
      <c r="Q806" s="1" t="s">
        <v>137</v>
      </c>
      <c r="R806" s="1">
        <v>3</v>
      </c>
      <c r="S806" s="1">
        <v>146</v>
      </c>
      <c r="T806" s="1">
        <v>39.200000000000003</v>
      </c>
      <c r="U806" s="1" t="s">
        <v>86</v>
      </c>
      <c r="V806" s="17" t="s">
        <v>45</v>
      </c>
    </row>
    <row r="807" spans="1:22" ht="15" customHeight="1" x14ac:dyDescent="0.25">
      <c r="A807" s="16" t="s">
        <v>1625</v>
      </c>
      <c r="B807" s="3" t="s">
        <v>1104</v>
      </c>
      <c r="C807">
        <v>62</v>
      </c>
      <c r="D807" s="3" t="s">
        <v>59</v>
      </c>
      <c r="E807" s="3" t="s">
        <v>23</v>
      </c>
      <c r="F807" s="3" t="s">
        <v>70</v>
      </c>
      <c r="G807" s="3" t="s">
        <v>38</v>
      </c>
      <c r="H807" s="3" t="s">
        <v>78</v>
      </c>
      <c r="I807" s="8">
        <v>43803</v>
      </c>
      <c r="J807" s="8">
        <v>43573</v>
      </c>
      <c r="K807" s="3">
        <v>6</v>
      </c>
      <c r="L807" s="3" t="s">
        <v>89</v>
      </c>
      <c r="M807" s="3" t="s">
        <v>90</v>
      </c>
      <c r="N807" s="3" t="s">
        <v>173</v>
      </c>
      <c r="O807" s="3" t="s">
        <v>104</v>
      </c>
      <c r="P807" s="30">
        <v>8461.41</v>
      </c>
      <c r="Q807" s="3" t="s">
        <v>437</v>
      </c>
      <c r="R807" s="3">
        <v>7</v>
      </c>
      <c r="S807" s="3">
        <v>167</v>
      </c>
      <c r="T807" s="3">
        <v>37.1</v>
      </c>
      <c r="U807" s="3" t="s">
        <v>44</v>
      </c>
      <c r="V807" s="18" t="s">
        <v>33</v>
      </c>
    </row>
    <row r="808" spans="1:22" ht="15" customHeight="1" x14ac:dyDescent="0.25">
      <c r="A808" s="15" t="s">
        <v>1626</v>
      </c>
      <c r="B808" s="1" t="s">
        <v>1627</v>
      </c>
      <c r="C808">
        <v>89</v>
      </c>
      <c r="D808" s="1" t="s">
        <v>36</v>
      </c>
      <c r="E808" s="1" t="s">
        <v>48</v>
      </c>
      <c r="F808" s="1" t="s">
        <v>70</v>
      </c>
      <c r="G808" s="1" t="s">
        <v>25</v>
      </c>
      <c r="H808" s="1" t="s">
        <v>51</v>
      </c>
      <c r="I808" s="7">
        <v>45130</v>
      </c>
      <c r="J808" s="7">
        <v>45136</v>
      </c>
      <c r="K808" s="1">
        <v>6</v>
      </c>
      <c r="L808" s="1" t="s">
        <v>122</v>
      </c>
      <c r="M808" s="1" t="s">
        <v>40</v>
      </c>
      <c r="N808" s="1" t="s">
        <v>248</v>
      </c>
      <c r="O808" s="1" t="s">
        <v>42</v>
      </c>
      <c r="P808" s="29">
        <v>115938.01</v>
      </c>
      <c r="Q808" s="1" t="s">
        <v>515</v>
      </c>
      <c r="R808" s="1">
        <v>12</v>
      </c>
      <c r="S808" s="1">
        <v>104</v>
      </c>
      <c r="T808" s="1">
        <v>22.7</v>
      </c>
      <c r="U808" s="1" t="s">
        <v>44</v>
      </c>
      <c r="V808" s="17" t="s">
        <v>33</v>
      </c>
    </row>
    <row r="809" spans="1:22" ht="15" customHeight="1" x14ac:dyDescent="0.25">
      <c r="A809" s="16" t="s">
        <v>1628</v>
      </c>
      <c r="B809" s="3" t="s">
        <v>1629</v>
      </c>
      <c r="C809">
        <v>42</v>
      </c>
      <c r="D809" s="3" t="s">
        <v>98</v>
      </c>
      <c r="E809" s="3" t="s">
        <v>23</v>
      </c>
      <c r="F809" s="3" t="s">
        <v>37</v>
      </c>
      <c r="G809" s="3" t="s">
        <v>77</v>
      </c>
      <c r="H809" s="3" t="s">
        <v>26</v>
      </c>
      <c r="I809" s="8">
        <v>45109</v>
      </c>
      <c r="J809" s="8">
        <v>45117</v>
      </c>
      <c r="K809" s="3">
        <v>8</v>
      </c>
      <c r="L809" s="3" t="s">
        <v>231</v>
      </c>
      <c r="M809" s="3" t="s">
        <v>53</v>
      </c>
      <c r="N809" s="3" t="s">
        <v>84</v>
      </c>
      <c r="O809" s="3" t="s">
        <v>42</v>
      </c>
      <c r="P809" s="30">
        <v>68090</v>
      </c>
      <c r="Q809" s="3" t="s">
        <v>181</v>
      </c>
      <c r="R809" s="3">
        <v>9</v>
      </c>
      <c r="S809" s="3">
        <v>306</v>
      </c>
      <c r="T809" s="3">
        <v>37.299999999999997</v>
      </c>
      <c r="U809" s="3" t="s">
        <v>44</v>
      </c>
      <c r="V809" s="18" t="s">
        <v>33</v>
      </c>
    </row>
    <row r="810" spans="1:22" ht="15" customHeight="1" x14ac:dyDescent="0.25">
      <c r="A810" s="15" t="s">
        <v>1630</v>
      </c>
      <c r="B810" s="1" t="s">
        <v>1631</v>
      </c>
      <c r="C810">
        <v>92</v>
      </c>
      <c r="D810" s="1" t="s">
        <v>36</v>
      </c>
      <c r="E810" s="1" t="s">
        <v>23</v>
      </c>
      <c r="F810" s="1" t="s">
        <v>76</v>
      </c>
      <c r="G810" s="1" t="s">
        <v>131</v>
      </c>
      <c r="H810" s="1" t="s">
        <v>51</v>
      </c>
      <c r="I810" s="7">
        <v>43506</v>
      </c>
      <c r="J810" s="7">
        <v>43510</v>
      </c>
      <c r="K810" s="1">
        <v>4</v>
      </c>
      <c r="L810" s="1" t="s">
        <v>185</v>
      </c>
      <c r="M810" s="1" t="s">
        <v>186</v>
      </c>
      <c r="N810" s="1" t="s">
        <v>133</v>
      </c>
      <c r="O810" s="1" t="s">
        <v>66</v>
      </c>
      <c r="P810" s="29">
        <v>27693.439999999999</v>
      </c>
      <c r="Q810" s="1" t="s">
        <v>266</v>
      </c>
      <c r="R810" s="1">
        <v>6</v>
      </c>
      <c r="S810" s="1">
        <v>186</v>
      </c>
      <c r="T810" s="1">
        <v>16</v>
      </c>
      <c r="U810" s="1" t="s">
        <v>44</v>
      </c>
      <c r="V810" s="17" t="s">
        <v>33</v>
      </c>
    </row>
    <row r="811" spans="1:22" ht="15" customHeight="1" x14ac:dyDescent="0.25">
      <c r="A811" s="16" t="s">
        <v>1632</v>
      </c>
      <c r="B811" s="3" t="s">
        <v>1633</v>
      </c>
      <c r="C811">
        <v>37</v>
      </c>
      <c r="D811" s="3" t="s">
        <v>98</v>
      </c>
      <c r="E811" s="3" t="s">
        <v>48</v>
      </c>
      <c r="F811" s="3" t="s">
        <v>24</v>
      </c>
      <c r="G811" s="3" t="s">
        <v>77</v>
      </c>
      <c r="H811" s="3" t="s">
        <v>78</v>
      </c>
      <c r="I811" s="8">
        <v>44005</v>
      </c>
      <c r="J811" s="8">
        <v>43837</v>
      </c>
      <c r="K811" s="3">
        <v>8</v>
      </c>
      <c r="L811" s="3" t="s">
        <v>39</v>
      </c>
      <c r="M811" s="3" t="s">
        <v>40</v>
      </c>
      <c r="N811" s="3" t="s">
        <v>84</v>
      </c>
      <c r="O811" s="3" t="s">
        <v>42</v>
      </c>
      <c r="P811" s="30">
        <v>41786.53</v>
      </c>
      <c r="Q811" s="3" t="s">
        <v>123</v>
      </c>
      <c r="R811" s="3">
        <v>10</v>
      </c>
      <c r="S811" s="3">
        <v>157</v>
      </c>
      <c r="T811" s="3">
        <v>41.4</v>
      </c>
      <c r="U811" s="3" t="s">
        <v>44</v>
      </c>
      <c r="V811" s="18" t="s">
        <v>33</v>
      </c>
    </row>
    <row r="812" spans="1:22" ht="15" customHeight="1" x14ac:dyDescent="0.25">
      <c r="A812" s="15" t="s">
        <v>1634</v>
      </c>
      <c r="B812" s="1" t="s">
        <v>956</v>
      </c>
      <c r="C812">
        <v>58</v>
      </c>
      <c r="D812" s="1" t="s">
        <v>59</v>
      </c>
      <c r="E812" s="1" t="s">
        <v>23</v>
      </c>
      <c r="F812" s="1" t="s">
        <v>49</v>
      </c>
      <c r="G812" s="1" t="s">
        <v>131</v>
      </c>
      <c r="H812" s="1" t="s">
        <v>51</v>
      </c>
      <c r="I812" s="7">
        <v>44511</v>
      </c>
      <c r="J812" s="7">
        <v>44517</v>
      </c>
      <c r="K812" s="1">
        <v>6</v>
      </c>
      <c r="L812" s="1" t="s">
        <v>122</v>
      </c>
      <c r="M812" s="1" t="s">
        <v>40</v>
      </c>
      <c r="N812" s="1" t="s">
        <v>147</v>
      </c>
      <c r="O812" s="1" t="s">
        <v>104</v>
      </c>
      <c r="P812" s="29">
        <v>17837.650000000001</v>
      </c>
      <c r="Q812" s="1" t="s">
        <v>134</v>
      </c>
      <c r="R812" s="1">
        <v>7</v>
      </c>
      <c r="S812" s="1">
        <v>151</v>
      </c>
      <c r="T812" s="1">
        <v>25</v>
      </c>
      <c r="U812" s="1" t="s">
        <v>44</v>
      </c>
      <c r="V812" s="17" t="s">
        <v>33</v>
      </c>
    </row>
    <row r="813" spans="1:22" ht="15" customHeight="1" x14ac:dyDescent="0.25">
      <c r="A813" s="16" t="s">
        <v>1635</v>
      </c>
      <c r="B813" s="3" t="s">
        <v>1077</v>
      </c>
      <c r="C813">
        <v>70</v>
      </c>
      <c r="D813" s="3" t="s">
        <v>82</v>
      </c>
      <c r="E813" s="3" t="s">
        <v>23</v>
      </c>
      <c r="F813" s="3" t="s">
        <v>155</v>
      </c>
      <c r="G813" s="3" t="s">
        <v>163</v>
      </c>
      <c r="H813" s="3" t="s">
        <v>26</v>
      </c>
      <c r="I813" s="8">
        <v>45655</v>
      </c>
      <c r="J813" s="8">
        <v>45839</v>
      </c>
      <c r="K813" s="3">
        <v>9</v>
      </c>
      <c r="L813" s="3" t="s">
        <v>122</v>
      </c>
      <c r="M813" s="3" t="s">
        <v>40</v>
      </c>
      <c r="N813" s="3" t="s">
        <v>164</v>
      </c>
      <c r="O813" s="3" t="s">
        <v>30</v>
      </c>
      <c r="P813" s="30">
        <v>32379.53</v>
      </c>
      <c r="Q813" s="3" t="s">
        <v>257</v>
      </c>
      <c r="R813" s="3">
        <v>6</v>
      </c>
      <c r="S813" s="3">
        <v>232</v>
      </c>
      <c r="T813" s="3">
        <v>25.9</v>
      </c>
      <c r="U813" s="3" t="s">
        <v>32</v>
      </c>
      <c r="V813" s="18" t="s">
        <v>33</v>
      </c>
    </row>
    <row r="814" spans="1:22" ht="15" customHeight="1" x14ac:dyDescent="0.25">
      <c r="A814" s="15" t="s">
        <v>1636</v>
      </c>
      <c r="B814" s="1" t="s">
        <v>449</v>
      </c>
      <c r="C814">
        <v>59</v>
      </c>
      <c r="D814" s="1" t="s">
        <v>59</v>
      </c>
      <c r="E814" s="1" t="s">
        <v>48</v>
      </c>
      <c r="F814" s="1" t="s">
        <v>99</v>
      </c>
      <c r="G814" s="1" t="s">
        <v>77</v>
      </c>
      <c r="H814" s="1" t="s">
        <v>26</v>
      </c>
      <c r="I814" s="7">
        <v>45213</v>
      </c>
      <c r="J814" s="10"/>
      <c r="K814" s="1"/>
      <c r="L814" s="1" t="s">
        <v>185</v>
      </c>
      <c r="M814" s="1" t="s">
        <v>186</v>
      </c>
      <c r="N814" s="1" t="s">
        <v>84</v>
      </c>
      <c r="O814" s="1" t="s">
        <v>42</v>
      </c>
      <c r="P814" s="29">
        <v>98366.41</v>
      </c>
      <c r="Q814" s="1" t="s">
        <v>91</v>
      </c>
      <c r="R814" s="1">
        <v>10</v>
      </c>
      <c r="S814" s="1">
        <v>374</v>
      </c>
      <c r="T814" s="4"/>
      <c r="U814" s="1" t="s">
        <v>44</v>
      </c>
      <c r="V814" s="17" t="s">
        <v>33</v>
      </c>
    </row>
    <row r="815" spans="1:22" ht="15" customHeight="1" x14ac:dyDescent="0.25">
      <c r="A815" s="16" t="s">
        <v>1637</v>
      </c>
      <c r="B815" s="3" t="s">
        <v>1638</v>
      </c>
      <c r="C815">
        <v>60</v>
      </c>
      <c r="D815" s="3" t="s">
        <v>59</v>
      </c>
      <c r="E815" s="3" t="s">
        <v>48</v>
      </c>
      <c r="F815" s="3" t="s">
        <v>37</v>
      </c>
      <c r="G815" s="3" t="s">
        <v>71</v>
      </c>
      <c r="H815" s="3" t="s">
        <v>26</v>
      </c>
      <c r="I815" s="8">
        <v>44141</v>
      </c>
      <c r="J815" s="8">
        <v>44085</v>
      </c>
      <c r="K815" s="3">
        <v>3</v>
      </c>
      <c r="L815" s="3" t="s">
        <v>231</v>
      </c>
      <c r="M815" s="3" t="s">
        <v>53</v>
      </c>
      <c r="N815" s="3" t="s">
        <v>312</v>
      </c>
      <c r="O815" s="3" t="s">
        <v>55</v>
      </c>
      <c r="P815" s="30">
        <v>27830.67</v>
      </c>
      <c r="Q815" s="3" t="s">
        <v>503</v>
      </c>
      <c r="R815" s="3">
        <v>5</v>
      </c>
      <c r="S815" s="3">
        <v>407</v>
      </c>
      <c r="T815" s="3">
        <v>28.8</v>
      </c>
      <c r="U815" s="3" t="s">
        <v>32</v>
      </c>
      <c r="V815" s="18" t="s">
        <v>33</v>
      </c>
    </row>
    <row r="816" spans="1:22" ht="15" customHeight="1" x14ac:dyDescent="0.25">
      <c r="A816" s="15" t="s">
        <v>1639</v>
      </c>
      <c r="B816" s="1" t="s">
        <v>1640</v>
      </c>
      <c r="C816">
        <v>64</v>
      </c>
      <c r="D816" s="1" t="s">
        <v>59</v>
      </c>
      <c r="E816" s="1" t="s">
        <v>48</v>
      </c>
      <c r="F816" s="1" t="s">
        <v>83</v>
      </c>
      <c r="G816" s="1" t="s">
        <v>77</v>
      </c>
      <c r="H816" s="1" t="s">
        <v>26</v>
      </c>
      <c r="I816" s="6">
        <v>44566</v>
      </c>
      <c r="J816" s="7">
        <v>44778</v>
      </c>
      <c r="K816" s="1">
        <v>7</v>
      </c>
      <c r="L816" s="1" t="s">
        <v>102</v>
      </c>
      <c r="M816" s="1" t="s">
        <v>28</v>
      </c>
      <c r="N816" s="1" t="s">
        <v>94</v>
      </c>
      <c r="O816" s="1" t="s">
        <v>42</v>
      </c>
      <c r="P816" s="29">
        <v>158088.5</v>
      </c>
      <c r="Q816" s="1" t="s">
        <v>181</v>
      </c>
      <c r="R816" s="1">
        <v>9</v>
      </c>
      <c r="S816" s="1">
        <v>320</v>
      </c>
      <c r="T816" s="1">
        <v>39.299999999999997</v>
      </c>
      <c r="U816" s="1" t="s">
        <v>44</v>
      </c>
      <c r="V816" s="17" t="s">
        <v>45</v>
      </c>
    </row>
    <row r="817" spans="1:22" ht="15" customHeight="1" x14ac:dyDescent="0.25">
      <c r="A817" s="16" t="s">
        <v>1641</v>
      </c>
      <c r="B817" s="3" t="s">
        <v>1642</v>
      </c>
      <c r="C817">
        <v>75</v>
      </c>
      <c r="D817" s="3" t="s">
        <v>36</v>
      </c>
      <c r="E817" s="3" t="s">
        <v>48</v>
      </c>
      <c r="F817" s="3" t="s">
        <v>155</v>
      </c>
      <c r="G817" s="3" t="s">
        <v>77</v>
      </c>
      <c r="H817" s="3" t="s">
        <v>51</v>
      </c>
      <c r="I817" s="6">
        <v>43679</v>
      </c>
      <c r="J817" s="8">
        <v>43509</v>
      </c>
      <c r="K817" s="3">
        <v>5</v>
      </c>
      <c r="L817" s="3" t="s">
        <v>102</v>
      </c>
      <c r="M817" s="3" t="s">
        <v>28</v>
      </c>
      <c r="N817" s="3" t="s">
        <v>94</v>
      </c>
      <c r="O817" s="3" t="s">
        <v>66</v>
      </c>
      <c r="P817" s="30">
        <v>56797.87</v>
      </c>
      <c r="Q817" s="3" t="s">
        <v>91</v>
      </c>
      <c r="R817" s="3">
        <v>10</v>
      </c>
      <c r="S817" s="3">
        <v>176</v>
      </c>
      <c r="T817" s="3">
        <v>35.200000000000003</v>
      </c>
      <c r="U817" s="3" t="s">
        <v>44</v>
      </c>
      <c r="V817" s="18" t="s">
        <v>45</v>
      </c>
    </row>
    <row r="818" spans="1:22" ht="15" customHeight="1" x14ac:dyDescent="0.25">
      <c r="A818" s="15" t="s">
        <v>1643</v>
      </c>
      <c r="B818" s="1" t="s">
        <v>1644</v>
      </c>
      <c r="C818">
        <v>78</v>
      </c>
      <c r="D818" s="1" t="s">
        <v>36</v>
      </c>
      <c r="E818" s="1" t="s">
        <v>48</v>
      </c>
      <c r="F818" s="1" t="s">
        <v>99</v>
      </c>
      <c r="G818" s="1" t="s">
        <v>50</v>
      </c>
      <c r="H818" s="1" t="s">
        <v>26</v>
      </c>
      <c r="I818" s="6">
        <v>44738</v>
      </c>
      <c r="J818" s="7">
        <v>44750</v>
      </c>
      <c r="K818" s="1">
        <v>12</v>
      </c>
      <c r="L818" s="1" t="s">
        <v>185</v>
      </c>
      <c r="M818" s="1" t="s">
        <v>186</v>
      </c>
      <c r="N818" s="1" t="s">
        <v>126</v>
      </c>
      <c r="O818" s="1" t="s">
        <v>42</v>
      </c>
      <c r="P818" s="29">
        <v>110345</v>
      </c>
      <c r="Q818" s="1" t="s">
        <v>623</v>
      </c>
      <c r="R818" s="1">
        <v>9</v>
      </c>
      <c r="S818" s="1">
        <v>368</v>
      </c>
      <c r="T818" s="1">
        <v>16.899999999999999</v>
      </c>
      <c r="U818" s="1" t="s">
        <v>44</v>
      </c>
      <c r="V818" s="17" t="s">
        <v>45</v>
      </c>
    </row>
    <row r="819" spans="1:22" ht="15" customHeight="1" x14ac:dyDescent="0.25">
      <c r="A819" s="16" t="s">
        <v>1645</v>
      </c>
      <c r="B819" s="3" t="s">
        <v>1646</v>
      </c>
      <c r="C819">
        <v>61</v>
      </c>
      <c r="D819" s="3" t="s">
        <v>59</v>
      </c>
      <c r="E819" s="3" t="s">
        <v>48</v>
      </c>
      <c r="F819" s="3" t="s">
        <v>70</v>
      </c>
      <c r="G819" s="3" t="s">
        <v>25</v>
      </c>
      <c r="H819" s="3" t="s">
        <v>51</v>
      </c>
      <c r="I819" s="8">
        <v>44157</v>
      </c>
      <c r="J819" s="8">
        <v>44162</v>
      </c>
      <c r="K819" s="3">
        <v>5</v>
      </c>
      <c r="L819" s="3" t="s">
        <v>185</v>
      </c>
      <c r="M819" s="3" t="s">
        <v>186</v>
      </c>
      <c r="N819" s="3" t="s">
        <v>29</v>
      </c>
      <c r="O819" s="3" t="s">
        <v>66</v>
      </c>
      <c r="P819" s="30">
        <v>56228</v>
      </c>
      <c r="Q819" s="3" t="s">
        <v>31</v>
      </c>
      <c r="R819" s="3">
        <v>12</v>
      </c>
      <c r="S819" s="3">
        <v>182</v>
      </c>
      <c r="T819" s="3">
        <v>29.5</v>
      </c>
      <c r="U819" s="3" t="s">
        <v>44</v>
      </c>
      <c r="V819" s="18" t="s">
        <v>33</v>
      </c>
    </row>
    <row r="820" spans="1:22" ht="15" customHeight="1" x14ac:dyDescent="0.25">
      <c r="A820" s="15" t="s">
        <v>1647</v>
      </c>
      <c r="B820" s="1" t="s">
        <v>1648</v>
      </c>
      <c r="C820">
        <v>70</v>
      </c>
      <c r="D820" s="1" t="s">
        <v>82</v>
      </c>
      <c r="E820" s="1" t="s">
        <v>23</v>
      </c>
      <c r="F820" s="1" t="s">
        <v>37</v>
      </c>
      <c r="G820" s="1" t="s">
        <v>131</v>
      </c>
      <c r="H820" s="1" t="s">
        <v>51</v>
      </c>
      <c r="I820" s="7">
        <v>43716</v>
      </c>
      <c r="J820" s="7">
        <v>43720</v>
      </c>
      <c r="K820" s="1">
        <v>4</v>
      </c>
      <c r="L820" s="1" t="s">
        <v>112</v>
      </c>
      <c r="M820" s="1" t="s">
        <v>40</v>
      </c>
      <c r="N820" s="1" t="s">
        <v>157</v>
      </c>
      <c r="O820" s="1" t="s">
        <v>42</v>
      </c>
      <c r="P820" s="29">
        <v>18773.259999999998</v>
      </c>
      <c r="Q820" s="1" t="s">
        <v>291</v>
      </c>
      <c r="R820" s="1">
        <v>7</v>
      </c>
      <c r="S820" s="1">
        <v>144</v>
      </c>
      <c r="T820" s="1">
        <v>25.4</v>
      </c>
      <c r="U820" s="1" t="s">
        <v>32</v>
      </c>
      <c r="V820" s="17" t="s">
        <v>33</v>
      </c>
    </row>
    <row r="821" spans="1:22" ht="15" customHeight="1" x14ac:dyDescent="0.25">
      <c r="A821" s="16" t="s">
        <v>1649</v>
      </c>
      <c r="B821" s="2" t="s">
        <v>245</v>
      </c>
      <c r="C821">
        <v>51</v>
      </c>
      <c r="D821" s="3" t="s">
        <v>98</v>
      </c>
      <c r="E821" s="3" t="s">
        <v>23</v>
      </c>
      <c r="F821" s="3" t="s">
        <v>83</v>
      </c>
      <c r="G821" s="3" t="s">
        <v>131</v>
      </c>
      <c r="H821" s="3" t="s">
        <v>51</v>
      </c>
      <c r="I821" s="8">
        <v>44318</v>
      </c>
      <c r="J821" s="8">
        <v>44325</v>
      </c>
      <c r="K821" s="3">
        <v>7</v>
      </c>
      <c r="L821" s="3" t="s">
        <v>132</v>
      </c>
      <c r="M821" s="3" t="s">
        <v>53</v>
      </c>
      <c r="N821" s="3" t="s">
        <v>147</v>
      </c>
      <c r="O821" s="3" t="s">
        <v>30</v>
      </c>
      <c r="P821" s="30">
        <v>10006.549999999999</v>
      </c>
      <c r="Q821" s="3" t="s">
        <v>266</v>
      </c>
      <c r="R821" s="3">
        <v>6</v>
      </c>
      <c r="S821" s="3">
        <v>109</v>
      </c>
      <c r="T821" s="4"/>
      <c r="U821" s="3" t="s">
        <v>32</v>
      </c>
      <c r="V821" s="18" t="s">
        <v>33</v>
      </c>
    </row>
    <row r="822" spans="1:22" ht="15" customHeight="1" x14ac:dyDescent="0.25">
      <c r="A822" s="15" t="s">
        <v>1650</v>
      </c>
      <c r="B822" s="1" t="s">
        <v>1651</v>
      </c>
      <c r="C822">
        <v>90</v>
      </c>
      <c r="D822" s="1" t="s">
        <v>36</v>
      </c>
      <c r="E822" s="1" t="s">
        <v>48</v>
      </c>
      <c r="F822" s="1" t="s">
        <v>155</v>
      </c>
      <c r="G822" s="1" t="s">
        <v>131</v>
      </c>
      <c r="H822" s="1" t="s">
        <v>156</v>
      </c>
      <c r="I822" s="6">
        <v>43532</v>
      </c>
      <c r="J822" s="7">
        <v>43685</v>
      </c>
      <c r="K822" s="1">
        <v>5</v>
      </c>
      <c r="L822" s="1" t="s">
        <v>132</v>
      </c>
      <c r="M822" s="1" t="s">
        <v>53</v>
      </c>
      <c r="N822" s="1" t="s">
        <v>157</v>
      </c>
      <c r="O822" s="1" t="s">
        <v>30</v>
      </c>
      <c r="P822" s="29">
        <v>19629</v>
      </c>
      <c r="Q822" s="1" t="s">
        <v>152</v>
      </c>
      <c r="R822" s="1">
        <v>5</v>
      </c>
      <c r="S822" s="1">
        <v>138</v>
      </c>
      <c r="T822" s="1">
        <v>29.3</v>
      </c>
      <c r="U822" s="1" t="s">
        <v>44</v>
      </c>
      <c r="V822" s="17" t="s">
        <v>33</v>
      </c>
    </row>
    <row r="823" spans="1:22" ht="15" customHeight="1" x14ac:dyDescent="0.25">
      <c r="A823" s="16" t="s">
        <v>1652</v>
      </c>
      <c r="B823" s="3" t="s">
        <v>1653</v>
      </c>
      <c r="C823">
        <v>75</v>
      </c>
      <c r="D823" s="3" t="s">
        <v>36</v>
      </c>
      <c r="E823" s="3" t="s">
        <v>23</v>
      </c>
      <c r="F823" s="3" t="s">
        <v>49</v>
      </c>
      <c r="G823" s="3" t="s">
        <v>163</v>
      </c>
      <c r="H823" s="3" t="s">
        <v>51</v>
      </c>
      <c r="I823" s="6">
        <v>45569</v>
      </c>
      <c r="J823" s="8">
        <v>45394</v>
      </c>
      <c r="K823" s="3">
        <v>2</v>
      </c>
      <c r="L823" s="3" t="s">
        <v>89</v>
      </c>
      <c r="M823" s="3" t="s">
        <v>90</v>
      </c>
      <c r="N823" s="3" t="s">
        <v>164</v>
      </c>
      <c r="O823" s="3" t="s">
        <v>66</v>
      </c>
      <c r="P823" s="30">
        <v>43418.54</v>
      </c>
      <c r="Q823" s="3" t="s">
        <v>62</v>
      </c>
      <c r="R823" s="3">
        <v>4</v>
      </c>
      <c r="S823" s="3">
        <v>109</v>
      </c>
      <c r="T823" s="3">
        <v>24.6</v>
      </c>
      <c r="U823" s="3" t="s">
        <v>32</v>
      </c>
      <c r="V823" s="18" t="s">
        <v>45</v>
      </c>
    </row>
    <row r="824" spans="1:22" ht="15" customHeight="1" x14ac:dyDescent="0.25">
      <c r="A824" s="15" t="s">
        <v>1654</v>
      </c>
      <c r="B824" s="1" t="s">
        <v>1124</v>
      </c>
      <c r="C824">
        <v>68</v>
      </c>
      <c r="D824" s="1" t="s">
        <v>82</v>
      </c>
      <c r="E824" s="1" t="s">
        <v>23</v>
      </c>
      <c r="F824" s="1" t="s">
        <v>155</v>
      </c>
      <c r="G824" s="1" t="s">
        <v>71</v>
      </c>
      <c r="H824" s="1" t="s">
        <v>26</v>
      </c>
      <c r="I824" s="6">
        <v>45044</v>
      </c>
      <c r="J824" s="7">
        <v>44990</v>
      </c>
      <c r="K824" s="1">
        <v>5</v>
      </c>
      <c r="L824" s="1" t="s">
        <v>185</v>
      </c>
      <c r="M824" s="1" t="s">
        <v>186</v>
      </c>
      <c r="N824" s="1" t="s">
        <v>312</v>
      </c>
      <c r="O824" s="1" t="s">
        <v>30</v>
      </c>
      <c r="P824" s="29">
        <v>17112.169999999998</v>
      </c>
      <c r="Q824" s="1" t="s">
        <v>178</v>
      </c>
      <c r="R824" s="1">
        <v>3</v>
      </c>
      <c r="S824" s="1">
        <v>491</v>
      </c>
      <c r="T824" s="4"/>
      <c r="U824" s="1" t="s">
        <v>44</v>
      </c>
      <c r="V824" s="17" t="s">
        <v>33</v>
      </c>
    </row>
    <row r="825" spans="1:22" ht="15" customHeight="1" x14ac:dyDescent="0.25">
      <c r="A825" s="16" t="s">
        <v>1655</v>
      </c>
      <c r="B825" s="3" t="s">
        <v>726</v>
      </c>
      <c r="C825">
        <v>72</v>
      </c>
      <c r="D825" s="3" t="s">
        <v>82</v>
      </c>
      <c r="E825" s="3" t="s">
        <v>48</v>
      </c>
      <c r="F825" s="3" t="s">
        <v>24</v>
      </c>
      <c r="G825" s="3" t="s">
        <v>163</v>
      </c>
      <c r="H825" s="3" t="s">
        <v>51</v>
      </c>
      <c r="I825" s="8">
        <v>45046</v>
      </c>
      <c r="J825" s="8">
        <v>45021</v>
      </c>
      <c r="K825" s="3">
        <v>4</v>
      </c>
      <c r="L825" s="3" t="s">
        <v>27</v>
      </c>
      <c r="M825" s="3" t="s">
        <v>28</v>
      </c>
      <c r="N825" s="3" t="s">
        <v>346</v>
      </c>
      <c r="O825" s="3" t="s">
        <v>42</v>
      </c>
      <c r="P825" s="30">
        <v>51508.35</v>
      </c>
      <c r="Q825" s="3" t="s">
        <v>259</v>
      </c>
      <c r="R825" s="3">
        <v>4</v>
      </c>
      <c r="S825" s="3">
        <v>175</v>
      </c>
      <c r="T825" s="3">
        <v>32.200000000000003</v>
      </c>
      <c r="U825" s="3" t="s">
        <v>32</v>
      </c>
      <c r="V825" s="18" t="s">
        <v>33</v>
      </c>
    </row>
    <row r="826" spans="1:22" ht="15" customHeight="1" x14ac:dyDescent="0.25">
      <c r="A826" s="15" t="s">
        <v>1656</v>
      </c>
      <c r="B826" s="1" t="s">
        <v>1657</v>
      </c>
      <c r="C826">
        <v>50</v>
      </c>
      <c r="D826" s="1" t="s">
        <v>98</v>
      </c>
      <c r="E826" s="1" t="s">
        <v>23</v>
      </c>
      <c r="F826" s="1" t="s">
        <v>24</v>
      </c>
      <c r="G826" s="1" t="s">
        <v>38</v>
      </c>
      <c r="H826" s="1" t="s">
        <v>26</v>
      </c>
      <c r="I826" s="7">
        <v>43925</v>
      </c>
      <c r="J826" s="7">
        <v>44047</v>
      </c>
      <c r="K826" s="1">
        <v>4</v>
      </c>
      <c r="L826" s="1" t="s">
        <v>112</v>
      </c>
      <c r="M826" s="1" t="s">
        <v>40</v>
      </c>
      <c r="N826" s="1" t="s">
        <v>41</v>
      </c>
      <c r="O826" s="1" t="s">
        <v>42</v>
      </c>
      <c r="P826" s="29">
        <v>41334</v>
      </c>
      <c r="Q826" s="1" t="s">
        <v>236</v>
      </c>
      <c r="R826" s="1">
        <v>8</v>
      </c>
      <c r="S826" s="1">
        <v>277</v>
      </c>
      <c r="T826" s="1">
        <v>18.2</v>
      </c>
      <c r="U826" s="1" t="s">
        <v>44</v>
      </c>
      <c r="V826" s="17" t="s">
        <v>33</v>
      </c>
    </row>
    <row r="827" spans="1:22" ht="15" customHeight="1" x14ac:dyDescent="0.25">
      <c r="A827" s="16" t="s">
        <v>1658</v>
      </c>
      <c r="B827" s="3" t="s">
        <v>519</v>
      </c>
      <c r="C827">
        <v>30</v>
      </c>
      <c r="D827" s="3" t="s">
        <v>47</v>
      </c>
      <c r="E827" s="3" t="s">
        <v>23</v>
      </c>
      <c r="F827" s="3" t="s">
        <v>76</v>
      </c>
      <c r="G827" s="3" t="s">
        <v>38</v>
      </c>
      <c r="H827" s="3" t="s">
        <v>26</v>
      </c>
      <c r="I827" s="6">
        <v>44848</v>
      </c>
      <c r="J827" s="8">
        <v>44852</v>
      </c>
      <c r="K827" s="3">
        <v>4</v>
      </c>
      <c r="L827" s="3" t="s">
        <v>27</v>
      </c>
      <c r="M827" s="3" t="s">
        <v>28</v>
      </c>
      <c r="N827" s="3" t="s">
        <v>203</v>
      </c>
      <c r="O827" s="3" t="s">
        <v>42</v>
      </c>
      <c r="P827" s="30">
        <v>15059.84</v>
      </c>
      <c r="Q827" s="3" t="s">
        <v>236</v>
      </c>
      <c r="R827" s="3">
        <v>3</v>
      </c>
      <c r="S827" s="3">
        <v>108</v>
      </c>
      <c r="T827" s="4"/>
      <c r="U827" s="3" t="s">
        <v>86</v>
      </c>
      <c r="V827" s="18" t="s">
        <v>33</v>
      </c>
    </row>
    <row r="828" spans="1:22" ht="15" customHeight="1" x14ac:dyDescent="0.25">
      <c r="A828" s="15" t="s">
        <v>1659</v>
      </c>
      <c r="B828" s="1" t="s">
        <v>1660</v>
      </c>
      <c r="C828">
        <v>58</v>
      </c>
      <c r="D828" s="1" t="s">
        <v>59</v>
      </c>
      <c r="E828" s="1" t="s">
        <v>23</v>
      </c>
      <c r="F828" s="1" t="s">
        <v>24</v>
      </c>
      <c r="G828" s="1" t="s">
        <v>60</v>
      </c>
      <c r="H828" s="1" t="s">
        <v>51</v>
      </c>
      <c r="I828" s="7">
        <v>45436</v>
      </c>
      <c r="J828" s="7">
        <v>45443</v>
      </c>
      <c r="K828" s="1">
        <v>7</v>
      </c>
      <c r="L828" s="1" t="s">
        <v>231</v>
      </c>
      <c r="M828" s="1" t="s">
        <v>53</v>
      </c>
      <c r="N828" s="1" t="s">
        <v>61</v>
      </c>
      <c r="O828" s="1" t="s">
        <v>30</v>
      </c>
      <c r="P828" s="29">
        <v>30632.27</v>
      </c>
      <c r="Q828" s="1" t="s">
        <v>170</v>
      </c>
      <c r="R828" s="1">
        <v>6</v>
      </c>
      <c r="S828" s="1">
        <v>164</v>
      </c>
      <c r="T828" s="1">
        <v>25.7</v>
      </c>
      <c r="U828" s="1" t="s">
        <v>86</v>
      </c>
      <c r="V828" s="17" t="s">
        <v>33</v>
      </c>
    </row>
    <row r="829" spans="1:22" ht="15" customHeight="1" x14ac:dyDescent="0.25">
      <c r="A829" s="16" t="s">
        <v>1661</v>
      </c>
      <c r="B829" s="3" t="s">
        <v>1662</v>
      </c>
      <c r="C829">
        <v>68</v>
      </c>
      <c r="D829" s="3" t="s">
        <v>82</v>
      </c>
      <c r="E829" s="3" t="s">
        <v>48</v>
      </c>
      <c r="F829" s="3" t="s">
        <v>99</v>
      </c>
      <c r="G829" s="3" t="s">
        <v>25</v>
      </c>
      <c r="H829" s="3" t="s">
        <v>51</v>
      </c>
      <c r="I829" s="6">
        <v>43892</v>
      </c>
      <c r="J829" s="8">
        <v>44167</v>
      </c>
      <c r="K829" s="3">
        <v>9</v>
      </c>
      <c r="L829" s="3" t="s">
        <v>231</v>
      </c>
      <c r="M829" s="3" t="s">
        <v>53</v>
      </c>
      <c r="N829" s="3" t="s">
        <v>65</v>
      </c>
      <c r="O829" s="3" t="s">
        <v>42</v>
      </c>
      <c r="P829" s="30">
        <v>96788.96</v>
      </c>
      <c r="Q829" s="3" t="s">
        <v>269</v>
      </c>
      <c r="R829" s="3">
        <v>12</v>
      </c>
      <c r="S829" s="3">
        <v>162</v>
      </c>
      <c r="T829" s="3">
        <v>21.4</v>
      </c>
      <c r="U829" s="3" t="s">
        <v>44</v>
      </c>
      <c r="V829" s="18" t="s">
        <v>33</v>
      </c>
    </row>
    <row r="830" spans="1:22" ht="15" customHeight="1" x14ac:dyDescent="0.25">
      <c r="A830" s="15" t="s">
        <v>1663</v>
      </c>
      <c r="B830" s="1" t="s">
        <v>1664</v>
      </c>
      <c r="C830">
        <v>71</v>
      </c>
      <c r="D830" s="1" t="s">
        <v>82</v>
      </c>
      <c r="E830" s="1" t="s">
        <v>23</v>
      </c>
      <c r="F830" s="1" t="s">
        <v>76</v>
      </c>
      <c r="G830" s="1" t="s">
        <v>60</v>
      </c>
      <c r="H830" s="1" t="s">
        <v>26</v>
      </c>
      <c r="I830" s="7">
        <v>43874</v>
      </c>
      <c r="J830" s="7">
        <v>43881</v>
      </c>
      <c r="K830" s="1">
        <v>7</v>
      </c>
      <c r="L830" s="1" t="s">
        <v>112</v>
      </c>
      <c r="M830" s="1" t="s">
        <v>40</v>
      </c>
      <c r="N830" s="1" t="s">
        <v>61</v>
      </c>
      <c r="O830" s="1" t="s">
        <v>42</v>
      </c>
      <c r="P830" s="29">
        <v>56911</v>
      </c>
      <c r="Q830" s="1" t="s">
        <v>170</v>
      </c>
      <c r="R830" s="1">
        <v>6</v>
      </c>
      <c r="S830" s="1">
        <v>194</v>
      </c>
      <c r="T830" s="1">
        <v>29.8</v>
      </c>
      <c r="U830" s="1" t="s">
        <v>44</v>
      </c>
      <c r="V830" s="17" t="s">
        <v>45</v>
      </c>
    </row>
    <row r="831" spans="1:22" ht="15" customHeight="1" x14ac:dyDescent="0.25">
      <c r="A831" s="16" t="s">
        <v>1665</v>
      </c>
      <c r="B831" s="3" t="s">
        <v>1666</v>
      </c>
      <c r="C831">
        <v>78</v>
      </c>
      <c r="D831" s="3" t="s">
        <v>36</v>
      </c>
      <c r="E831" s="3" t="s">
        <v>48</v>
      </c>
      <c r="F831" s="3" t="s">
        <v>37</v>
      </c>
      <c r="G831" s="3" t="s">
        <v>163</v>
      </c>
      <c r="H831" s="3" t="s">
        <v>51</v>
      </c>
      <c r="I831" s="6">
        <v>43936</v>
      </c>
      <c r="J831" s="8">
        <v>43941</v>
      </c>
      <c r="K831" s="3">
        <v>5</v>
      </c>
      <c r="L831" s="3" t="s">
        <v>122</v>
      </c>
      <c r="M831" s="3" t="s">
        <v>40</v>
      </c>
      <c r="N831" s="3" t="s">
        <v>346</v>
      </c>
      <c r="O831" s="3" t="s">
        <v>30</v>
      </c>
      <c r="P831" s="30">
        <v>28136.31</v>
      </c>
      <c r="Q831" s="3" t="s">
        <v>165</v>
      </c>
      <c r="R831" s="3">
        <v>5</v>
      </c>
      <c r="S831" s="3">
        <v>141</v>
      </c>
      <c r="T831" s="3">
        <v>25.7</v>
      </c>
      <c r="U831" s="3" t="s">
        <v>32</v>
      </c>
      <c r="V831" s="18" t="s">
        <v>33</v>
      </c>
    </row>
    <row r="832" spans="1:22" ht="15" customHeight="1" x14ac:dyDescent="0.25">
      <c r="A832" s="15" t="s">
        <v>1667</v>
      </c>
      <c r="B832" s="1" t="s">
        <v>1417</v>
      </c>
      <c r="C832">
        <v>55</v>
      </c>
      <c r="D832" s="1" t="s">
        <v>59</v>
      </c>
      <c r="E832" s="1" t="s">
        <v>23</v>
      </c>
      <c r="F832" s="1" t="s">
        <v>83</v>
      </c>
      <c r="G832" s="1" t="s">
        <v>131</v>
      </c>
      <c r="H832" s="1" t="s">
        <v>26</v>
      </c>
      <c r="I832" s="7">
        <v>44150</v>
      </c>
      <c r="J832" s="7">
        <v>44154</v>
      </c>
      <c r="K832" s="1">
        <v>4</v>
      </c>
      <c r="L832" s="1" t="s">
        <v>89</v>
      </c>
      <c r="M832" s="1" t="s">
        <v>90</v>
      </c>
      <c r="N832" s="1" t="s">
        <v>147</v>
      </c>
      <c r="O832" s="1" t="s">
        <v>42</v>
      </c>
      <c r="P832" s="29">
        <v>21621.26</v>
      </c>
      <c r="Q832" s="1" t="s">
        <v>695</v>
      </c>
      <c r="R832" s="1">
        <v>7</v>
      </c>
      <c r="S832" s="1">
        <v>300</v>
      </c>
      <c r="T832" s="1">
        <v>33.200000000000003</v>
      </c>
      <c r="U832" s="1" t="s">
        <v>32</v>
      </c>
      <c r="V832" s="17" t="s">
        <v>33</v>
      </c>
    </row>
    <row r="833" spans="1:22" ht="15" customHeight="1" x14ac:dyDescent="0.25">
      <c r="A833" s="16" t="s">
        <v>1668</v>
      </c>
      <c r="B833" s="3" t="s">
        <v>705</v>
      </c>
      <c r="C833">
        <v>34</v>
      </c>
      <c r="D833" s="3" t="s">
        <v>47</v>
      </c>
      <c r="E833" s="3" t="s">
        <v>48</v>
      </c>
      <c r="F833" s="3" t="s">
        <v>49</v>
      </c>
      <c r="G833" s="3" t="s">
        <v>50</v>
      </c>
      <c r="H833" s="3" t="s">
        <v>156</v>
      </c>
      <c r="I833" s="6">
        <v>44051</v>
      </c>
      <c r="J833" s="8">
        <v>44058</v>
      </c>
      <c r="K833" s="3">
        <v>7</v>
      </c>
      <c r="L833" s="3" t="s">
        <v>52</v>
      </c>
      <c r="M833" s="3" t="s">
        <v>53</v>
      </c>
      <c r="N833" s="3" t="s">
        <v>116</v>
      </c>
      <c r="O833" s="3" t="s">
        <v>30</v>
      </c>
      <c r="P833" s="30">
        <v>16497</v>
      </c>
      <c r="Q833" s="3" t="s">
        <v>351</v>
      </c>
      <c r="R833" s="3">
        <v>9</v>
      </c>
      <c r="S833" s="3">
        <v>143</v>
      </c>
      <c r="T833" s="3">
        <v>19.899999999999999</v>
      </c>
      <c r="U833" s="3" t="s">
        <v>86</v>
      </c>
      <c r="V833" s="18" t="s">
        <v>33</v>
      </c>
    </row>
    <row r="834" spans="1:22" ht="15" customHeight="1" x14ac:dyDescent="0.25">
      <c r="A834" s="15" t="s">
        <v>1669</v>
      </c>
      <c r="B834" s="1" t="s">
        <v>1670</v>
      </c>
      <c r="C834">
        <v>75</v>
      </c>
      <c r="D834" s="1" t="s">
        <v>36</v>
      </c>
      <c r="E834" s="1" t="s">
        <v>23</v>
      </c>
      <c r="F834" s="1" t="s">
        <v>76</v>
      </c>
      <c r="G834" s="1" t="s">
        <v>77</v>
      </c>
      <c r="H834" s="1" t="s">
        <v>51</v>
      </c>
      <c r="I834" s="7">
        <v>45048</v>
      </c>
      <c r="J834" s="7">
        <v>45057</v>
      </c>
      <c r="K834" s="1">
        <v>9</v>
      </c>
      <c r="L834" s="1" t="s">
        <v>102</v>
      </c>
      <c r="M834" s="1" t="s">
        <v>28</v>
      </c>
      <c r="N834" s="1" t="s">
        <v>84</v>
      </c>
      <c r="O834" s="1" t="s">
        <v>30</v>
      </c>
      <c r="P834" s="29">
        <v>66313.83</v>
      </c>
      <c r="Q834" s="1" t="s">
        <v>100</v>
      </c>
      <c r="R834" s="1">
        <v>8</v>
      </c>
      <c r="S834" s="1">
        <v>134</v>
      </c>
      <c r="T834" s="1">
        <v>30.5</v>
      </c>
      <c r="U834" s="1" t="s">
        <v>44</v>
      </c>
      <c r="V834" s="17" t="s">
        <v>45</v>
      </c>
    </row>
    <row r="835" spans="1:22" ht="15" customHeight="1" x14ac:dyDescent="0.25">
      <c r="A835" s="16" t="s">
        <v>1671</v>
      </c>
      <c r="B835" s="2" t="s">
        <v>2593</v>
      </c>
      <c r="C835">
        <v>53</v>
      </c>
      <c r="D835" s="3" t="s">
        <v>98</v>
      </c>
      <c r="E835" s="3" t="s">
        <v>48</v>
      </c>
      <c r="F835" s="3" t="s">
        <v>70</v>
      </c>
      <c r="G835" s="3" t="s">
        <v>38</v>
      </c>
      <c r="H835" s="3" t="s">
        <v>26</v>
      </c>
      <c r="I835" s="8">
        <v>44649</v>
      </c>
      <c r="J835" s="10"/>
      <c r="K835" s="3"/>
      <c r="L835" s="3" t="s">
        <v>231</v>
      </c>
      <c r="M835" s="3" t="s">
        <v>53</v>
      </c>
      <c r="N835" s="3" t="s">
        <v>173</v>
      </c>
      <c r="O835" s="3" t="s">
        <v>30</v>
      </c>
      <c r="P835" s="30">
        <v>18195.990000000002</v>
      </c>
      <c r="Q835" s="3" t="s">
        <v>43</v>
      </c>
      <c r="R835" s="3">
        <v>8</v>
      </c>
      <c r="S835" s="3">
        <v>118</v>
      </c>
      <c r="T835" s="3">
        <v>25.5</v>
      </c>
      <c r="U835" s="3" t="s">
        <v>32</v>
      </c>
      <c r="V835" s="18" t="s">
        <v>33</v>
      </c>
    </row>
    <row r="836" spans="1:22" ht="15" customHeight="1" x14ac:dyDescent="0.25">
      <c r="A836" s="15" t="s">
        <v>1672</v>
      </c>
      <c r="B836" s="1" t="s">
        <v>1536</v>
      </c>
      <c r="C836">
        <v>69</v>
      </c>
      <c r="D836" s="1" t="s">
        <v>82</v>
      </c>
      <c r="E836" s="1" t="s">
        <v>23</v>
      </c>
      <c r="F836" s="1" t="s">
        <v>83</v>
      </c>
      <c r="G836" s="1" t="s">
        <v>25</v>
      </c>
      <c r="H836" s="1" t="s">
        <v>26</v>
      </c>
      <c r="I836" s="7">
        <v>44616</v>
      </c>
      <c r="J836" s="7">
        <v>44624</v>
      </c>
      <c r="K836" s="1">
        <v>8</v>
      </c>
      <c r="L836" s="1" t="s">
        <v>102</v>
      </c>
      <c r="M836" s="1" t="s">
        <v>28</v>
      </c>
      <c r="N836" s="1" t="s">
        <v>963</v>
      </c>
      <c r="O836" s="1" t="s">
        <v>30</v>
      </c>
      <c r="P836" s="29">
        <v>76936.5</v>
      </c>
      <c r="Q836" s="1" t="s">
        <v>198</v>
      </c>
      <c r="R836" s="1">
        <v>12</v>
      </c>
      <c r="S836" s="1">
        <v>127</v>
      </c>
      <c r="T836" s="1">
        <v>16.899999999999999</v>
      </c>
      <c r="U836" s="1" t="s">
        <v>44</v>
      </c>
      <c r="V836" s="17" t="s">
        <v>33</v>
      </c>
    </row>
    <row r="837" spans="1:22" ht="15" customHeight="1" x14ac:dyDescent="0.25">
      <c r="A837" s="16" t="s">
        <v>1673</v>
      </c>
      <c r="B837" s="3" t="s">
        <v>1674</v>
      </c>
      <c r="C837">
        <v>58</v>
      </c>
      <c r="D837" s="3" t="s">
        <v>59</v>
      </c>
      <c r="E837" s="3" t="s">
        <v>48</v>
      </c>
      <c r="F837" s="3" t="s">
        <v>24</v>
      </c>
      <c r="G837" s="3" t="s">
        <v>163</v>
      </c>
      <c r="H837" s="3" t="s">
        <v>156</v>
      </c>
      <c r="I837" s="8">
        <v>43617</v>
      </c>
      <c r="J837" s="8">
        <v>43622</v>
      </c>
      <c r="K837" s="3">
        <v>5</v>
      </c>
      <c r="L837" s="3" t="s">
        <v>52</v>
      </c>
      <c r="M837" s="3" t="s">
        <v>53</v>
      </c>
      <c r="N837" s="3" t="s">
        <v>346</v>
      </c>
      <c r="O837" s="3" t="s">
        <v>30</v>
      </c>
      <c r="P837" s="30">
        <v>29753</v>
      </c>
      <c r="Q837" s="3" t="s">
        <v>257</v>
      </c>
      <c r="R837" s="3">
        <v>6</v>
      </c>
      <c r="S837" s="3">
        <v>316</v>
      </c>
      <c r="T837" s="3">
        <v>29.3</v>
      </c>
      <c r="U837" s="3" t="s">
        <v>86</v>
      </c>
      <c r="V837" s="18" t="s">
        <v>33</v>
      </c>
    </row>
    <row r="838" spans="1:22" ht="15" customHeight="1" x14ac:dyDescent="0.25">
      <c r="A838" s="15" t="s">
        <v>1675</v>
      </c>
      <c r="B838" s="1" t="s">
        <v>1676</v>
      </c>
      <c r="C838">
        <v>64</v>
      </c>
      <c r="D838" s="1" t="s">
        <v>59</v>
      </c>
      <c r="E838" s="1" t="s">
        <v>48</v>
      </c>
      <c r="F838" s="1" t="s">
        <v>49</v>
      </c>
      <c r="G838" s="1" t="s">
        <v>163</v>
      </c>
      <c r="H838" s="1" t="s">
        <v>78</v>
      </c>
      <c r="I838" s="6">
        <v>43574</v>
      </c>
      <c r="J838" s="7">
        <v>43579</v>
      </c>
      <c r="K838" s="1">
        <v>5</v>
      </c>
      <c r="L838" s="1" t="s">
        <v>231</v>
      </c>
      <c r="M838" s="1" t="s">
        <v>53</v>
      </c>
      <c r="N838" s="1" t="s">
        <v>346</v>
      </c>
      <c r="O838" s="1" t="s">
        <v>42</v>
      </c>
      <c r="P838" s="29">
        <v>39555.25</v>
      </c>
      <c r="Q838" s="1" t="s">
        <v>165</v>
      </c>
      <c r="R838" s="1">
        <v>6</v>
      </c>
      <c r="S838" s="1">
        <v>344</v>
      </c>
      <c r="T838" s="1">
        <v>23.4</v>
      </c>
      <c r="U838" s="1" t="s">
        <v>32</v>
      </c>
      <c r="V838" s="17" t="s">
        <v>33</v>
      </c>
    </row>
    <row r="839" spans="1:22" ht="15" customHeight="1" x14ac:dyDescent="0.25">
      <c r="A839" s="16" t="s">
        <v>1677</v>
      </c>
      <c r="B839" s="3" t="s">
        <v>1678</v>
      </c>
      <c r="C839">
        <v>84</v>
      </c>
      <c r="D839" s="3" t="s">
        <v>36</v>
      </c>
      <c r="E839" s="3" t="s">
        <v>48</v>
      </c>
      <c r="F839" s="3" t="s">
        <v>83</v>
      </c>
      <c r="G839" s="3" t="s">
        <v>38</v>
      </c>
      <c r="H839" s="3" t="s">
        <v>78</v>
      </c>
      <c r="I839" s="6">
        <v>44895</v>
      </c>
      <c r="J839" s="8">
        <v>44899</v>
      </c>
      <c r="K839" s="3">
        <v>4</v>
      </c>
      <c r="L839" s="3" t="s">
        <v>112</v>
      </c>
      <c r="M839" s="3" t="s">
        <v>40</v>
      </c>
      <c r="N839" s="3" t="s">
        <v>203</v>
      </c>
      <c r="O839" s="3" t="s">
        <v>66</v>
      </c>
      <c r="P839" s="30">
        <v>55604.71</v>
      </c>
      <c r="Q839" s="3" t="s">
        <v>119</v>
      </c>
      <c r="R839" s="3">
        <v>5</v>
      </c>
      <c r="S839" s="3">
        <v>163</v>
      </c>
      <c r="T839" s="4"/>
      <c r="U839" s="3" t="s">
        <v>44</v>
      </c>
      <c r="V839" s="18" t="s">
        <v>45</v>
      </c>
    </row>
    <row r="840" spans="1:22" ht="15" customHeight="1" x14ac:dyDescent="0.25">
      <c r="A840" s="15" t="s">
        <v>1679</v>
      </c>
      <c r="B840" s="1" t="s">
        <v>1680</v>
      </c>
      <c r="C840">
        <v>18</v>
      </c>
      <c r="D840" s="1" t="s">
        <v>47</v>
      </c>
      <c r="E840" s="1" t="s">
        <v>23</v>
      </c>
      <c r="F840" s="2" t="s">
        <v>3714</v>
      </c>
      <c r="G840" s="1" t="s">
        <v>38</v>
      </c>
      <c r="H840" s="1" t="s">
        <v>78</v>
      </c>
      <c r="I840" s="6">
        <v>44170</v>
      </c>
      <c r="J840" s="7">
        <v>43966</v>
      </c>
      <c r="K840" s="1">
        <v>3</v>
      </c>
      <c r="L840" s="1" t="s">
        <v>39</v>
      </c>
      <c r="M840" s="1" t="s">
        <v>40</v>
      </c>
      <c r="N840" s="1" t="s">
        <v>203</v>
      </c>
      <c r="O840" s="1" t="s">
        <v>104</v>
      </c>
      <c r="P840" s="29">
        <v>10284.219999999999</v>
      </c>
      <c r="Q840" s="1" t="s">
        <v>119</v>
      </c>
      <c r="R840" s="1">
        <v>8</v>
      </c>
      <c r="S840" s="1">
        <v>406</v>
      </c>
      <c r="T840" s="1">
        <v>26.4</v>
      </c>
      <c r="U840" s="1" t="s">
        <v>44</v>
      </c>
      <c r="V840" s="17" t="s">
        <v>33</v>
      </c>
    </row>
    <row r="841" spans="1:22" ht="15" customHeight="1" x14ac:dyDescent="0.25">
      <c r="A841" s="16" t="s">
        <v>1681</v>
      </c>
      <c r="B841" s="3" t="s">
        <v>1227</v>
      </c>
      <c r="C841">
        <v>92</v>
      </c>
      <c r="D841" s="3" t="s">
        <v>36</v>
      </c>
      <c r="E841" s="3" t="s">
        <v>48</v>
      </c>
      <c r="F841" s="3" t="s">
        <v>49</v>
      </c>
      <c r="G841" s="3" t="s">
        <v>163</v>
      </c>
      <c r="H841" s="3" t="s">
        <v>78</v>
      </c>
      <c r="I841" s="6">
        <v>43690</v>
      </c>
      <c r="J841" s="8">
        <v>43693</v>
      </c>
      <c r="K841" s="3">
        <v>3</v>
      </c>
      <c r="L841" s="3" t="s">
        <v>39</v>
      </c>
      <c r="M841" s="3" t="s">
        <v>40</v>
      </c>
      <c r="N841" s="3" t="s">
        <v>213</v>
      </c>
      <c r="O841" s="3" t="s">
        <v>30</v>
      </c>
      <c r="P841" s="30">
        <v>47322.73</v>
      </c>
      <c r="Q841" s="3" t="s">
        <v>382</v>
      </c>
      <c r="R841" s="3">
        <v>6</v>
      </c>
      <c r="S841" s="3">
        <v>198</v>
      </c>
      <c r="T841" s="4"/>
      <c r="U841" s="3" t="s">
        <v>44</v>
      </c>
      <c r="V841" s="18" t="s">
        <v>33</v>
      </c>
    </row>
    <row r="842" spans="1:22" ht="15" customHeight="1" x14ac:dyDescent="0.25">
      <c r="A842" s="15" t="s">
        <v>1682</v>
      </c>
      <c r="B842" s="2" t="s">
        <v>3627</v>
      </c>
      <c r="C842">
        <v>66</v>
      </c>
      <c r="D842" s="1" t="s">
        <v>82</v>
      </c>
      <c r="E842" s="1" t="s">
        <v>23</v>
      </c>
      <c r="F842" s="1" t="s">
        <v>76</v>
      </c>
      <c r="G842" s="1" t="s">
        <v>163</v>
      </c>
      <c r="H842" s="1" t="s">
        <v>26</v>
      </c>
      <c r="I842" s="7">
        <v>44706</v>
      </c>
      <c r="J842" s="7">
        <v>44711</v>
      </c>
      <c r="K842" s="1">
        <v>5</v>
      </c>
      <c r="L842" s="1" t="s">
        <v>27</v>
      </c>
      <c r="M842" s="1" t="s">
        <v>28</v>
      </c>
      <c r="N842" s="1" t="s">
        <v>164</v>
      </c>
      <c r="O842" s="1" t="s">
        <v>42</v>
      </c>
      <c r="P842" s="29">
        <v>59738.02</v>
      </c>
      <c r="Q842" s="1" t="s">
        <v>382</v>
      </c>
      <c r="R842" s="1">
        <v>5</v>
      </c>
      <c r="S842" s="1">
        <v>421</v>
      </c>
      <c r="T842" s="1">
        <v>20.5</v>
      </c>
      <c r="U842" s="1" t="s">
        <v>44</v>
      </c>
      <c r="V842" s="17" t="s">
        <v>33</v>
      </c>
    </row>
    <row r="843" spans="1:22" ht="15" customHeight="1" x14ac:dyDescent="0.25">
      <c r="A843" s="16" t="s">
        <v>1683</v>
      </c>
      <c r="B843" s="3" t="s">
        <v>1684</v>
      </c>
      <c r="C843">
        <v>66</v>
      </c>
      <c r="D843" s="3" t="s">
        <v>82</v>
      </c>
      <c r="E843" s="3" t="s">
        <v>48</v>
      </c>
      <c r="F843" s="3" t="s">
        <v>99</v>
      </c>
      <c r="G843" s="3" t="s">
        <v>60</v>
      </c>
      <c r="H843" s="3" t="s">
        <v>26</v>
      </c>
      <c r="I843" s="8">
        <v>44339</v>
      </c>
      <c r="J843" s="8">
        <v>44347</v>
      </c>
      <c r="K843" s="3">
        <v>8</v>
      </c>
      <c r="L843" s="3" t="s">
        <v>27</v>
      </c>
      <c r="M843" s="3" t="s">
        <v>28</v>
      </c>
      <c r="N843" s="3" t="s">
        <v>103</v>
      </c>
      <c r="O843" s="3" t="s">
        <v>42</v>
      </c>
      <c r="P843" s="30">
        <v>84315.99</v>
      </c>
      <c r="Q843" s="3" t="s">
        <v>62</v>
      </c>
      <c r="R843" s="3">
        <v>4</v>
      </c>
      <c r="S843" s="3">
        <v>421</v>
      </c>
      <c r="T843" s="3">
        <v>20.100000000000001</v>
      </c>
      <c r="U843" s="3" t="s">
        <v>44</v>
      </c>
      <c r="V843" s="18" t="s">
        <v>45</v>
      </c>
    </row>
    <row r="844" spans="1:22" ht="15" customHeight="1" x14ac:dyDescent="0.25">
      <c r="A844" s="15" t="s">
        <v>1685</v>
      </c>
      <c r="B844" s="1" t="s">
        <v>1686</v>
      </c>
      <c r="C844">
        <v>74</v>
      </c>
      <c r="D844" s="1" t="s">
        <v>82</v>
      </c>
      <c r="E844" s="1" t="s">
        <v>23</v>
      </c>
      <c r="F844" s="1" t="s">
        <v>99</v>
      </c>
      <c r="G844" s="1" t="s">
        <v>131</v>
      </c>
      <c r="H844" s="1" t="s">
        <v>51</v>
      </c>
      <c r="I844" s="6">
        <v>44400</v>
      </c>
      <c r="J844" s="7">
        <v>44408</v>
      </c>
      <c r="K844" s="1">
        <v>8</v>
      </c>
      <c r="L844" s="1" t="s">
        <v>231</v>
      </c>
      <c r="M844" s="1" t="s">
        <v>53</v>
      </c>
      <c r="N844" s="1" t="s">
        <v>157</v>
      </c>
      <c r="O844" s="1" t="s">
        <v>30</v>
      </c>
      <c r="P844" s="29">
        <v>21118.76</v>
      </c>
      <c r="Q844" s="1" t="s">
        <v>158</v>
      </c>
      <c r="R844" s="1">
        <v>6</v>
      </c>
      <c r="S844" s="1">
        <v>135</v>
      </c>
      <c r="T844" s="1">
        <v>30.5</v>
      </c>
      <c r="U844" s="1" t="s">
        <v>44</v>
      </c>
      <c r="V844" s="17" t="s">
        <v>45</v>
      </c>
    </row>
    <row r="845" spans="1:22" ht="15" customHeight="1" x14ac:dyDescent="0.25">
      <c r="A845" s="16" t="s">
        <v>1687</v>
      </c>
      <c r="B845" s="2" t="s">
        <v>3628</v>
      </c>
      <c r="C845">
        <v>73</v>
      </c>
      <c r="D845" s="3" t="s">
        <v>82</v>
      </c>
      <c r="E845" s="3" t="s">
        <v>48</v>
      </c>
      <c r="F845" s="3" t="s">
        <v>76</v>
      </c>
      <c r="G845" s="3" t="s">
        <v>1161</v>
      </c>
      <c r="H845" s="3" t="s">
        <v>26</v>
      </c>
      <c r="I845" s="6">
        <v>45594</v>
      </c>
      <c r="J845" s="8">
        <v>45612</v>
      </c>
      <c r="K845" s="3">
        <v>18</v>
      </c>
      <c r="L845" s="3" t="s">
        <v>231</v>
      </c>
      <c r="M845" s="3" t="s">
        <v>53</v>
      </c>
      <c r="N845" s="3" t="s">
        <v>65</v>
      </c>
      <c r="O845" s="3" t="s">
        <v>30</v>
      </c>
      <c r="P845" s="30">
        <v>68959.31</v>
      </c>
      <c r="Q845" s="3" t="s">
        <v>706</v>
      </c>
      <c r="R845" s="3">
        <v>12</v>
      </c>
      <c r="S845" s="3">
        <v>282</v>
      </c>
      <c r="T845" s="3">
        <v>24.8</v>
      </c>
      <c r="U845" s="3" t="s">
        <v>44</v>
      </c>
      <c r="V845" s="18" t="s">
        <v>45</v>
      </c>
    </row>
    <row r="846" spans="1:22" ht="15" customHeight="1" x14ac:dyDescent="0.25">
      <c r="A846" s="15" t="s">
        <v>1688</v>
      </c>
      <c r="B846" s="1" t="s">
        <v>1689</v>
      </c>
      <c r="C846">
        <v>82</v>
      </c>
      <c r="D846" s="1" t="s">
        <v>36</v>
      </c>
      <c r="E846" s="1" t="s">
        <v>23</v>
      </c>
      <c r="F846" s="1" t="s">
        <v>76</v>
      </c>
      <c r="G846" s="1" t="s">
        <v>163</v>
      </c>
      <c r="H846" s="1" t="s">
        <v>26</v>
      </c>
      <c r="I846" s="7">
        <v>45549</v>
      </c>
      <c r="J846" s="7">
        <v>45554</v>
      </c>
      <c r="K846" s="1">
        <v>5</v>
      </c>
      <c r="L846" s="1" t="s">
        <v>102</v>
      </c>
      <c r="M846" s="1" t="s">
        <v>28</v>
      </c>
      <c r="N846" s="1" t="s">
        <v>213</v>
      </c>
      <c r="O846" s="1" t="s">
        <v>104</v>
      </c>
      <c r="P846" s="29">
        <v>52122.65</v>
      </c>
      <c r="Q846" s="1" t="s">
        <v>257</v>
      </c>
      <c r="R846" s="1">
        <v>5</v>
      </c>
      <c r="S846" s="1">
        <v>490</v>
      </c>
      <c r="T846" s="1">
        <v>27.8</v>
      </c>
      <c r="U846" s="1" t="s">
        <v>32</v>
      </c>
      <c r="V846" s="17" t="s">
        <v>33</v>
      </c>
    </row>
    <row r="847" spans="1:22" ht="15" customHeight="1" x14ac:dyDescent="0.25">
      <c r="A847" s="16" t="s">
        <v>1690</v>
      </c>
      <c r="B847" s="3" t="s">
        <v>1691</v>
      </c>
      <c r="C847">
        <v>69</v>
      </c>
      <c r="D847" s="3" t="s">
        <v>82</v>
      </c>
      <c r="E847" s="3" t="s">
        <v>48</v>
      </c>
      <c r="F847" s="3" t="s">
        <v>37</v>
      </c>
      <c r="G847" s="3" t="s">
        <v>77</v>
      </c>
      <c r="H847" s="3" t="s">
        <v>26</v>
      </c>
      <c r="I847" s="6">
        <v>44693</v>
      </c>
      <c r="J847" s="8">
        <v>44911</v>
      </c>
      <c r="K847" s="3">
        <v>11</v>
      </c>
      <c r="L847" s="3" t="s">
        <v>231</v>
      </c>
      <c r="M847" s="3" t="s">
        <v>53</v>
      </c>
      <c r="N847" s="3" t="s">
        <v>84</v>
      </c>
      <c r="O847" s="3" t="s">
        <v>66</v>
      </c>
      <c r="P847" s="30">
        <v>49961.13</v>
      </c>
      <c r="Q847" s="3" t="s">
        <v>95</v>
      </c>
      <c r="R847" s="3">
        <v>10</v>
      </c>
      <c r="S847" s="3">
        <v>381</v>
      </c>
      <c r="T847" s="4"/>
      <c r="U847" s="3" t="s">
        <v>44</v>
      </c>
      <c r="V847" s="18" t="s">
        <v>33</v>
      </c>
    </row>
    <row r="848" spans="1:22" ht="15" customHeight="1" x14ac:dyDescent="0.25">
      <c r="A848" s="15" t="s">
        <v>1692</v>
      </c>
      <c r="B848" s="1" t="s">
        <v>1693</v>
      </c>
      <c r="C848">
        <v>78</v>
      </c>
      <c r="D848" s="1" t="s">
        <v>36</v>
      </c>
      <c r="E848" s="1" t="s">
        <v>23</v>
      </c>
      <c r="F848" s="1" t="s">
        <v>76</v>
      </c>
      <c r="G848" s="1" t="s">
        <v>71</v>
      </c>
      <c r="H848" s="1" t="s">
        <v>51</v>
      </c>
      <c r="I848" s="6">
        <v>45214</v>
      </c>
      <c r="J848" s="10"/>
      <c r="K848" s="1"/>
      <c r="L848" s="1" t="s">
        <v>27</v>
      </c>
      <c r="M848" s="1" t="s">
        <v>28</v>
      </c>
      <c r="N848" s="1" t="s">
        <v>312</v>
      </c>
      <c r="O848" s="1" t="s">
        <v>30</v>
      </c>
      <c r="P848" s="29">
        <v>20754.830000000002</v>
      </c>
      <c r="Q848" s="1" t="s">
        <v>170</v>
      </c>
      <c r="R848" s="1">
        <v>5</v>
      </c>
      <c r="S848" s="1">
        <v>197</v>
      </c>
      <c r="T848" s="1">
        <v>22.5</v>
      </c>
      <c r="U848" s="1" t="s">
        <v>32</v>
      </c>
      <c r="V848" s="17" t="s">
        <v>33</v>
      </c>
    </row>
    <row r="849" spans="1:22" ht="15" customHeight="1" x14ac:dyDescent="0.25">
      <c r="A849" s="16" t="s">
        <v>1694</v>
      </c>
      <c r="B849" s="3" t="s">
        <v>1695</v>
      </c>
      <c r="C849">
        <v>45</v>
      </c>
      <c r="D849" s="3" t="s">
        <v>98</v>
      </c>
      <c r="E849" s="3" t="s">
        <v>23</v>
      </c>
      <c r="F849" s="2" t="s">
        <v>155</v>
      </c>
      <c r="G849" s="3" t="s">
        <v>131</v>
      </c>
      <c r="H849" s="3" t="s">
        <v>26</v>
      </c>
      <c r="I849" s="6">
        <v>45614</v>
      </c>
      <c r="J849" s="8">
        <v>45621</v>
      </c>
      <c r="K849" s="3">
        <v>7</v>
      </c>
      <c r="L849" s="3" t="s">
        <v>122</v>
      </c>
      <c r="M849" s="3" t="s">
        <v>40</v>
      </c>
      <c r="N849" s="3" t="s">
        <v>157</v>
      </c>
      <c r="O849" s="3" t="s">
        <v>66</v>
      </c>
      <c r="P849" s="30">
        <v>52334</v>
      </c>
      <c r="Q849" s="3" t="s">
        <v>695</v>
      </c>
      <c r="R849" s="3">
        <v>7</v>
      </c>
      <c r="S849" s="3">
        <v>334</v>
      </c>
      <c r="T849" s="4"/>
      <c r="U849" s="3" t="s">
        <v>44</v>
      </c>
      <c r="V849" s="18" t="s">
        <v>33</v>
      </c>
    </row>
    <row r="850" spans="1:22" ht="15" customHeight="1" x14ac:dyDescent="0.25">
      <c r="A850" s="15" t="s">
        <v>1696</v>
      </c>
      <c r="B850" s="1" t="s">
        <v>1697</v>
      </c>
      <c r="C850">
        <v>58</v>
      </c>
      <c r="D850" s="1" t="s">
        <v>59</v>
      </c>
      <c r="E850" s="1" t="s">
        <v>23</v>
      </c>
      <c r="F850" s="1" t="s">
        <v>155</v>
      </c>
      <c r="G850" s="1" t="s">
        <v>77</v>
      </c>
      <c r="H850" s="1" t="s">
        <v>78</v>
      </c>
      <c r="I850" s="7">
        <v>44371</v>
      </c>
      <c r="J850" s="7">
        <v>44388</v>
      </c>
      <c r="K850" s="1">
        <v>17</v>
      </c>
      <c r="L850" s="1" t="s">
        <v>27</v>
      </c>
      <c r="M850" s="1" t="s">
        <v>28</v>
      </c>
      <c r="N850" s="1" t="s">
        <v>79</v>
      </c>
      <c r="O850" s="1" t="s">
        <v>30</v>
      </c>
      <c r="P850" s="29">
        <v>24792.74</v>
      </c>
      <c r="Q850" s="1" t="s">
        <v>123</v>
      </c>
      <c r="R850" s="1">
        <v>8</v>
      </c>
      <c r="S850" s="1">
        <v>476</v>
      </c>
      <c r="T850" s="1">
        <v>26.3</v>
      </c>
      <c r="U850" s="1" t="s">
        <v>86</v>
      </c>
      <c r="V850" s="17" t="s">
        <v>33</v>
      </c>
    </row>
    <row r="851" spans="1:22" ht="15" customHeight="1" x14ac:dyDescent="0.25">
      <c r="A851" s="16" t="s">
        <v>1698</v>
      </c>
      <c r="B851" s="3" t="s">
        <v>1699</v>
      </c>
      <c r="C851">
        <v>59</v>
      </c>
      <c r="D851" s="3" t="s">
        <v>59</v>
      </c>
      <c r="E851" s="3" t="s">
        <v>23</v>
      </c>
      <c r="F851" s="3" t="s">
        <v>37</v>
      </c>
      <c r="G851" s="3" t="s">
        <v>25</v>
      </c>
      <c r="H851" s="3" t="s">
        <v>26</v>
      </c>
      <c r="I851" s="8">
        <v>43490</v>
      </c>
      <c r="J851" s="8">
        <v>43508</v>
      </c>
      <c r="K851" s="3">
        <v>18</v>
      </c>
      <c r="L851" s="3" t="s">
        <v>122</v>
      </c>
      <c r="M851" s="3" t="s">
        <v>40</v>
      </c>
      <c r="N851" s="3" t="s">
        <v>248</v>
      </c>
      <c r="O851" s="3" t="s">
        <v>42</v>
      </c>
      <c r="P851" s="30">
        <v>220113.11</v>
      </c>
      <c r="Q851" s="3" t="s">
        <v>310</v>
      </c>
      <c r="R851" s="3">
        <v>12</v>
      </c>
      <c r="S851" s="3">
        <v>124</v>
      </c>
      <c r="T851" s="3">
        <v>20.6</v>
      </c>
      <c r="U851" s="3" t="s">
        <v>32</v>
      </c>
      <c r="V851" s="18" t="s">
        <v>33</v>
      </c>
    </row>
    <row r="852" spans="1:22" ht="15" customHeight="1" x14ac:dyDescent="0.25">
      <c r="A852" s="15" t="s">
        <v>1700</v>
      </c>
      <c r="B852" s="1" t="s">
        <v>1701</v>
      </c>
      <c r="C852">
        <v>59</v>
      </c>
      <c r="D852" s="1" t="s">
        <v>59</v>
      </c>
      <c r="E852" s="1" t="s">
        <v>23</v>
      </c>
      <c r="F852" s="1" t="s">
        <v>155</v>
      </c>
      <c r="G852" s="1" t="s">
        <v>38</v>
      </c>
      <c r="H852" s="1" t="s">
        <v>78</v>
      </c>
      <c r="I852" s="6">
        <v>44278</v>
      </c>
      <c r="J852" s="7">
        <v>44283</v>
      </c>
      <c r="K852" s="1">
        <v>5</v>
      </c>
      <c r="L852" s="1" t="s">
        <v>89</v>
      </c>
      <c r="M852" s="1" t="s">
        <v>90</v>
      </c>
      <c r="N852" s="1" t="s">
        <v>41</v>
      </c>
      <c r="O852" s="1" t="s">
        <v>104</v>
      </c>
      <c r="P852" s="29">
        <v>9874.57</v>
      </c>
      <c r="Q852" s="1" t="s">
        <v>437</v>
      </c>
      <c r="R852" s="1">
        <v>8</v>
      </c>
      <c r="S852" s="1">
        <v>241</v>
      </c>
      <c r="T852" s="1">
        <v>28.9</v>
      </c>
      <c r="U852" s="1" t="s">
        <v>86</v>
      </c>
      <c r="V852" s="17" t="s">
        <v>33</v>
      </c>
    </row>
    <row r="853" spans="1:22" ht="15" customHeight="1" x14ac:dyDescent="0.25">
      <c r="A853" s="16" t="s">
        <v>1702</v>
      </c>
      <c r="B853" s="3" t="s">
        <v>1703</v>
      </c>
      <c r="C853">
        <v>92</v>
      </c>
      <c r="D853" s="3" t="s">
        <v>36</v>
      </c>
      <c r="E853" s="3" t="s">
        <v>48</v>
      </c>
      <c r="F853" s="3" t="s">
        <v>24</v>
      </c>
      <c r="G853" s="3" t="s">
        <v>131</v>
      </c>
      <c r="H853" s="3" t="s">
        <v>26</v>
      </c>
      <c r="I853" s="8">
        <v>44733</v>
      </c>
      <c r="J853" s="8">
        <v>44741</v>
      </c>
      <c r="K853" s="3">
        <v>8</v>
      </c>
      <c r="L853" s="3" t="s">
        <v>52</v>
      </c>
      <c r="M853" s="3" t="s">
        <v>53</v>
      </c>
      <c r="N853" s="3" t="s">
        <v>147</v>
      </c>
      <c r="O853" s="3" t="s">
        <v>104</v>
      </c>
      <c r="P853" s="30">
        <v>47427.35</v>
      </c>
      <c r="Q853" s="3" t="s">
        <v>291</v>
      </c>
      <c r="R853" s="3">
        <v>7</v>
      </c>
      <c r="S853" s="3">
        <v>372</v>
      </c>
      <c r="T853" s="3">
        <v>24.9</v>
      </c>
      <c r="U853" s="3" t="s">
        <v>32</v>
      </c>
      <c r="V853" s="18" t="s">
        <v>33</v>
      </c>
    </row>
    <row r="854" spans="1:22" ht="15" customHeight="1" x14ac:dyDescent="0.25">
      <c r="A854" s="15" t="s">
        <v>1704</v>
      </c>
      <c r="B854" s="1" t="s">
        <v>1705</v>
      </c>
      <c r="C854">
        <v>78</v>
      </c>
      <c r="D854" s="1" t="s">
        <v>36</v>
      </c>
      <c r="E854" s="1" t="s">
        <v>48</v>
      </c>
      <c r="F854" s="1" t="s">
        <v>24</v>
      </c>
      <c r="G854" s="1" t="s">
        <v>25</v>
      </c>
      <c r="H854" s="1" t="s">
        <v>51</v>
      </c>
      <c r="I854" s="7">
        <v>45152</v>
      </c>
      <c r="J854" s="7">
        <v>45173</v>
      </c>
      <c r="K854" s="1">
        <v>21</v>
      </c>
      <c r="L854" s="1" t="s">
        <v>231</v>
      </c>
      <c r="M854" s="1" t="s">
        <v>53</v>
      </c>
      <c r="N854" s="1" t="s">
        <v>65</v>
      </c>
      <c r="O854" s="1" t="s">
        <v>30</v>
      </c>
      <c r="P854" s="29">
        <v>34973.1</v>
      </c>
      <c r="Q854" s="1" t="s">
        <v>400</v>
      </c>
      <c r="R854" s="1">
        <v>12</v>
      </c>
      <c r="S854" s="1">
        <v>199</v>
      </c>
      <c r="T854" s="1">
        <v>23.6</v>
      </c>
      <c r="U854" s="1" t="s">
        <v>86</v>
      </c>
      <c r="V854" s="17" t="s">
        <v>33</v>
      </c>
    </row>
    <row r="855" spans="1:22" ht="15" customHeight="1" x14ac:dyDescent="0.25">
      <c r="A855" s="16" t="s">
        <v>1706</v>
      </c>
      <c r="B855" s="3" t="s">
        <v>1686</v>
      </c>
      <c r="C855">
        <v>34</v>
      </c>
      <c r="D855" s="3" t="s">
        <v>47</v>
      </c>
      <c r="E855" s="3" t="s">
        <v>23</v>
      </c>
      <c r="F855" s="3" t="s">
        <v>76</v>
      </c>
      <c r="G855" s="3" t="s">
        <v>665</v>
      </c>
      <c r="H855" s="3" t="s">
        <v>51</v>
      </c>
      <c r="I855" s="8">
        <v>45580</v>
      </c>
      <c r="J855" s="10"/>
      <c r="K855" s="3"/>
      <c r="L855" s="3" t="s">
        <v>185</v>
      </c>
      <c r="M855" s="3" t="s">
        <v>186</v>
      </c>
      <c r="N855" s="3" t="s">
        <v>116</v>
      </c>
      <c r="O855" s="3" t="s">
        <v>30</v>
      </c>
      <c r="P855" s="30">
        <v>16165</v>
      </c>
      <c r="Q855" s="3" t="s">
        <v>552</v>
      </c>
      <c r="R855" s="3">
        <v>9</v>
      </c>
      <c r="S855" s="3">
        <v>189</v>
      </c>
      <c r="T855" s="3">
        <v>36.700000000000003</v>
      </c>
      <c r="U855" s="3" t="s">
        <v>32</v>
      </c>
      <c r="V855" s="18" t="s">
        <v>33</v>
      </c>
    </row>
    <row r="856" spans="1:22" ht="15" customHeight="1" x14ac:dyDescent="0.25">
      <c r="A856" s="15" t="s">
        <v>1707</v>
      </c>
      <c r="B856" s="1" t="s">
        <v>1708</v>
      </c>
      <c r="C856">
        <v>81</v>
      </c>
      <c r="D856" s="1" t="s">
        <v>36</v>
      </c>
      <c r="E856" s="1" t="s">
        <v>48</v>
      </c>
      <c r="F856" s="1" t="s">
        <v>99</v>
      </c>
      <c r="G856" s="1" t="s">
        <v>50</v>
      </c>
      <c r="H856" s="1" t="s">
        <v>26</v>
      </c>
      <c r="I856" s="6">
        <v>45563</v>
      </c>
      <c r="J856" s="7">
        <v>45569</v>
      </c>
      <c r="K856" s="1">
        <v>6</v>
      </c>
      <c r="L856" s="1" t="s">
        <v>39</v>
      </c>
      <c r="M856" s="1" t="s">
        <v>40</v>
      </c>
      <c r="N856" s="1" t="s">
        <v>126</v>
      </c>
      <c r="O856" s="1" t="s">
        <v>55</v>
      </c>
      <c r="P856" s="29">
        <v>163389.01999999999</v>
      </c>
      <c r="Q856" s="1" t="s">
        <v>279</v>
      </c>
      <c r="R856" s="1">
        <v>8</v>
      </c>
      <c r="S856" s="1">
        <v>393</v>
      </c>
      <c r="T856" s="1">
        <v>26.1</v>
      </c>
      <c r="U856" s="1" t="s">
        <v>32</v>
      </c>
      <c r="V856" s="17" t="s">
        <v>33</v>
      </c>
    </row>
    <row r="857" spans="1:22" ht="15" customHeight="1" x14ac:dyDescent="0.25">
      <c r="A857" s="16" t="s">
        <v>1709</v>
      </c>
      <c r="B857" s="3" t="s">
        <v>1710</v>
      </c>
      <c r="C857">
        <v>83</v>
      </c>
      <c r="D857" s="3" t="s">
        <v>36</v>
      </c>
      <c r="E857" s="3" t="s">
        <v>48</v>
      </c>
      <c r="F857" s="3" t="s">
        <v>99</v>
      </c>
      <c r="G857" s="3" t="s">
        <v>38</v>
      </c>
      <c r="H857" s="3" t="s">
        <v>78</v>
      </c>
      <c r="I857" s="8">
        <v>45270</v>
      </c>
      <c r="J857" s="8">
        <v>45214</v>
      </c>
      <c r="K857" s="3">
        <v>3</v>
      </c>
      <c r="L857" s="3" t="s">
        <v>122</v>
      </c>
      <c r="M857" s="3" t="s">
        <v>40</v>
      </c>
      <c r="N857" s="3" t="s">
        <v>173</v>
      </c>
      <c r="O857" s="3" t="s">
        <v>104</v>
      </c>
      <c r="P857" s="30">
        <v>14498</v>
      </c>
      <c r="Q857" s="3" t="s">
        <v>43</v>
      </c>
      <c r="R857" s="3">
        <v>8</v>
      </c>
      <c r="S857" s="3">
        <v>433</v>
      </c>
      <c r="T857" s="3">
        <v>14</v>
      </c>
      <c r="U857" s="3" t="s">
        <v>32</v>
      </c>
      <c r="V857" s="18" t="s">
        <v>45</v>
      </c>
    </row>
    <row r="858" spans="1:22" ht="15" customHeight="1" x14ac:dyDescent="0.25">
      <c r="A858" s="15" t="s">
        <v>1711</v>
      </c>
      <c r="B858" s="1" t="s">
        <v>1712</v>
      </c>
      <c r="C858">
        <v>74</v>
      </c>
      <c r="D858" s="1" t="s">
        <v>82</v>
      </c>
      <c r="E858" s="1" t="s">
        <v>48</v>
      </c>
      <c r="F858" s="1" t="s">
        <v>76</v>
      </c>
      <c r="G858" s="1" t="s">
        <v>131</v>
      </c>
      <c r="H858" s="1" t="s">
        <v>78</v>
      </c>
      <c r="I858" s="6">
        <v>44379</v>
      </c>
      <c r="J858" s="7">
        <v>44383</v>
      </c>
      <c r="K858" s="1">
        <v>4</v>
      </c>
      <c r="L858" s="1" t="s">
        <v>52</v>
      </c>
      <c r="M858" s="1" t="s">
        <v>53</v>
      </c>
      <c r="N858" s="1" t="s">
        <v>133</v>
      </c>
      <c r="O858" s="1" t="s">
        <v>66</v>
      </c>
      <c r="P858" s="29">
        <v>28806.9</v>
      </c>
      <c r="Q858" s="1" t="s">
        <v>266</v>
      </c>
      <c r="R858" s="1">
        <v>7</v>
      </c>
      <c r="S858" s="1">
        <v>451</v>
      </c>
      <c r="T858" s="1">
        <v>14</v>
      </c>
      <c r="U858" s="1" t="s">
        <v>86</v>
      </c>
      <c r="V858" s="17" t="s">
        <v>33</v>
      </c>
    </row>
    <row r="859" spans="1:22" ht="15" customHeight="1" x14ac:dyDescent="0.25">
      <c r="A859" s="16" t="s">
        <v>1713</v>
      </c>
      <c r="B859" s="3" t="s">
        <v>1714</v>
      </c>
      <c r="C859">
        <v>68</v>
      </c>
      <c r="D859" s="3" t="s">
        <v>82</v>
      </c>
      <c r="E859" s="3" t="s">
        <v>23</v>
      </c>
      <c r="F859" s="3" t="s">
        <v>37</v>
      </c>
      <c r="G859" s="3" t="s">
        <v>71</v>
      </c>
      <c r="H859" s="3" t="s">
        <v>51</v>
      </c>
      <c r="I859" s="6">
        <v>44074</v>
      </c>
      <c r="J859" s="8">
        <v>44075</v>
      </c>
      <c r="K859" s="3">
        <v>1</v>
      </c>
      <c r="L859" s="3" t="s">
        <v>132</v>
      </c>
      <c r="M859" s="3" t="s">
        <v>53</v>
      </c>
      <c r="N859" s="3" t="s">
        <v>72</v>
      </c>
      <c r="O859" s="3" t="s">
        <v>104</v>
      </c>
      <c r="P859" s="30">
        <v>9497.19</v>
      </c>
      <c r="Q859" s="3" t="s">
        <v>170</v>
      </c>
      <c r="R859" s="3">
        <v>3</v>
      </c>
      <c r="S859" s="3">
        <v>187</v>
      </c>
      <c r="T859" s="3">
        <v>21.6</v>
      </c>
      <c r="U859" s="3" t="s">
        <v>86</v>
      </c>
      <c r="V859" s="18" t="s">
        <v>33</v>
      </c>
    </row>
    <row r="860" spans="1:22" ht="15" customHeight="1" x14ac:dyDescent="0.25">
      <c r="A860" s="15" t="s">
        <v>1715</v>
      </c>
      <c r="B860" s="1" t="s">
        <v>1716</v>
      </c>
      <c r="C860">
        <v>70</v>
      </c>
      <c r="D860" s="1" t="s">
        <v>82</v>
      </c>
      <c r="E860" s="1" t="s">
        <v>48</v>
      </c>
      <c r="F860" s="1" t="s">
        <v>83</v>
      </c>
      <c r="G860" s="1" t="s">
        <v>77</v>
      </c>
      <c r="H860" s="1" t="s">
        <v>156</v>
      </c>
      <c r="I860" s="6">
        <v>44631</v>
      </c>
      <c r="J860" s="7">
        <v>44753</v>
      </c>
      <c r="K860" s="1">
        <v>4</v>
      </c>
      <c r="L860" s="1" t="s">
        <v>89</v>
      </c>
      <c r="M860" s="1" t="s">
        <v>90</v>
      </c>
      <c r="N860" s="1" t="s">
        <v>79</v>
      </c>
      <c r="O860" s="1" t="s">
        <v>42</v>
      </c>
      <c r="P860" s="29">
        <v>56573.24</v>
      </c>
      <c r="Q860" s="1" t="s">
        <v>95</v>
      </c>
      <c r="R860" s="1">
        <v>10</v>
      </c>
      <c r="S860" s="1">
        <v>284</v>
      </c>
      <c r="T860" s="1">
        <v>32.799999999999997</v>
      </c>
      <c r="U860" s="1" t="s">
        <v>86</v>
      </c>
      <c r="V860" s="17" t="s">
        <v>45</v>
      </c>
    </row>
    <row r="861" spans="1:22" ht="15" customHeight="1" x14ac:dyDescent="0.25">
      <c r="A861" s="16" t="s">
        <v>1717</v>
      </c>
      <c r="B861" s="3" t="s">
        <v>1173</v>
      </c>
      <c r="C861">
        <v>52</v>
      </c>
      <c r="D861" s="3" t="s">
        <v>98</v>
      </c>
      <c r="E861" s="3" t="s">
        <v>23</v>
      </c>
      <c r="F861" s="3" t="s">
        <v>99</v>
      </c>
      <c r="G861" s="3" t="s">
        <v>77</v>
      </c>
      <c r="H861" s="3" t="s">
        <v>26</v>
      </c>
      <c r="I861" s="6">
        <v>44096</v>
      </c>
      <c r="J861" s="8">
        <v>44104</v>
      </c>
      <c r="K861" s="3">
        <v>8</v>
      </c>
      <c r="L861" s="3" t="s">
        <v>122</v>
      </c>
      <c r="M861" s="3" t="s">
        <v>40</v>
      </c>
      <c r="N861" s="3" t="s">
        <v>79</v>
      </c>
      <c r="O861" s="3" t="s">
        <v>55</v>
      </c>
      <c r="P861" s="30">
        <v>98152.37</v>
      </c>
      <c r="Q861" s="3" t="s">
        <v>181</v>
      </c>
      <c r="R861" s="3">
        <v>9</v>
      </c>
      <c r="S861" s="3">
        <v>343</v>
      </c>
      <c r="T861" s="3">
        <v>34.700000000000003</v>
      </c>
      <c r="U861" s="3" t="s">
        <v>44</v>
      </c>
      <c r="V861" s="18" t="s">
        <v>33</v>
      </c>
    </row>
    <row r="862" spans="1:22" ht="15" customHeight="1" x14ac:dyDescent="0.25">
      <c r="A862" s="15" t="s">
        <v>1718</v>
      </c>
      <c r="B862" s="1" t="s">
        <v>1719</v>
      </c>
      <c r="C862">
        <v>55</v>
      </c>
      <c r="D862" s="1" t="s">
        <v>59</v>
      </c>
      <c r="E862" s="1" t="s">
        <v>23</v>
      </c>
      <c r="F862" s="1" t="s">
        <v>70</v>
      </c>
      <c r="G862" s="1" t="s">
        <v>77</v>
      </c>
      <c r="H862" s="1" t="s">
        <v>51</v>
      </c>
      <c r="I862" s="7">
        <v>44251</v>
      </c>
      <c r="J862" s="7">
        <v>44256</v>
      </c>
      <c r="K862" s="1">
        <v>5</v>
      </c>
      <c r="L862" s="1" t="s">
        <v>89</v>
      </c>
      <c r="M862" s="1" t="s">
        <v>90</v>
      </c>
      <c r="N862" s="1" t="s">
        <v>189</v>
      </c>
      <c r="O862" s="1" t="s">
        <v>66</v>
      </c>
      <c r="P862" s="29">
        <v>63565.04</v>
      </c>
      <c r="Q862" s="1" t="s">
        <v>181</v>
      </c>
      <c r="R862" s="1">
        <v>10</v>
      </c>
      <c r="S862" s="1">
        <v>187</v>
      </c>
      <c r="T862" s="1">
        <v>42.5</v>
      </c>
      <c r="U862" s="1" t="s">
        <v>44</v>
      </c>
      <c r="V862" s="17" t="s">
        <v>33</v>
      </c>
    </row>
    <row r="863" spans="1:22" ht="15" customHeight="1" x14ac:dyDescent="0.25">
      <c r="A863" s="16" t="s">
        <v>1720</v>
      </c>
      <c r="B863" s="3" t="s">
        <v>519</v>
      </c>
      <c r="C863">
        <v>71</v>
      </c>
      <c r="D863" s="3" t="s">
        <v>82</v>
      </c>
      <c r="E863" s="3" t="s">
        <v>23</v>
      </c>
      <c r="F863" s="3" t="s">
        <v>83</v>
      </c>
      <c r="G863" s="3" t="s">
        <v>60</v>
      </c>
      <c r="H863" s="3" t="s">
        <v>78</v>
      </c>
      <c r="I863" s="6">
        <v>43907</v>
      </c>
      <c r="J863" s="8">
        <v>43914</v>
      </c>
      <c r="K863" s="3">
        <v>7</v>
      </c>
      <c r="L863" s="3" t="s">
        <v>132</v>
      </c>
      <c r="M863" s="3" t="s">
        <v>53</v>
      </c>
      <c r="N863" s="3" t="s">
        <v>61</v>
      </c>
      <c r="O863" s="3" t="s">
        <v>30</v>
      </c>
      <c r="P863" s="30">
        <v>19829.07</v>
      </c>
      <c r="Q863" s="3" t="s">
        <v>170</v>
      </c>
      <c r="R863" s="3">
        <v>6</v>
      </c>
      <c r="S863" s="3">
        <v>401</v>
      </c>
      <c r="T863" s="3">
        <v>28.5</v>
      </c>
      <c r="U863" s="3" t="s">
        <v>32</v>
      </c>
      <c r="V863" s="18" t="s">
        <v>33</v>
      </c>
    </row>
    <row r="864" spans="1:22" ht="15" customHeight="1" x14ac:dyDescent="0.25">
      <c r="A864" s="15" t="s">
        <v>1721</v>
      </c>
      <c r="B864" s="2" t="s">
        <v>3629</v>
      </c>
      <c r="C864">
        <v>71</v>
      </c>
      <c r="D864" s="1" t="s">
        <v>82</v>
      </c>
      <c r="E864" s="1" t="s">
        <v>48</v>
      </c>
      <c r="F864" s="1" t="s">
        <v>37</v>
      </c>
      <c r="G864" s="1" t="s">
        <v>25</v>
      </c>
      <c r="H864" s="1" t="s">
        <v>26</v>
      </c>
      <c r="I864" s="7">
        <v>45177</v>
      </c>
      <c r="J864" s="7">
        <v>44995</v>
      </c>
      <c r="K864" s="1">
        <v>25</v>
      </c>
      <c r="L864" s="1" t="s">
        <v>39</v>
      </c>
      <c r="M864" s="1" t="s">
        <v>40</v>
      </c>
      <c r="N864" s="1" t="s">
        <v>963</v>
      </c>
      <c r="O864" s="1" t="s">
        <v>30</v>
      </c>
      <c r="P864" s="29">
        <v>72679</v>
      </c>
      <c r="Q864" s="1" t="s">
        <v>249</v>
      </c>
      <c r="R864" s="1">
        <v>12</v>
      </c>
      <c r="S864" s="1">
        <v>199</v>
      </c>
      <c r="T864" s="1">
        <v>21.8</v>
      </c>
      <c r="U864" s="1" t="s">
        <v>44</v>
      </c>
      <c r="V864" s="17" t="s">
        <v>33</v>
      </c>
    </row>
    <row r="865" spans="1:22" ht="15" customHeight="1" x14ac:dyDescent="0.25">
      <c r="A865" s="16" t="s">
        <v>1722</v>
      </c>
      <c r="B865" s="3" t="s">
        <v>1723</v>
      </c>
      <c r="C865">
        <v>66</v>
      </c>
      <c r="D865" s="3" t="s">
        <v>82</v>
      </c>
      <c r="E865" s="3" t="s">
        <v>48</v>
      </c>
      <c r="F865" s="3" t="s">
        <v>76</v>
      </c>
      <c r="G865" s="3" t="s">
        <v>163</v>
      </c>
      <c r="H865" s="3" t="s">
        <v>51</v>
      </c>
      <c r="I865" s="8">
        <v>45182</v>
      </c>
      <c r="J865" s="8">
        <v>45184</v>
      </c>
      <c r="K865" s="3">
        <v>2</v>
      </c>
      <c r="L865" s="3" t="s">
        <v>27</v>
      </c>
      <c r="M865" s="3" t="s">
        <v>28</v>
      </c>
      <c r="N865" s="3" t="s">
        <v>346</v>
      </c>
      <c r="O865" s="3" t="s">
        <v>30</v>
      </c>
      <c r="P865" s="30">
        <v>36528</v>
      </c>
      <c r="Q865" s="3" t="s">
        <v>382</v>
      </c>
      <c r="R865" s="3">
        <v>2</v>
      </c>
      <c r="S865" s="3">
        <v>132</v>
      </c>
      <c r="T865" s="3">
        <v>22.6</v>
      </c>
      <c r="U865" s="3" t="s">
        <v>32</v>
      </c>
      <c r="V865" s="18" t="s">
        <v>33</v>
      </c>
    </row>
    <row r="866" spans="1:22" ht="15" customHeight="1" x14ac:dyDescent="0.25">
      <c r="A866" s="15" t="s">
        <v>1724</v>
      </c>
      <c r="B866" s="1" t="s">
        <v>1725</v>
      </c>
      <c r="C866">
        <v>62</v>
      </c>
      <c r="D866" s="1" t="s">
        <v>59</v>
      </c>
      <c r="E866" s="1" t="s">
        <v>48</v>
      </c>
      <c r="F866" s="1" t="s">
        <v>37</v>
      </c>
      <c r="G866" s="1" t="s">
        <v>38</v>
      </c>
      <c r="H866" s="1" t="s">
        <v>78</v>
      </c>
      <c r="I866" s="7">
        <v>44582</v>
      </c>
      <c r="J866" s="7">
        <v>44586</v>
      </c>
      <c r="K866" s="1">
        <v>4</v>
      </c>
      <c r="L866" s="1" t="s">
        <v>27</v>
      </c>
      <c r="M866" s="1" t="s">
        <v>28</v>
      </c>
      <c r="N866" s="1" t="s">
        <v>173</v>
      </c>
      <c r="O866" s="1" t="s">
        <v>30</v>
      </c>
      <c r="P866" s="29">
        <v>15122.46</v>
      </c>
      <c r="Q866" s="1" t="s">
        <v>567</v>
      </c>
      <c r="R866" s="1">
        <v>8</v>
      </c>
      <c r="S866" s="1">
        <v>468</v>
      </c>
      <c r="T866" s="1">
        <v>19.399999999999999</v>
      </c>
      <c r="U866" s="1" t="s">
        <v>44</v>
      </c>
      <c r="V866" s="17" t="s">
        <v>45</v>
      </c>
    </row>
    <row r="867" spans="1:22" ht="15" customHeight="1" x14ac:dyDescent="0.25">
      <c r="A867" s="16" t="s">
        <v>1726</v>
      </c>
      <c r="B867" s="3" t="s">
        <v>1727</v>
      </c>
      <c r="C867">
        <v>12</v>
      </c>
      <c r="D867" s="3" t="s">
        <v>22</v>
      </c>
      <c r="E867" s="3" t="s">
        <v>23</v>
      </c>
      <c r="F867" s="3" t="s">
        <v>83</v>
      </c>
      <c r="G867" s="3" t="s">
        <v>77</v>
      </c>
      <c r="H867" s="3" t="s">
        <v>51</v>
      </c>
      <c r="I867" s="8">
        <v>43509</v>
      </c>
      <c r="J867" s="8">
        <v>43519</v>
      </c>
      <c r="K867" s="3">
        <v>10</v>
      </c>
      <c r="L867" s="3" t="s">
        <v>102</v>
      </c>
      <c r="M867" s="3" t="s">
        <v>28</v>
      </c>
      <c r="N867" s="3" t="s">
        <v>84</v>
      </c>
      <c r="O867" s="3" t="s">
        <v>30</v>
      </c>
      <c r="P867" s="30">
        <v>26398.04</v>
      </c>
      <c r="Q867" s="3" t="s">
        <v>85</v>
      </c>
      <c r="R867" s="3">
        <v>10</v>
      </c>
      <c r="S867" s="3">
        <v>133</v>
      </c>
      <c r="T867" s="3">
        <v>29.2</v>
      </c>
      <c r="U867" s="3" t="s">
        <v>32</v>
      </c>
      <c r="V867" s="18" t="s">
        <v>33</v>
      </c>
    </row>
    <row r="868" spans="1:22" ht="15" customHeight="1" x14ac:dyDescent="0.25">
      <c r="A868" s="15" t="s">
        <v>1728</v>
      </c>
      <c r="B868" s="1" t="s">
        <v>1729</v>
      </c>
      <c r="C868">
        <v>66</v>
      </c>
      <c r="D868" s="1" t="s">
        <v>82</v>
      </c>
      <c r="E868" s="1" t="s">
        <v>48</v>
      </c>
      <c r="F868" s="1" t="s">
        <v>24</v>
      </c>
      <c r="G868" s="1" t="s">
        <v>131</v>
      </c>
      <c r="H868" s="1" t="s">
        <v>26</v>
      </c>
      <c r="I868" s="7">
        <v>43792</v>
      </c>
      <c r="J868" s="7">
        <v>43796</v>
      </c>
      <c r="K868" s="1">
        <v>4</v>
      </c>
      <c r="L868" s="1" t="s">
        <v>185</v>
      </c>
      <c r="M868" s="1" t="s">
        <v>186</v>
      </c>
      <c r="N868" s="1" t="s">
        <v>157</v>
      </c>
      <c r="O868" s="1" t="s">
        <v>66</v>
      </c>
      <c r="P868" s="29">
        <v>35906.47</v>
      </c>
      <c r="Q868" s="1" t="s">
        <v>291</v>
      </c>
      <c r="R868" s="1">
        <v>7</v>
      </c>
      <c r="S868" s="1">
        <v>348</v>
      </c>
      <c r="T868" s="1">
        <v>26.3</v>
      </c>
      <c r="U868" s="1" t="s">
        <v>86</v>
      </c>
      <c r="V868" s="17" t="s">
        <v>33</v>
      </c>
    </row>
    <row r="869" spans="1:22" ht="15" customHeight="1" x14ac:dyDescent="0.25">
      <c r="A869" s="16" t="s">
        <v>1730</v>
      </c>
      <c r="B869" s="3" t="s">
        <v>1731</v>
      </c>
      <c r="C869">
        <v>70</v>
      </c>
      <c r="D869" s="3" t="s">
        <v>82</v>
      </c>
      <c r="E869" s="3" t="s">
        <v>48</v>
      </c>
      <c r="F869" s="2" t="s">
        <v>155</v>
      </c>
      <c r="G869" s="3" t="s">
        <v>38</v>
      </c>
      <c r="H869" s="3" t="s">
        <v>26</v>
      </c>
      <c r="I869" s="6">
        <v>44107</v>
      </c>
      <c r="J869" s="10"/>
      <c r="K869" s="3"/>
      <c r="L869" s="3" t="s">
        <v>52</v>
      </c>
      <c r="M869" s="3" t="s">
        <v>53</v>
      </c>
      <c r="N869" s="3" t="s">
        <v>173</v>
      </c>
      <c r="O869" s="3" t="s">
        <v>66</v>
      </c>
      <c r="P869" s="30">
        <v>33336.74</v>
      </c>
      <c r="Q869" s="3" t="s">
        <v>567</v>
      </c>
      <c r="R869" s="3">
        <v>7</v>
      </c>
      <c r="S869" s="3">
        <v>188</v>
      </c>
      <c r="T869" s="3">
        <v>22.9</v>
      </c>
      <c r="U869" s="3" t="s">
        <v>32</v>
      </c>
      <c r="V869" s="18" t="s">
        <v>33</v>
      </c>
    </row>
    <row r="870" spans="1:22" ht="15" customHeight="1" x14ac:dyDescent="0.25">
      <c r="A870" s="15" t="s">
        <v>1732</v>
      </c>
      <c r="B870" s="1" t="s">
        <v>1733</v>
      </c>
      <c r="C870">
        <v>74</v>
      </c>
      <c r="D870" s="1" t="s">
        <v>82</v>
      </c>
      <c r="E870" s="1" t="s">
        <v>23</v>
      </c>
      <c r="F870" s="1" t="s">
        <v>83</v>
      </c>
      <c r="G870" s="1" t="s">
        <v>131</v>
      </c>
      <c r="H870" s="1" t="s">
        <v>26</v>
      </c>
      <c r="I870" s="6">
        <v>45314</v>
      </c>
      <c r="J870" s="7">
        <v>45321</v>
      </c>
      <c r="K870" s="1">
        <v>7</v>
      </c>
      <c r="L870" s="1" t="s">
        <v>39</v>
      </c>
      <c r="M870" s="1" t="s">
        <v>40</v>
      </c>
      <c r="N870" s="1" t="s">
        <v>133</v>
      </c>
      <c r="O870" s="1" t="s">
        <v>42</v>
      </c>
      <c r="P870" s="29">
        <v>57318.080000000002</v>
      </c>
      <c r="Q870" s="1" t="s">
        <v>291</v>
      </c>
      <c r="R870" s="1">
        <v>5</v>
      </c>
      <c r="S870" s="1">
        <v>387</v>
      </c>
      <c r="T870" s="1">
        <v>31.5</v>
      </c>
      <c r="U870" s="1" t="s">
        <v>32</v>
      </c>
      <c r="V870" s="17" t="s">
        <v>45</v>
      </c>
    </row>
    <row r="871" spans="1:22" ht="15" customHeight="1" x14ac:dyDescent="0.25">
      <c r="A871" s="16" t="s">
        <v>1734</v>
      </c>
      <c r="B871" s="3" t="s">
        <v>1735</v>
      </c>
      <c r="C871">
        <v>64</v>
      </c>
      <c r="D871" s="3" t="s">
        <v>59</v>
      </c>
      <c r="E871" s="3" t="s">
        <v>48</v>
      </c>
      <c r="F871" s="3" t="s">
        <v>70</v>
      </c>
      <c r="G871" s="3" t="s">
        <v>77</v>
      </c>
      <c r="H871" s="3" t="s">
        <v>51</v>
      </c>
      <c r="I871" s="6">
        <v>45651</v>
      </c>
      <c r="J871" s="8">
        <v>45655</v>
      </c>
      <c r="K871" s="3">
        <v>4</v>
      </c>
      <c r="L871" s="3" t="s">
        <v>102</v>
      </c>
      <c r="M871" s="3" t="s">
        <v>28</v>
      </c>
      <c r="N871" s="3" t="s">
        <v>84</v>
      </c>
      <c r="O871" s="3" t="s">
        <v>42</v>
      </c>
      <c r="P871" s="30">
        <v>38011</v>
      </c>
      <c r="Q871" s="3" t="s">
        <v>95</v>
      </c>
      <c r="R871" s="3">
        <v>10</v>
      </c>
      <c r="S871" s="3">
        <v>175</v>
      </c>
      <c r="T871" s="3">
        <v>25.8</v>
      </c>
      <c r="U871" s="3" t="s">
        <v>32</v>
      </c>
      <c r="V871" s="18" t="s">
        <v>33</v>
      </c>
    </row>
    <row r="872" spans="1:22" ht="15" customHeight="1" x14ac:dyDescent="0.25">
      <c r="A872" s="15" t="s">
        <v>1736</v>
      </c>
      <c r="B872" s="1" t="s">
        <v>1737</v>
      </c>
      <c r="C872">
        <v>61</v>
      </c>
      <c r="D872" s="1" t="s">
        <v>59</v>
      </c>
      <c r="E872" s="1" t="s">
        <v>23</v>
      </c>
      <c r="F872" s="1" t="s">
        <v>24</v>
      </c>
      <c r="G872" s="1" t="s">
        <v>50</v>
      </c>
      <c r="H872" s="1" t="s">
        <v>26</v>
      </c>
      <c r="I872" s="7">
        <v>44524</v>
      </c>
      <c r="J872" s="7">
        <v>44536</v>
      </c>
      <c r="K872" s="1">
        <v>12</v>
      </c>
      <c r="L872" s="1" t="s">
        <v>89</v>
      </c>
      <c r="M872" s="1" t="s">
        <v>90</v>
      </c>
      <c r="N872" s="1" t="s">
        <v>54</v>
      </c>
      <c r="O872" s="1" t="s">
        <v>30</v>
      </c>
      <c r="P872" s="29">
        <v>61564.639999999999</v>
      </c>
      <c r="Q872" s="1" t="s">
        <v>194</v>
      </c>
      <c r="R872" s="1">
        <v>9</v>
      </c>
      <c r="S872" s="1">
        <v>309</v>
      </c>
      <c r="T872" s="1">
        <v>30.4</v>
      </c>
      <c r="U872" s="1" t="s">
        <v>32</v>
      </c>
      <c r="V872" s="17" t="s">
        <v>33</v>
      </c>
    </row>
    <row r="873" spans="1:22" ht="15" customHeight="1" x14ac:dyDescent="0.25">
      <c r="A873" s="16" t="s">
        <v>1738</v>
      </c>
      <c r="B873" s="3" t="s">
        <v>1739</v>
      </c>
      <c r="C873">
        <v>49</v>
      </c>
      <c r="D873" s="3" t="s">
        <v>98</v>
      </c>
      <c r="E873" s="3" t="s">
        <v>48</v>
      </c>
      <c r="F873" s="3" t="s">
        <v>76</v>
      </c>
      <c r="G873" s="3" t="s">
        <v>444</v>
      </c>
      <c r="H873" s="3" t="s">
        <v>78</v>
      </c>
      <c r="I873" s="6">
        <v>44071</v>
      </c>
      <c r="J873" s="8">
        <v>44077</v>
      </c>
      <c r="K873" s="3">
        <v>6</v>
      </c>
      <c r="L873" s="3" t="s">
        <v>27</v>
      </c>
      <c r="M873" s="3" t="s">
        <v>28</v>
      </c>
      <c r="N873" s="3" t="s">
        <v>173</v>
      </c>
      <c r="O873" s="3" t="s">
        <v>30</v>
      </c>
      <c r="P873" s="30">
        <v>14007.32</v>
      </c>
      <c r="Q873" s="3" t="s">
        <v>567</v>
      </c>
      <c r="R873" s="3">
        <v>7</v>
      </c>
      <c r="S873" s="3">
        <v>152</v>
      </c>
      <c r="T873" s="3">
        <v>38.799999999999997</v>
      </c>
      <c r="U873" s="3" t="s">
        <v>86</v>
      </c>
      <c r="V873" s="18" t="s">
        <v>33</v>
      </c>
    </row>
    <row r="874" spans="1:22" ht="15" customHeight="1" x14ac:dyDescent="0.25">
      <c r="A874" s="15" t="s">
        <v>1740</v>
      </c>
      <c r="B874" s="1" t="s">
        <v>1741</v>
      </c>
      <c r="C874">
        <v>59</v>
      </c>
      <c r="D874" s="1" t="s">
        <v>59</v>
      </c>
      <c r="E874" s="1" t="s">
        <v>48</v>
      </c>
      <c r="F874" s="1" t="s">
        <v>37</v>
      </c>
      <c r="G874" s="1" t="s">
        <v>163</v>
      </c>
      <c r="H874" s="1" t="s">
        <v>26</v>
      </c>
      <c r="I874" s="7">
        <v>45332</v>
      </c>
      <c r="J874" s="7">
        <v>45342</v>
      </c>
      <c r="K874" s="1">
        <v>10</v>
      </c>
      <c r="L874" s="1" t="s">
        <v>102</v>
      </c>
      <c r="M874" s="1" t="s">
        <v>28</v>
      </c>
      <c r="N874" s="1" t="s">
        <v>164</v>
      </c>
      <c r="O874" s="1" t="s">
        <v>30</v>
      </c>
      <c r="P874" s="29">
        <v>47161.2</v>
      </c>
      <c r="Q874" s="1" t="s">
        <v>382</v>
      </c>
      <c r="R874" s="1">
        <v>5</v>
      </c>
      <c r="S874" s="1">
        <v>316</v>
      </c>
      <c r="T874" s="1">
        <v>17.8</v>
      </c>
      <c r="U874" s="1" t="s">
        <v>32</v>
      </c>
      <c r="V874" s="17" t="s">
        <v>33</v>
      </c>
    </row>
    <row r="875" spans="1:22" ht="15" customHeight="1" x14ac:dyDescent="0.25">
      <c r="A875" s="16" t="s">
        <v>1742</v>
      </c>
      <c r="B875" s="3" t="s">
        <v>1743</v>
      </c>
      <c r="C875">
        <v>64</v>
      </c>
      <c r="D875" s="3" t="s">
        <v>59</v>
      </c>
      <c r="E875" s="3" t="s">
        <v>23</v>
      </c>
      <c r="F875" s="3" t="s">
        <v>83</v>
      </c>
      <c r="G875" s="3" t="s">
        <v>71</v>
      </c>
      <c r="H875" s="3" t="s">
        <v>26</v>
      </c>
      <c r="I875" s="8">
        <v>45317</v>
      </c>
      <c r="J875" s="10"/>
      <c r="K875" s="3"/>
      <c r="L875" s="3" t="s">
        <v>39</v>
      </c>
      <c r="M875" s="3" t="s">
        <v>40</v>
      </c>
      <c r="N875" s="3" t="s">
        <v>72</v>
      </c>
      <c r="O875" s="3" t="s">
        <v>30</v>
      </c>
      <c r="P875" s="30">
        <v>15378.51</v>
      </c>
      <c r="Q875" s="3" t="s">
        <v>73</v>
      </c>
      <c r="R875" s="3">
        <v>2</v>
      </c>
      <c r="S875" s="3">
        <v>156</v>
      </c>
      <c r="T875" s="3">
        <v>28</v>
      </c>
      <c r="U875" s="3" t="s">
        <v>86</v>
      </c>
      <c r="V875" s="18" t="s">
        <v>33</v>
      </c>
    </row>
    <row r="876" spans="1:22" ht="15" customHeight="1" x14ac:dyDescent="0.25">
      <c r="A876" s="15" t="s">
        <v>1744</v>
      </c>
      <c r="B876" s="1" t="s">
        <v>1745</v>
      </c>
      <c r="C876">
        <v>59</v>
      </c>
      <c r="D876" s="1" t="s">
        <v>59</v>
      </c>
      <c r="E876" s="1" t="s">
        <v>23</v>
      </c>
      <c r="F876" s="1" t="s">
        <v>155</v>
      </c>
      <c r="G876" s="1" t="s">
        <v>60</v>
      </c>
      <c r="H876" s="1" t="s">
        <v>26</v>
      </c>
      <c r="I876" s="6">
        <v>44941</v>
      </c>
      <c r="J876" s="7">
        <v>44946</v>
      </c>
      <c r="K876" s="1">
        <v>5</v>
      </c>
      <c r="L876" s="1" t="s">
        <v>39</v>
      </c>
      <c r="M876" s="1" t="s">
        <v>40</v>
      </c>
      <c r="N876" s="1" t="s">
        <v>61</v>
      </c>
      <c r="O876" s="1" t="s">
        <v>104</v>
      </c>
      <c r="P876" s="29">
        <v>64574.01</v>
      </c>
      <c r="Q876" s="1" t="s">
        <v>349</v>
      </c>
      <c r="R876" s="1">
        <v>6</v>
      </c>
      <c r="S876" s="1">
        <v>330</v>
      </c>
      <c r="T876" s="1">
        <v>36.700000000000003</v>
      </c>
      <c r="U876" s="1" t="s">
        <v>32</v>
      </c>
      <c r="V876" s="17" t="s">
        <v>33</v>
      </c>
    </row>
    <row r="877" spans="1:22" ht="15" customHeight="1" x14ac:dyDescent="0.25">
      <c r="A877" s="16" t="s">
        <v>1746</v>
      </c>
      <c r="B877" s="3" t="s">
        <v>1747</v>
      </c>
      <c r="C877">
        <v>57</v>
      </c>
      <c r="D877" s="3" t="s">
        <v>59</v>
      </c>
      <c r="E877" s="3" t="s">
        <v>48</v>
      </c>
      <c r="F877" s="3" t="s">
        <v>70</v>
      </c>
      <c r="G877" s="3" t="s">
        <v>77</v>
      </c>
      <c r="H877" s="3" t="s">
        <v>78</v>
      </c>
      <c r="I877" s="6">
        <v>43722</v>
      </c>
      <c r="J877" s="8">
        <v>43734</v>
      </c>
      <c r="K877" s="3">
        <v>12</v>
      </c>
      <c r="L877" s="3" t="s">
        <v>112</v>
      </c>
      <c r="M877" s="3" t="s">
        <v>40</v>
      </c>
      <c r="N877" s="3" t="s">
        <v>94</v>
      </c>
      <c r="O877" s="3" t="s">
        <v>30</v>
      </c>
      <c r="P877" s="30">
        <v>22093.14</v>
      </c>
      <c r="Q877" s="3" t="s">
        <v>80</v>
      </c>
      <c r="R877" s="3">
        <v>10</v>
      </c>
      <c r="S877" s="3">
        <v>277</v>
      </c>
      <c r="T877" s="3">
        <v>24.3</v>
      </c>
      <c r="U877" s="3" t="s">
        <v>44</v>
      </c>
      <c r="V877" s="18" t="s">
        <v>33</v>
      </c>
    </row>
    <row r="878" spans="1:22" ht="15" customHeight="1" x14ac:dyDescent="0.25">
      <c r="A878" s="15" t="s">
        <v>1748</v>
      </c>
      <c r="B878" s="1" t="s">
        <v>1749</v>
      </c>
      <c r="C878">
        <v>60</v>
      </c>
      <c r="D878" s="1" t="s">
        <v>59</v>
      </c>
      <c r="E878" s="1" t="s">
        <v>48</v>
      </c>
      <c r="F878" s="1" t="s">
        <v>99</v>
      </c>
      <c r="G878" s="1" t="s">
        <v>131</v>
      </c>
      <c r="H878" s="1" t="s">
        <v>51</v>
      </c>
      <c r="I878" s="7">
        <v>43744</v>
      </c>
      <c r="J878" s="7">
        <v>43753</v>
      </c>
      <c r="K878" s="1">
        <v>9</v>
      </c>
      <c r="L878" s="1" t="s">
        <v>122</v>
      </c>
      <c r="M878" s="1" t="s">
        <v>40</v>
      </c>
      <c r="N878" s="1" t="s">
        <v>133</v>
      </c>
      <c r="O878" s="1" t="s">
        <v>30</v>
      </c>
      <c r="P878" s="29">
        <v>17022.560000000001</v>
      </c>
      <c r="Q878" s="1" t="s">
        <v>152</v>
      </c>
      <c r="R878" s="1">
        <v>7</v>
      </c>
      <c r="S878" s="1">
        <v>142</v>
      </c>
      <c r="T878" s="1">
        <v>16.3</v>
      </c>
      <c r="U878" s="1" t="s">
        <v>32</v>
      </c>
      <c r="V878" s="17" t="s">
        <v>33</v>
      </c>
    </row>
    <row r="879" spans="1:22" ht="15" customHeight="1" x14ac:dyDescent="0.25">
      <c r="A879" s="16" t="s">
        <v>1750</v>
      </c>
      <c r="B879" s="3" t="s">
        <v>1751</v>
      </c>
      <c r="C879">
        <v>54</v>
      </c>
      <c r="D879" s="3" t="s">
        <v>98</v>
      </c>
      <c r="E879" s="3" t="s">
        <v>48</v>
      </c>
      <c r="F879" s="3" t="s">
        <v>37</v>
      </c>
      <c r="G879" s="3" t="s">
        <v>50</v>
      </c>
      <c r="H879" s="3" t="s">
        <v>26</v>
      </c>
      <c r="I879" s="6">
        <v>45118</v>
      </c>
      <c r="J879" s="8">
        <v>45259</v>
      </c>
      <c r="K879" s="3">
        <v>22</v>
      </c>
      <c r="L879" s="3" t="s">
        <v>112</v>
      </c>
      <c r="M879" s="3" t="s">
        <v>40</v>
      </c>
      <c r="N879" s="3" t="s">
        <v>126</v>
      </c>
      <c r="O879" s="3" t="s">
        <v>30</v>
      </c>
      <c r="P879" s="30">
        <v>27796.68</v>
      </c>
      <c r="Q879" s="3" t="s">
        <v>56</v>
      </c>
      <c r="R879" s="3">
        <v>7</v>
      </c>
      <c r="S879" s="3">
        <v>359</v>
      </c>
      <c r="T879" s="3">
        <v>27.1</v>
      </c>
      <c r="U879" s="3" t="s">
        <v>86</v>
      </c>
      <c r="V879" s="18" t="s">
        <v>33</v>
      </c>
    </row>
    <row r="880" spans="1:22" ht="15" customHeight="1" x14ac:dyDescent="0.25">
      <c r="A880" s="15" t="s">
        <v>1752</v>
      </c>
      <c r="B880" s="1" t="s">
        <v>1411</v>
      </c>
      <c r="C880">
        <v>62</v>
      </c>
      <c r="D880" s="1" t="s">
        <v>59</v>
      </c>
      <c r="E880" s="1" t="s">
        <v>23</v>
      </c>
      <c r="F880" s="1" t="s">
        <v>155</v>
      </c>
      <c r="G880" s="1" t="s">
        <v>77</v>
      </c>
      <c r="H880" s="1" t="s">
        <v>51</v>
      </c>
      <c r="I880" s="7">
        <v>44490</v>
      </c>
      <c r="J880" s="7">
        <v>44498</v>
      </c>
      <c r="K880" s="1">
        <v>8</v>
      </c>
      <c r="L880" s="1" t="s">
        <v>185</v>
      </c>
      <c r="M880" s="1" t="s">
        <v>186</v>
      </c>
      <c r="N880" s="1" t="s">
        <v>79</v>
      </c>
      <c r="O880" s="1" t="s">
        <v>3565</v>
      </c>
      <c r="P880" s="29">
        <v>53924.25</v>
      </c>
      <c r="Q880" s="1" t="s">
        <v>91</v>
      </c>
      <c r="R880" s="1">
        <v>5</v>
      </c>
      <c r="S880" s="1">
        <v>167</v>
      </c>
      <c r="T880" s="1">
        <v>38.4</v>
      </c>
      <c r="U880" s="1" t="s">
        <v>44</v>
      </c>
      <c r="V880" s="17" t="s">
        <v>33</v>
      </c>
    </row>
    <row r="881" spans="1:22" ht="15" customHeight="1" x14ac:dyDescent="0.25">
      <c r="A881" s="16" t="s">
        <v>1754</v>
      </c>
      <c r="B881" s="3" t="s">
        <v>1755</v>
      </c>
      <c r="C881">
        <v>68</v>
      </c>
      <c r="D881" s="3" t="s">
        <v>82</v>
      </c>
      <c r="E881" s="3" t="s">
        <v>48</v>
      </c>
      <c r="F881" s="3" t="s">
        <v>99</v>
      </c>
      <c r="G881" s="3" t="s">
        <v>60</v>
      </c>
      <c r="H881" s="3" t="s">
        <v>26</v>
      </c>
      <c r="I881" s="8">
        <v>44419</v>
      </c>
      <c r="J881" s="8">
        <v>44511</v>
      </c>
      <c r="K881" s="3">
        <v>3</v>
      </c>
      <c r="L881" s="3" t="s">
        <v>132</v>
      </c>
      <c r="M881" s="3" t="s">
        <v>53</v>
      </c>
      <c r="N881" s="3" t="s">
        <v>210</v>
      </c>
      <c r="O881" s="3" t="s">
        <v>66</v>
      </c>
      <c r="P881" s="30">
        <v>73926.37</v>
      </c>
      <c r="Q881" s="3" t="s">
        <v>137</v>
      </c>
      <c r="R881" s="3">
        <v>4</v>
      </c>
      <c r="S881" s="3">
        <v>344</v>
      </c>
      <c r="T881" s="3">
        <v>14</v>
      </c>
      <c r="U881" s="3" t="s">
        <v>86</v>
      </c>
      <c r="V881" s="18" t="s">
        <v>33</v>
      </c>
    </row>
    <row r="882" spans="1:22" ht="15" customHeight="1" x14ac:dyDescent="0.25">
      <c r="A882" s="15" t="s">
        <v>1756</v>
      </c>
      <c r="B882" s="1" t="s">
        <v>1757</v>
      </c>
      <c r="C882">
        <v>69</v>
      </c>
      <c r="D882" s="1" t="s">
        <v>82</v>
      </c>
      <c r="E882" s="1" t="s">
        <v>23</v>
      </c>
      <c r="F882" s="1" t="s">
        <v>155</v>
      </c>
      <c r="G882" s="1" t="s">
        <v>131</v>
      </c>
      <c r="H882" s="1" t="s">
        <v>51</v>
      </c>
      <c r="I882" s="7">
        <v>44549</v>
      </c>
      <c r="J882" s="7">
        <v>44555</v>
      </c>
      <c r="K882" s="1">
        <v>6</v>
      </c>
      <c r="L882" s="1" t="s">
        <v>39</v>
      </c>
      <c r="M882" s="1" t="s">
        <v>40</v>
      </c>
      <c r="N882" s="1" t="s">
        <v>147</v>
      </c>
      <c r="O882" s="1" t="s">
        <v>104</v>
      </c>
      <c r="P882" s="29">
        <v>17226.78</v>
      </c>
      <c r="Q882" s="1" t="s">
        <v>134</v>
      </c>
      <c r="R882" s="1">
        <v>6</v>
      </c>
      <c r="S882" s="1">
        <v>120</v>
      </c>
      <c r="T882" s="1">
        <v>14.7</v>
      </c>
      <c r="U882" s="1" t="s">
        <v>44</v>
      </c>
      <c r="V882" s="17" t="s">
        <v>33</v>
      </c>
    </row>
    <row r="883" spans="1:22" ht="15" customHeight="1" x14ac:dyDescent="0.25">
      <c r="A883" s="16" t="s">
        <v>1758</v>
      </c>
      <c r="B883" s="2" t="s">
        <v>1089</v>
      </c>
      <c r="C883">
        <v>69</v>
      </c>
      <c r="D883" s="3" t="s">
        <v>82</v>
      </c>
      <c r="E883" s="3" t="s">
        <v>48</v>
      </c>
      <c r="F883" s="2" t="s">
        <v>3714</v>
      </c>
      <c r="G883" s="3" t="s">
        <v>25</v>
      </c>
      <c r="H883" s="3" t="s">
        <v>51</v>
      </c>
      <c r="I883" s="6">
        <v>43708</v>
      </c>
      <c r="J883" s="8">
        <v>43717</v>
      </c>
      <c r="K883" s="3">
        <v>9</v>
      </c>
      <c r="L883" s="3" t="s">
        <v>102</v>
      </c>
      <c r="M883" s="3" t="s">
        <v>28</v>
      </c>
      <c r="N883" s="3" t="s">
        <v>65</v>
      </c>
      <c r="O883" s="3" t="s">
        <v>30</v>
      </c>
      <c r="P883" s="30">
        <v>54458.239999999998</v>
      </c>
      <c r="Q883" s="3" t="s">
        <v>706</v>
      </c>
      <c r="R883" s="3">
        <v>11</v>
      </c>
      <c r="S883" s="3">
        <v>146</v>
      </c>
      <c r="T883" s="3">
        <v>21.4</v>
      </c>
      <c r="U883" s="3" t="s">
        <v>44</v>
      </c>
      <c r="V883" s="18" t="s">
        <v>45</v>
      </c>
    </row>
    <row r="884" spans="1:22" ht="15" customHeight="1" x14ac:dyDescent="0.25">
      <c r="A884" s="15" t="s">
        <v>1759</v>
      </c>
      <c r="B884" s="1" t="s">
        <v>1760</v>
      </c>
      <c r="C884">
        <v>62</v>
      </c>
      <c r="D884" s="1" t="s">
        <v>59</v>
      </c>
      <c r="E884" s="1" t="s">
        <v>23</v>
      </c>
      <c r="F884" s="1" t="s">
        <v>70</v>
      </c>
      <c r="G884" s="1" t="s">
        <v>50</v>
      </c>
      <c r="H884" s="1" t="s">
        <v>26</v>
      </c>
      <c r="I884" s="7">
        <v>45233</v>
      </c>
      <c r="J884" s="7">
        <v>45247</v>
      </c>
      <c r="K884" s="1">
        <v>14</v>
      </c>
      <c r="L884" s="1" t="s">
        <v>132</v>
      </c>
      <c r="M884" s="1" t="s">
        <v>53</v>
      </c>
      <c r="N884" s="1" t="s">
        <v>126</v>
      </c>
      <c r="O884" s="1" t="s">
        <v>30</v>
      </c>
      <c r="P884" s="29">
        <v>43133.87</v>
      </c>
      <c r="Q884" s="1" t="s">
        <v>194</v>
      </c>
      <c r="R884" s="1">
        <v>7</v>
      </c>
      <c r="S884" s="1">
        <v>380</v>
      </c>
      <c r="T884" s="1">
        <v>20.100000000000001</v>
      </c>
      <c r="U884" s="1" t="s">
        <v>86</v>
      </c>
      <c r="V884" s="17" t="s">
        <v>45</v>
      </c>
    </row>
    <row r="885" spans="1:22" ht="15" customHeight="1" x14ac:dyDescent="0.25">
      <c r="A885" s="16" t="s">
        <v>1761</v>
      </c>
      <c r="B885" s="3" t="s">
        <v>1762</v>
      </c>
      <c r="C885">
        <v>84</v>
      </c>
      <c r="D885" s="3" t="s">
        <v>36</v>
      </c>
      <c r="E885" s="3" t="s">
        <v>48</v>
      </c>
      <c r="F885" s="3" t="s">
        <v>99</v>
      </c>
      <c r="G885" s="3" t="s">
        <v>71</v>
      </c>
      <c r="H885" s="3" t="s">
        <v>78</v>
      </c>
      <c r="I885" s="8">
        <v>44969</v>
      </c>
      <c r="J885" s="8">
        <v>44974</v>
      </c>
      <c r="K885" s="3">
        <v>5</v>
      </c>
      <c r="L885" s="3" t="s">
        <v>112</v>
      </c>
      <c r="M885" s="3" t="s">
        <v>40</v>
      </c>
      <c r="N885" s="3" t="s">
        <v>312</v>
      </c>
      <c r="O885" s="3" t="s">
        <v>42</v>
      </c>
      <c r="P885" s="30">
        <v>24653.89</v>
      </c>
      <c r="Q885" s="3" t="s">
        <v>170</v>
      </c>
      <c r="R885" s="3">
        <v>5</v>
      </c>
      <c r="S885" s="3">
        <v>176</v>
      </c>
      <c r="T885" s="3">
        <v>26.1</v>
      </c>
      <c r="U885" s="3" t="s">
        <v>44</v>
      </c>
      <c r="V885" s="18" t="s">
        <v>33</v>
      </c>
    </row>
    <row r="886" spans="1:22" ht="15" customHeight="1" x14ac:dyDescent="0.25">
      <c r="A886" s="15" t="s">
        <v>1763</v>
      </c>
      <c r="B886" s="1" t="s">
        <v>1764</v>
      </c>
      <c r="C886">
        <v>61</v>
      </c>
      <c r="D886" s="1" t="s">
        <v>59</v>
      </c>
      <c r="E886" s="1" t="s">
        <v>48</v>
      </c>
      <c r="F886" s="1" t="s">
        <v>99</v>
      </c>
      <c r="G886" s="1" t="s">
        <v>163</v>
      </c>
      <c r="H886" s="1" t="s">
        <v>51</v>
      </c>
      <c r="I886" s="7">
        <v>43698</v>
      </c>
      <c r="J886" s="7">
        <v>43699</v>
      </c>
      <c r="K886" s="1">
        <v>1</v>
      </c>
      <c r="L886" s="1" t="s">
        <v>27</v>
      </c>
      <c r="M886" s="1" t="s">
        <v>28</v>
      </c>
      <c r="N886" s="1" t="s">
        <v>164</v>
      </c>
      <c r="O886" s="1" t="s">
        <v>42</v>
      </c>
      <c r="P886" s="29">
        <v>22010.34</v>
      </c>
      <c r="Q886" s="1" t="s">
        <v>62</v>
      </c>
      <c r="R886" s="1">
        <v>4</v>
      </c>
      <c r="S886" s="1">
        <v>173</v>
      </c>
      <c r="T886" s="1">
        <v>14</v>
      </c>
      <c r="U886" s="1" t="s">
        <v>44</v>
      </c>
      <c r="V886" s="17" t="s">
        <v>33</v>
      </c>
    </row>
    <row r="887" spans="1:22" ht="15" customHeight="1" x14ac:dyDescent="0.25">
      <c r="A887" s="16" t="s">
        <v>1765</v>
      </c>
      <c r="B887" s="3" t="s">
        <v>1766</v>
      </c>
      <c r="C887">
        <v>86</v>
      </c>
      <c r="D887" s="3" t="s">
        <v>36</v>
      </c>
      <c r="E887" s="3" t="s">
        <v>48</v>
      </c>
      <c r="F887" s="3" t="s">
        <v>49</v>
      </c>
      <c r="G887" s="3" t="s">
        <v>50</v>
      </c>
      <c r="H887" s="3" t="s">
        <v>26</v>
      </c>
      <c r="I887" s="8">
        <v>45425</v>
      </c>
      <c r="J887" s="8">
        <v>45433</v>
      </c>
      <c r="K887" s="3">
        <v>8</v>
      </c>
      <c r="L887" s="3" t="s">
        <v>39</v>
      </c>
      <c r="M887" s="3" t="s">
        <v>40</v>
      </c>
      <c r="N887" s="3" t="s">
        <v>116</v>
      </c>
      <c r="O887" s="3" t="s">
        <v>42</v>
      </c>
      <c r="P887" s="30">
        <v>132914.03</v>
      </c>
      <c r="Q887" s="3" t="s">
        <v>144</v>
      </c>
      <c r="R887" s="3">
        <v>9</v>
      </c>
      <c r="S887" s="3">
        <v>394</v>
      </c>
      <c r="T887" s="3">
        <v>26.3</v>
      </c>
      <c r="U887" s="3" t="s">
        <v>86</v>
      </c>
      <c r="V887" s="18" t="s">
        <v>45</v>
      </c>
    </row>
    <row r="888" spans="1:22" ht="15" customHeight="1" x14ac:dyDescent="0.25">
      <c r="A888" s="15" t="s">
        <v>1767</v>
      </c>
      <c r="B888" s="1" t="s">
        <v>999</v>
      </c>
      <c r="C888">
        <v>56</v>
      </c>
      <c r="D888" s="1" t="s">
        <v>59</v>
      </c>
      <c r="E888" s="1" t="s">
        <v>23</v>
      </c>
      <c r="F888" s="1" t="s">
        <v>37</v>
      </c>
      <c r="G888" s="1" t="s">
        <v>38</v>
      </c>
      <c r="H888" s="1" t="s">
        <v>26</v>
      </c>
      <c r="I888" s="6">
        <v>44356</v>
      </c>
      <c r="J888" s="7">
        <v>44509</v>
      </c>
      <c r="K888" s="1">
        <v>5</v>
      </c>
      <c r="L888" s="1" t="s">
        <v>132</v>
      </c>
      <c r="M888" s="1" t="s">
        <v>53</v>
      </c>
      <c r="N888" s="1" t="s">
        <v>173</v>
      </c>
      <c r="O888" s="1" t="s">
        <v>104</v>
      </c>
      <c r="P888" s="29">
        <v>37913.67</v>
      </c>
      <c r="Q888" s="1" t="s">
        <v>43</v>
      </c>
      <c r="R888" s="1">
        <v>7</v>
      </c>
      <c r="S888" s="1">
        <v>125</v>
      </c>
      <c r="T888" s="1">
        <v>28.1</v>
      </c>
      <c r="U888" s="1" t="s">
        <v>86</v>
      </c>
      <c r="V888" s="17" t="s">
        <v>45</v>
      </c>
    </row>
    <row r="889" spans="1:22" ht="15" customHeight="1" x14ac:dyDescent="0.25">
      <c r="A889" s="16" t="s">
        <v>1768</v>
      </c>
      <c r="B889" s="3" t="s">
        <v>1769</v>
      </c>
      <c r="C889">
        <v>69</v>
      </c>
      <c r="D889" s="3" t="s">
        <v>82</v>
      </c>
      <c r="E889" s="3" t="s">
        <v>48</v>
      </c>
      <c r="F889" s="3" t="s">
        <v>70</v>
      </c>
      <c r="G889" s="3" t="s">
        <v>25</v>
      </c>
      <c r="H889" s="3" t="s">
        <v>51</v>
      </c>
      <c r="I889" s="6">
        <v>45567</v>
      </c>
      <c r="J889" s="8">
        <v>45545</v>
      </c>
      <c r="K889" s="3">
        <v>7</v>
      </c>
      <c r="L889" s="3" t="s">
        <v>52</v>
      </c>
      <c r="M889" s="3" t="s">
        <v>53</v>
      </c>
      <c r="N889" s="3" t="s">
        <v>29</v>
      </c>
      <c r="O889" s="3" t="s">
        <v>30</v>
      </c>
      <c r="P889" s="30">
        <v>44977.09</v>
      </c>
      <c r="Q889" s="3" t="s">
        <v>310</v>
      </c>
      <c r="R889" s="3">
        <v>12</v>
      </c>
      <c r="S889" s="3">
        <v>191</v>
      </c>
      <c r="T889" s="3">
        <v>27.5</v>
      </c>
      <c r="U889" s="3" t="s">
        <v>44</v>
      </c>
      <c r="V889" s="18" t="s">
        <v>33</v>
      </c>
    </row>
    <row r="890" spans="1:22" ht="15" customHeight="1" x14ac:dyDescent="0.25">
      <c r="A890" s="15" t="s">
        <v>1770</v>
      </c>
      <c r="B890" s="1" t="s">
        <v>1771</v>
      </c>
      <c r="C890">
        <v>81</v>
      </c>
      <c r="D890" s="1" t="s">
        <v>36</v>
      </c>
      <c r="E890" s="1" t="s">
        <v>48</v>
      </c>
      <c r="F890" s="1" t="s">
        <v>37</v>
      </c>
      <c r="G890" s="1" t="s">
        <v>77</v>
      </c>
      <c r="H890" s="1" t="s">
        <v>26</v>
      </c>
      <c r="I890" s="7">
        <v>43589</v>
      </c>
      <c r="J890" s="7">
        <v>43603</v>
      </c>
      <c r="K890" s="1">
        <v>14</v>
      </c>
      <c r="L890" s="1" t="s">
        <v>27</v>
      </c>
      <c r="M890" s="1" t="s">
        <v>28</v>
      </c>
      <c r="N890" s="1" t="s">
        <v>94</v>
      </c>
      <c r="O890" s="1" t="s">
        <v>55</v>
      </c>
      <c r="P890" s="29">
        <v>58045.599999999999</v>
      </c>
      <c r="Q890" s="1" t="s">
        <v>109</v>
      </c>
      <c r="R890" s="1">
        <v>10</v>
      </c>
      <c r="S890" s="1">
        <v>328</v>
      </c>
      <c r="T890" s="1">
        <v>39.1</v>
      </c>
      <c r="U890" s="1" t="s">
        <v>44</v>
      </c>
      <c r="V890" s="17" t="s">
        <v>45</v>
      </c>
    </row>
    <row r="891" spans="1:22" ht="15" customHeight="1" x14ac:dyDescent="0.25">
      <c r="A891" s="16" t="s">
        <v>1772</v>
      </c>
      <c r="B891" s="2" t="s">
        <v>3630</v>
      </c>
      <c r="C891">
        <v>8</v>
      </c>
      <c r="D891" s="3" t="s">
        <v>22</v>
      </c>
      <c r="E891" s="3" t="s">
        <v>48</v>
      </c>
      <c r="F891" s="3" t="s">
        <v>70</v>
      </c>
      <c r="G891" s="3" t="s">
        <v>77</v>
      </c>
      <c r="H891" s="3" t="s">
        <v>51</v>
      </c>
      <c r="I891" s="8">
        <v>43592</v>
      </c>
      <c r="J891" s="8">
        <v>43602</v>
      </c>
      <c r="K891" s="3">
        <v>10</v>
      </c>
      <c r="L891" s="3" t="s">
        <v>122</v>
      </c>
      <c r="M891" s="3" t="s">
        <v>40</v>
      </c>
      <c r="N891" s="3" t="s">
        <v>94</v>
      </c>
      <c r="O891" s="3" t="s">
        <v>30</v>
      </c>
      <c r="P891" s="30">
        <v>13606.73</v>
      </c>
      <c r="Q891" s="3" t="s">
        <v>100</v>
      </c>
      <c r="R891" s="3">
        <v>10</v>
      </c>
      <c r="S891" s="3">
        <v>191</v>
      </c>
      <c r="T891" s="3">
        <v>31.5</v>
      </c>
      <c r="U891" s="3" t="s">
        <v>44</v>
      </c>
      <c r="V891" s="18" t="s">
        <v>33</v>
      </c>
    </row>
    <row r="892" spans="1:22" ht="15" customHeight="1" x14ac:dyDescent="0.25">
      <c r="A892" s="15" t="s">
        <v>1773</v>
      </c>
      <c r="B892" s="1" t="s">
        <v>1774</v>
      </c>
      <c r="C892">
        <v>5</v>
      </c>
      <c r="D892" s="1" t="s">
        <v>22</v>
      </c>
      <c r="E892" s="1" t="s">
        <v>48</v>
      </c>
      <c r="F892" s="1" t="s">
        <v>37</v>
      </c>
      <c r="G892" s="1" t="s">
        <v>38</v>
      </c>
      <c r="H892" s="1" t="s">
        <v>26</v>
      </c>
      <c r="I892" s="6">
        <v>43664</v>
      </c>
      <c r="J892" s="7">
        <v>43669</v>
      </c>
      <c r="K892" s="1">
        <v>5</v>
      </c>
      <c r="L892" s="1" t="s">
        <v>122</v>
      </c>
      <c r="M892" s="1" t="s">
        <v>40</v>
      </c>
      <c r="N892" s="1" t="s">
        <v>41</v>
      </c>
      <c r="O892" s="1" t="s">
        <v>42</v>
      </c>
      <c r="P892" s="29">
        <v>25206.01</v>
      </c>
      <c r="Q892" s="1" t="s">
        <v>119</v>
      </c>
      <c r="R892" s="1">
        <v>8</v>
      </c>
      <c r="S892" s="1">
        <v>407</v>
      </c>
      <c r="T892" s="1">
        <v>23.4</v>
      </c>
      <c r="U892" s="1" t="s">
        <v>44</v>
      </c>
      <c r="V892" s="17" t="s">
        <v>33</v>
      </c>
    </row>
    <row r="893" spans="1:22" ht="15" customHeight="1" x14ac:dyDescent="0.25">
      <c r="A893" s="16" t="s">
        <v>1775</v>
      </c>
      <c r="B893" s="3" t="s">
        <v>1776</v>
      </c>
      <c r="C893">
        <v>85</v>
      </c>
      <c r="D893" s="3" t="s">
        <v>36</v>
      </c>
      <c r="E893" s="3" t="s">
        <v>48</v>
      </c>
      <c r="F893" s="3" t="s">
        <v>83</v>
      </c>
      <c r="G893" s="3" t="s">
        <v>77</v>
      </c>
      <c r="H893" s="3" t="s">
        <v>156</v>
      </c>
      <c r="I893" s="8">
        <v>43818</v>
      </c>
      <c r="J893" s="8">
        <v>43825</v>
      </c>
      <c r="K893" s="3">
        <v>7</v>
      </c>
      <c r="L893" s="3" t="s">
        <v>39</v>
      </c>
      <c r="M893" s="3" t="s">
        <v>40</v>
      </c>
      <c r="N893" s="3" t="s">
        <v>84</v>
      </c>
      <c r="O893" s="3" t="s">
        <v>42</v>
      </c>
      <c r="P893" s="30">
        <v>65393.21</v>
      </c>
      <c r="Q893" s="3" t="s">
        <v>181</v>
      </c>
      <c r="R893" s="3">
        <v>8</v>
      </c>
      <c r="S893" s="3">
        <v>220</v>
      </c>
      <c r="T893" s="3">
        <v>27.8</v>
      </c>
      <c r="U893" s="3" t="s">
        <v>86</v>
      </c>
      <c r="V893" s="18" t="s">
        <v>33</v>
      </c>
    </row>
    <row r="894" spans="1:22" ht="15" customHeight="1" x14ac:dyDescent="0.25">
      <c r="A894" s="15" t="s">
        <v>1777</v>
      </c>
      <c r="B894" s="1" t="s">
        <v>1660</v>
      </c>
      <c r="C894">
        <v>83</v>
      </c>
      <c r="D894" s="1" t="s">
        <v>36</v>
      </c>
      <c r="E894" s="1" t="s">
        <v>23</v>
      </c>
      <c r="F894" s="1" t="s">
        <v>24</v>
      </c>
      <c r="G894" s="1" t="s">
        <v>38</v>
      </c>
      <c r="H894" s="1" t="s">
        <v>26</v>
      </c>
      <c r="I894" s="6">
        <v>45105</v>
      </c>
      <c r="J894" s="7">
        <v>45023</v>
      </c>
      <c r="K894" s="1">
        <v>6</v>
      </c>
      <c r="L894" s="1" t="s">
        <v>102</v>
      </c>
      <c r="M894" s="1" t="s">
        <v>28</v>
      </c>
      <c r="N894" s="1" t="s">
        <v>173</v>
      </c>
      <c r="O894" s="1" t="s">
        <v>30</v>
      </c>
      <c r="P894" s="29">
        <v>28204.19</v>
      </c>
      <c r="Q894" s="1" t="s">
        <v>305</v>
      </c>
      <c r="R894" s="1">
        <v>8</v>
      </c>
      <c r="S894" s="1">
        <v>157</v>
      </c>
      <c r="T894" s="1">
        <v>30.4</v>
      </c>
      <c r="U894" s="1" t="s">
        <v>44</v>
      </c>
      <c r="V894" s="17" t="s">
        <v>45</v>
      </c>
    </row>
    <row r="895" spans="1:22" ht="15" customHeight="1" x14ac:dyDescent="0.25">
      <c r="A895" s="16" t="s">
        <v>1778</v>
      </c>
      <c r="B895" s="3" t="s">
        <v>1779</v>
      </c>
      <c r="C895">
        <v>30</v>
      </c>
      <c r="D895" s="3" t="s">
        <v>47</v>
      </c>
      <c r="E895" s="3" t="s">
        <v>23</v>
      </c>
      <c r="F895" s="3" t="s">
        <v>83</v>
      </c>
      <c r="G895" s="3" t="s">
        <v>71</v>
      </c>
      <c r="H895" s="3" t="s">
        <v>51</v>
      </c>
      <c r="I895" s="6">
        <v>45103</v>
      </c>
      <c r="J895" s="8">
        <v>45105</v>
      </c>
      <c r="K895" s="3">
        <v>2</v>
      </c>
      <c r="L895" s="3" t="s">
        <v>231</v>
      </c>
      <c r="M895" s="3" t="s">
        <v>53</v>
      </c>
      <c r="N895" s="3" t="s">
        <v>72</v>
      </c>
      <c r="O895" s="3" t="s">
        <v>55</v>
      </c>
      <c r="P895" s="30">
        <v>7386.19</v>
      </c>
      <c r="Q895" s="3" t="s">
        <v>170</v>
      </c>
      <c r="R895" s="3">
        <v>5</v>
      </c>
      <c r="S895" s="3">
        <v>134</v>
      </c>
      <c r="T895" s="3">
        <v>19.8</v>
      </c>
      <c r="U895" s="3" t="s">
        <v>32</v>
      </c>
      <c r="V895" s="18" t="s">
        <v>33</v>
      </c>
    </row>
    <row r="896" spans="1:22" ht="15" customHeight="1" x14ac:dyDescent="0.25">
      <c r="A896" s="15" t="s">
        <v>1781</v>
      </c>
      <c r="B896" s="1" t="s">
        <v>1782</v>
      </c>
      <c r="C896">
        <v>70</v>
      </c>
      <c r="D896" s="1" t="s">
        <v>82</v>
      </c>
      <c r="E896" s="1" t="s">
        <v>23</v>
      </c>
      <c r="F896" s="1" t="s">
        <v>83</v>
      </c>
      <c r="G896" s="1" t="s">
        <v>163</v>
      </c>
      <c r="H896" s="1" t="s">
        <v>78</v>
      </c>
      <c r="I896" s="6">
        <v>43819</v>
      </c>
      <c r="J896" s="7">
        <v>43822</v>
      </c>
      <c r="K896" s="1">
        <v>3</v>
      </c>
      <c r="L896" s="1" t="s">
        <v>102</v>
      </c>
      <c r="M896" s="1" t="s">
        <v>28</v>
      </c>
      <c r="N896" s="1" t="s">
        <v>346</v>
      </c>
      <c r="O896" s="1" t="s">
        <v>55</v>
      </c>
      <c r="P896" s="29">
        <v>38958.089999999997</v>
      </c>
      <c r="Q896" s="1" t="s">
        <v>62</v>
      </c>
      <c r="R896" s="1">
        <v>5</v>
      </c>
      <c r="S896" s="1">
        <v>218</v>
      </c>
      <c r="T896" s="1">
        <v>21.6</v>
      </c>
      <c r="U896" s="1" t="s">
        <v>32</v>
      </c>
      <c r="V896" s="17" t="s">
        <v>33</v>
      </c>
    </row>
    <row r="897" spans="1:22" ht="15" customHeight="1" x14ac:dyDescent="0.25">
      <c r="A897" s="16" t="s">
        <v>1783</v>
      </c>
      <c r="B897" s="2" t="s">
        <v>3631</v>
      </c>
      <c r="C897">
        <v>62</v>
      </c>
      <c r="D897" s="3" t="s">
        <v>59</v>
      </c>
      <c r="E897" s="3" t="s">
        <v>23</v>
      </c>
      <c r="F897" s="3" t="s">
        <v>24</v>
      </c>
      <c r="G897" s="3" t="s">
        <v>60</v>
      </c>
      <c r="H897" s="3" t="s">
        <v>78</v>
      </c>
      <c r="I897" s="6">
        <v>44943</v>
      </c>
      <c r="J897" s="8">
        <v>44945</v>
      </c>
      <c r="K897" s="3">
        <v>2</v>
      </c>
      <c r="L897" s="3" t="s">
        <v>52</v>
      </c>
      <c r="M897" s="3" t="s">
        <v>53</v>
      </c>
      <c r="N897" s="3" t="s">
        <v>103</v>
      </c>
      <c r="O897" s="3" t="s">
        <v>42</v>
      </c>
      <c r="P897" s="30">
        <v>38353.4</v>
      </c>
      <c r="Q897" s="3" t="s">
        <v>511</v>
      </c>
      <c r="R897" s="3">
        <v>4</v>
      </c>
      <c r="S897" s="3">
        <v>271</v>
      </c>
      <c r="T897" s="3">
        <v>27.9</v>
      </c>
      <c r="U897" s="3" t="s">
        <v>32</v>
      </c>
      <c r="V897" s="18" t="s">
        <v>33</v>
      </c>
    </row>
    <row r="898" spans="1:22" ht="15" customHeight="1" x14ac:dyDescent="0.25">
      <c r="A898" s="15" t="s">
        <v>1784</v>
      </c>
      <c r="B898" s="1" t="s">
        <v>1785</v>
      </c>
      <c r="C898">
        <v>59</v>
      </c>
      <c r="D898" s="1" t="s">
        <v>59</v>
      </c>
      <c r="E898" s="1" t="s">
        <v>48</v>
      </c>
      <c r="F898" s="1" t="s">
        <v>99</v>
      </c>
      <c r="G898" s="1" t="s">
        <v>25</v>
      </c>
      <c r="H898" s="1" t="s">
        <v>78</v>
      </c>
      <c r="I898" s="7">
        <v>45415</v>
      </c>
      <c r="J898" s="7">
        <v>45445</v>
      </c>
      <c r="K898" s="1">
        <v>30</v>
      </c>
      <c r="L898" s="1" t="s">
        <v>89</v>
      </c>
      <c r="M898" s="1" t="s">
        <v>90</v>
      </c>
      <c r="N898" s="1" t="s">
        <v>29</v>
      </c>
      <c r="O898" s="1" t="s">
        <v>30</v>
      </c>
      <c r="P898" s="29">
        <v>27745.8</v>
      </c>
      <c r="Q898" s="1" t="s">
        <v>322</v>
      </c>
      <c r="R898" s="1">
        <v>12</v>
      </c>
      <c r="S898" s="1">
        <v>219</v>
      </c>
      <c r="T898" s="1">
        <v>19.399999999999999</v>
      </c>
      <c r="U898" s="1" t="s">
        <v>86</v>
      </c>
      <c r="V898" s="17" t="s">
        <v>33</v>
      </c>
    </row>
    <row r="899" spans="1:22" ht="15" customHeight="1" x14ac:dyDescent="0.25">
      <c r="A899" s="16" t="s">
        <v>1786</v>
      </c>
      <c r="B899" s="3" t="s">
        <v>1787</v>
      </c>
      <c r="C899">
        <v>40</v>
      </c>
      <c r="D899" s="3" t="s">
        <v>98</v>
      </c>
      <c r="E899" s="3" t="s">
        <v>23</v>
      </c>
      <c r="F899" s="3" t="s">
        <v>99</v>
      </c>
      <c r="G899" s="3" t="s">
        <v>77</v>
      </c>
      <c r="H899" s="3" t="s">
        <v>26</v>
      </c>
      <c r="I899" s="8">
        <v>44852</v>
      </c>
      <c r="J899" s="8">
        <v>44865</v>
      </c>
      <c r="K899" s="3">
        <v>13</v>
      </c>
      <c r="L899" s="3" t="s">
        <v>185</v>
      </c>
      <c r="M899" s="3" t="s">
        <v>186</v>
      </c>
      <c r="N899" s="3" t="s">
        <v>84</v>
      </c>
      <c r="O899" s="3" t="s">
        <v>42</v>
      </c>
      <c r="P899" s="30">
        <v>62739</v>
      </c>
      <c r="Q899" s="3" t="s">
        <v>100</v>
      </c>
      <c r="R899" s="3">
        <v>10</v>
      </c>
      <c r="S899" s="3">
        <v>336</v>
      </c>
      <c r="T899" s="3">
        <v>29</v>
      </c>
      <c r="U899" s="3" t="s">
        <v>86</v>
      </c>
      <c r="V899" s="18" t="s">
        <v>33</v>
      </c>
    </row>
    <row r="900" spans="1:22" ht="15" customHeight="1" x14ac:dyDescent="0.25">
      <c r="A900" s="15" t="s">
        <v>1788</v>
      </c>
      <c r="B900" s="1" t="s">
        <v>1789</v>
      </c>
      <c r="C900">
        <v>46</v>
      </c>
      <c r="D900" s="1" t="s">
        <v>98</v>
      </c>
      <c r="E900" s="1" t="s">
        <v>48</v>
      </c>
      <c r="F900" s="1" t="s">
        <v>49</v>
      </c>
      <c r="G900" s="1" t="s">
        <v>71</v>
      </c>
      <c r="H900" s="1" t="s">
        <v>51</v>
      </c>
      <c r="I900" s="6">
        <v>45231</v>
      </c>
      <c r="J900" s="7">
        <v>44942</v>
      </c>
      <c r="K900" s="1">
        <v>5</v>
      </c>
      <c r="L900" s="1" t="s">
        <v>132</v>
      </c>
      <c r="M900" s="1" t="s">
        <v>53</v>
      </c>
      <c r="N900" s="1" t="s">
        <v>312</v>
      </c>
      <c r="O900" s="1" t="s">
        <v>30</v>
      </c>
      <c r="P900" s="29">
        <v>12667.39</v>
      </c>
      <c r="Q900" s="1" t="s">
        <v>178</v>
      </c>
      <c r="R900" s="1">
        <v>4</v>
      </c>
      <c r="S900" s="1">
        <v>104</v>
      </c>
      <c r="T900" s="1">
        <v>23.1</v>
      </c>
      <c r="U900" s="1" t="s">
        <v>44</v>
      </c>
      <c r="V900" s="17" t="s">
        <v>45</v>
      </c>
    </row>
    <row r="901" spans="1:22" ht="15" customHeight="1" x14ac:dyDescent="0.25">
      <c r="A901" s="16" t="s">
        <v>1790</v>
      </c>
      <c r="B901" s="3" t="s">
        <v>1791</v>
      </c>
      <c r="C901">
        <v>65</v>
      </c>
      <c r="D901" s="3" t="s">
        <v>82</v>
      </c>
      <c r="E901" s="3" t="s">
        <v>23</v>
      </c>
      <c r="F901" s="3" t="s">
        <v>24</v>
      </c>
      <c r="G901" s="3" t="s">
        <v>77</v>
      </c>
      <c r="H901" s="3" t="s">
        <v>26</v>
      </c>
      <c r="I901" s="6">
        <v>43477</v>
      </c>
      <c r="J901" s="8">
        <v>43818</v>
      </c>
      <c r="K901" s="3">
        <v>18</v>
      </c>
      <c r="L901" s="3" t="s">
        <v>185</v>
      </c>
      <c r="M901" s="3" t="s">
        <v>186</v>
      </c>
      <c r="N901" s="3" t="s">
        <v>84</v>
      </c>
      <c r="O901" s="3" t="s">
        <v>30</v>
      </c>
      <c r="P901" s="30">
        <v>68572.3</v>
      </c>
      <c r="Q901" s="3" t="s">
        <v>80</v>
      </c>
      <c r="R901" s="3">
        <v>10</v>
      </c>
      <c r="S901" s="3">
        <v>392</v>
      </c>
      <c r="T901" s="3">
        <v>18.3</v>
      </c>
      <c r="U901" s="3" t="s">
        <v>44</v>
      </c>
      <c r="V901" s="18" t="s">
        <v>33</v>
      </c>
    </row>
    <row r="902" spans="1:22" ht="15" customHeight="1" x14ac:dyDescent="0.25">
      <c r="A902" s="15" t="s">
        <v>1792</v>
      </c>
      <c r="B902" s="1" t="s">
        <v>1793</v>
      </c>
      <c r="C902">
        <v>72</v>
      </c>
      <c r="D902" s="1" t="s">
        <v>82</v>
      </c>
      <c r="E902" s="1" t="s">
        <v>23</v>
      </c>
      <c r="F902" s="1" t="s">
        <v>83</v>
      </c>
      <c r="G902" s="1" t="s">
        <v>665</v>
      </c>
      <c r="H902" s="1" t="s">
        <v>26</v>
      </c>
      <c r="I902" s="6">
        <v>43854</v>
      </c>
      <c r="J902" s="7">
        <v>43866</v>
      </c>
      <c r="K902" s="1">
        <v>12</v>
      </c>
      <c r="L902" s="1" t="s">
        <v>185</v>
      </c>
      <c r="M902" s="1" t="s">
        <v>186</v>
      </c>
      <c r="N902" s="1" t="s">
        <v>54</v>
      </c>
      <c r="O902" s="1" t="s">
        <v>42</v>
      </c>
      <c r="P902" s="29">
        <v>69859.38</v>
      </c>
      <c r="Q902" s="1" t="s">
        <v>56</v>
      </c>
      <c r="R902" s="1">
        <v>9</v>
      </c>
      <c r="S902" s="1">
        <v>373</v>
      </c>
      <c r="T902" s="1">
        <v>32.299999999999997</v>
      </c>
      <c r="U902" s="1" t="s">
        <v>32</v>
      </c>
      <c r="V902" s="17" t="s">
        <v>33</v>
      </c>
    </row>
    <row r="903" spans="1:22" ht="15" customHeight="1" x14ac:dyDescent="0.25">
      <c r="A903" s="16" t="s">
        <v>1794</v>
      </c>
      <c r="B903" s="2" t="s">
        <v>200</v>
      </c>
      <c r="C903">
        <v>73</v>
      </c>
      <c r="D903" s="3" t="s">
        <v>82</v>
      </c>
      <c r="E903" s="3" t="s">
        <v>23</v>
      </c>
      <c r="F903" s="3" t="s">
        <v>83</v>
      </c>
      <c r="G903" s="3" t="s">
        <v>131</v>
      </c>
      <c r="H903" s="3" t="s">
        <v>51</v>
      </c>
      <c r="I903" s="6">
        <v>43552</v>
      </c>
      <c r="J903" s="8">
        <v>43500</v>
      </c>
      <c r="K903" s="3">
        <v>5</v>
      </c>
      <c r="L903" s="3" t="s">
        <v>122</v>
      </c>
      <c r="M903" s="3" t="s">
        <v>40</v>
      </c>
      <c r="N903" s="3" t="s">
        <v>147</v>
      </c>
      <c r="O903" s="3" t="s">
        <v>30</v>
      </c>
      <c r="P903" s="30">
        <v>25612.02</v>
      </c>
      <c r="Q903" s="3" t="s">
        <v>291</v>
      </c>
      <c r="R903" s="3">
        <v>7</v>
      </c>
      <c r="S903" s="3">
        <v>196</v>
      </c>
      <c r="T903" s="3">
        <v>14.4</v>
      </c>
      <c r="U903" s="3" t="s">
        <v>32</v>
      </c>
      <c r="V903" s="18" t="s">
        <v>33</v>
      </c>
    </row>
    <row r="904" spans="1:22" ht="15" customHeight="1" x14ac:dyDescent="0.25">
      <c r="A904" s="15" t="s">
        <v>1795</v>
      </c>
      <c r="B904" s="1" t="s">
        <v>1796</v>
      </c>
      <c r="C904">
        <v>43</v>
      </c>
      <c r="D904" s="1" t="s">
        <v>98</v>
      </c>
      <c r="E904" s="1" t="s">
        <v>48</v>
      </c>
      <c r="F904" s="1" t="s">
        <v>49</v>
      </c>
      <c r="G904" s="1" t="s">
        <v>417</v>
      </c>
      <c r="H904" s="1" t="s">
        <v>51</v>
      </c>
      <c r="I904" s="7">
        <v>45144</v>
      </c>
      <c r="J904" s="7">
        <v>45177</v>
      </c>
      <c r="K904" s="1">
        <v>3</v>
      </c>
      <c r="L904" s="1" t="s">
        <v>27</v>
      </c>
      <c r="M904" s="1" t="s">
        <v>28</v>
      </c>
      <c r="N904" s="1" t="s">
        <v>173</v>
      </c>
      <c r="O904" s="1" t="s">
        <v>104</v>
      </c>
      <c r="P904" s="29">
        <v>8429</v>
      </c>
      <c r="Q904" s="1" t="s">
        <v>119</v>
      </c>
      <c r="R904" s="1">
        <v>5</v>
      </c>
      <c r="S904" s="1">
        <v>134</v>
      </c>
      <c r="T904" s="1">
        <v>39.200000000000003</v>
      </c>
      <c r="U904" s="1" t="s">
        <v>44</v>
      </c>
      <c r="V904" s="17" t="s">
        <v>33</v>
      </c>
    </row>
    <row r="905" spans="1:22" ht="15" customHeight="1" x14ac:dyDescent="0.25">
      <c r="A905" s="16" t="s">
        <v>1797</v>
      </c>
      <c r="B905" s="2" t="s">
        <v>3571</v>
      </c>
      <c r="C905">
        <v>27</v>
      </c>
      <c r="D905" s="3" t="s">
        <v>47</v>
      </c>
      <c r="E905" s="3" t="s">
        <v>23</v>
      </c>
      <c r="F905" s="3" t="s">
        <v>99</v>
      </c>
      <c r="G905" s="3" t="s">
        <v>71</v>
      </c>
      <c r="H905" s="3" t="s">
        <v>78</v>
      </c>
      <c r="I905" s="8">
        <v>44390</v>
      </c>
      <c r="J905" s="8">
        <v>44393</v>
      </c>
      <c r="K905" s="3">
        <v>3</v>
      </c>
      <c r="L905" s="3" t="s">
        <v>102</v>
      </c>
      <c r="M905" s="3" t="s">
        <v>28</v>
      </c>
      <c r="N905" s="3" t="s">
        <v>72</v>
      </c>
      <c r="O905" s="3" t="s">
        <v>66</v>
      </c>
      <c r="P905" s="30">
        <v>10908.15</v>
      </c>
      <c r="Q905" s="3" t="s">
        <v>73</v>
      </c>
      <c r="R905" s="3">
        <v>3</v>
      </c>
      <c r="S905" s="3">
        <v>475</v>
      </c>
      <c r="T905" s="3">
        <v>20.6</v>
      </c>
      <c r="U905" s="3" t="s">
        <v>86</v>
      </c>
      <c r="V905" s="18" t="s">
        <v>33</v>
      </c>
    </row>
    <row r="906" spans="1:22" ht="15" customHeight="1" x14ac:dyDescent="0.25">
      <c r="A906" s="15" t="s">
        <v>1798</v>
      </c>
      <c r="B906" s="1" t="s">
        <v>1799</v>
      </c>
      <c r="C906">
        <v>69</v>
      </c>
      <c r="D906" s="1" t="s">
        <v>82</v>
      </c>
      <c r="E906" s="1" t="s">
        <v>23</v>
      </c>
      <c r="F906" s="1" t="s">
        <v>83</v>
      </c>
      <c r="G906" s="1" t="s">
        <v>131</v>
      </c>
      <c r="H906" s="1" t="s">
        <v>51</v>
      </c>
      <c r="I906" s="6">
        <v>43803</v>
      </c>
      <c r="J906" s="7">
        <v>43568</v>
      </c>
      <c r="K906" s="1">
        <v>1</v>
      </c>
      <c r="L906" s="1" t="s">
        <v>39</v>
      </c>
      <c r="M906" s="1" t="s">
        <v>40</v>
      </c>
      <c r="N906" s="1" t="s">
        <v>133</v>
      </c>
      <c r="O906" s="1" t="s">
        <v>42</v>
      </c>
      <c r="P906" s="29">
        <v>23156.06</v>
      </c>
      <c r="Q906" s="1" t="s">
        <v>266</v>
      </c>
      <c r="R906" s="1">
        <v>7</v>
      </c>
      <c r="S906" s="1">
        <v>163</v>
      </c>
      <c r="T906" s="1">
        <v>26.2</v>
      </c>
      <c r="U906" s="1" t="s">
        <v>44</v>
      </c>
      <c r="V906" s="17" t="s">
        <v>33</v>
      </c>
    </row>
    <row r="907" spans="1:22" ht="15" customHeight="1" x14ac:dyDescent="0.25">
      <c r="A907" s="16" t="s">
        <v>1800</v>
      </c>
      <c r="B907" s="3" t="s">
        <v>1801</v>
      </c>
      <c r="C907">
        <v>25</v>
      </c>
      <c r="D907" s="3" t="s">
        <v>47</v>
      </c>
      <c r="E907" s="3" t="s">
        <v>48</v>
      </c>
      <c r="F907" s="3" t="s">
        <v>37</v>
      </c>
      <c r="G907" s="3" t="s">
        <v>77</v>
      </c>
      <c r="H907" s="3" t="s">
        <v>26</v>
      </c>
      <c r="I907" s="8">
        <v>44303</v>
      </c>
      <c r="J907" s="8">
        <v>44313</v>
      </c>
      <c r="K907" s="3">
        <v>10</v>
      </c>
      <c r="L907" s="3" t="s">
        <v>52</v>
      </c>
      <c r="M907" s="3" t="s">
        <v>53</v>
      </c>
      <c r="N907" s="3" t="s">
        <v>79</v>
      </c>
      <c r="O907" s="3" t="s">
        <v>30</v>
      </c>
      <c r="P907" s="30">
        <v>58452.47</v>
      </c>
      <c r="Q907" s="3" t="s">
        <v>100</v>
      </c>
      <c r="R907" s="3">
        <v>10</v>
      </c>
      <c r="S907" s="3">
        <v>380</v>
      </c>
      <c r="T907" s="3">
        <v>26.8</v>
      </c>
      <c r="U907" s="3" t="s">
        <v>44</v>
      </c>
      <c r="V907" s="18" t="s">
        <v>33</v>
      </c>
    </row>
    <row r="908" spans="1:22" ht="15" customHeight="1" x14ac:dyDescent="0.25">
      <c r="A908" s="15" t="s">
        <v>1802</v>
      </c>
      <c r="B908" s="1" t="s">
        <v>1803</v>
      </c>
      <c r="C908">
        <v>60</v>
      </c>
      <c r="D908" s="1" t="s">
        <v>59</v>
      </c>
      <c r="E908" s="1" t="s">
        <v>48</v>
      </c>
      <c r="F908" s="1" t="s">
        <v>83</v>
      </c>
      <c r="G908" s="1" t="s">
        <v>77</v>
      </c>
      <c r="H908" s="1" t="s">
        <v>78</v>
      </c>
      <c r="I908" s="6">
        <v>44931</v>
      </c>
      <c r="J908" s="7">
        <v>45021</v>
      </c>
      <c r="K908" s="1">
        <v>3</v>
      </c>
      <c r="L908" s="1" t="s">
        <v>52</v>
      </c>
      <c r="M908" s="1" t="s">
        <v>53</v>
      </c>
      <c r="N908" s="1" t="s">
        <v>94</v>
      </c>
      <c r="O908" s="1" t="s">
        <v>42</v>
      </c>
      <c r="P908" s="29">
        <v>38333.96</v>
      </c>
      <c r="Q908" s="1" t="s">
        <v>109</v>
      </c>
      <c r="R908" s="1">
        <v>10</v>
      </c>
      <c r="S908" s="1">
        <v>201</v>
      </c>
      <c r="T908" s="4"/>
      <c r="U908" s="1" t="s">
        <v>32</v>
      </c>
      <c r="V908" s="17" t="s">
        <v>33</v>
      </c>
    </row>
    <row r="909" spans="1:22" ht="15" customHeight="1" x14ac:dyDescent="0.25">
      <c r="A909" s="16" t="s">
        <v>1804</v>
      </c>
      <c r="B909" s="3" t="s">
        <v>1805</v>
      </c>
      <c r="C909">
        <v>58</v>
      </c>
      <c r="D909" s="3" t="s">
        <v>59</v>
      </c>
      <c r="E909" s="3" t="s">
        <v>23</v>
      </c>
      <c r="F909" s="3" t="s">
        <v>70</v>
      </c>
      <c r="G909" s="3" t="s">
        <v>417</v>
      </c>
      <c r="H909" s="3" t="s">
        <v>26</v>
      </c>
      <c r="I909" s="8">
        <v>45337</v>
      </c>
      <c r="J909" s="8">
        <v>45342</v>
      </c>
      <c r="K909" s="3">
        <v>5</v>
      </c>
      <c r="L909" s="3" t="s">
        <v>231</v>
      </c>
      <c r="M909" s="3" t="s">
        <v>53</v>
      </c>
      <c r="N909" s="3" t="s">
        <v>41</v>
      </c>
      <c r="O909" s="3" t="s">
        <v>42</v>
      </c>
      <c r="P909" s="30">
        <v>38144.720000000001</v>
      </c>
      <c r="Q909" s="3" t="s">
        <v>204</v>
      </c>
      <c r="R909" s="3">
        <v>8</v>
      </c>
      <c r="S909" s="3">
        <v>499</v>
      </c>
      <c r="T909" s="3">
        <v>41.5</v>
      </c>
      <c r="U909" s="3" t="s">
        <v>44</v>
      </c>
      <c r="V909" s="18" t="s">
        <v>45</v>
      </c>
    </row>
    <row r="910" spans="1:22" ht="15" customHeight="1" x14ac:dyDescent="0.25">
      <c r="A910" s="15" t="s">
        <v>1806</v>
      </c>
      <c r="B910" s="1" t="s">
        <v>1807</v>
      </c>
      <c r="C910">
        <v>61</v>
      </c>
      <c r="D910" s="1" t="s">
        <v>59</v>
      </c>
      <c r="E910" s="1" t="s">
        <v>48</v>
      </c>
      <c r="F910" s="1" t="s">
        <v>76</v>
      </c>
      <c r="G910" s="1" t="s">
        <v>131</v>
      </c>
      <c r="H910" s="1" t="s">
        <v>156</v>
      </c>
      <c r="I910" s="7">
        <v>45395</v>
      </c>
      <c r="J910" s="7">
        <v>45398</v>
      </c>
      <c r="K910" s="1">
        <v>3</v>
      </c>
      <c r="L910" s="1" t="s">
        <v>122</v>
      </c>
      <c r="M910" s="1" t="s">
        <v>40</v>
      </c>
      <c r="N910" s="1" t="s">
        <v>133</v>
      </c>
      <c r="O910" s="1" t="s">
        <v>104</v>
      </c>
      <c r="P910" s="29">
        <v>9168.5300000000007</v>
      </c>
      <c r="Q910" s="1" t="s">
        <v>148</v>
      </c>
      <c r="R910" s="1">
        <v>6</v>
      </c>
      <c r="S910" s="1">
        <v>152</v>
      </c>
      <c r="T910" s="1">
        <v>24.5</v>
      </c>
      <c r="U910" s="1" t="s">
        <v>86</v>
      </c>
      <c r="V910" s="17" t="s">
        <v>45</v>
      </c>
    </row>
    <row r="911" spans="1:22" ht="15" customHeight="1" x14ac:dyDescent="0.25">
      <c r="A911" s="16" t="s">
        <v>1808</v>
      </c>
      <c r="B911" s="3" t="s">
        <v>1809</v>
      </c>
      <c r="C911">
        <v>58</v>
      </c>
      <c r="D911" s="3" t="s">
        <v>59</v>
      </c>
      <c r="E911" s="3" t="s">
        <v>48</v>
      </c>
      <c r="F911" s="3" t="s">
        <v>37</v>
      </c>
      <c r="G911" s="3" t="s">
        <v>71</v>
      </c>
      <c r="H911" s="3" t="s">
        <v>26</v>
      </c>
      <c r="I911" s="6">
        <v>44259</v>
      </c>
      <c r="J911" s="8">
        <v>44381</v>
      </c>
      <c r="K911" s="3">
        <v>4</v>
      </c>
      <c r="L911" s="3" t="s">
        <v>89</v>
      </c>
      <c r="M911" s="3" t="s">
        <v>90</v>
      </c>
      <c r="N911" s="3" t="s">
        <v>72</v>
      </c>
      <c r="O911" s="3" t="s">
        <v>42</v>
      </c>
      <c r="P911" s="30">
        <v>21334.17</v>
      </c>
      <c r="Q911" s="3" t="s">
        <v>178</v>
      </c>
      <c r="R911" s="3">
        <v>4</v>
      </c>
      <c r="S911" s="3">
        <v>108</v>
      </c>
      <c r="T911" s="4"/>
      <c r="U911" s="3" t="s">
        <v>44</v>
      </c>
      <c r="V911" s="18" t="s">
        <v>33</v>
      </c>
    </row>
    <row r="912" spans="1:22" ht="15" customHeight="1" x14ac:dyDescent="0.25">
      <c r="A912" s="15" t="s">
        <v>1810</v>
      </c>
      <c r="B912" s="1" t="s">
        <v>1811</v>
      </c>
      <c r="C912">
        <v>61</v>
      </c>
      <c r="D912" s="1" t="s">
        <v>59</v>
      </c>
      <c r="E912" s="1" t="s">
        <v>23</v>
      </c>
      <c r="F912" s="1" t="s">
        <v>155</v>
      </c>
      <c r="G912" s="1" t="s">
        <v>60</v>
      </c>
      <c r="H912" s="1" t="s">
        <v>26</v>
      </c>
      <c r="I912" s="7">
        <v>44303</v>
      </c>
      <c r="J912" s="7">
        <v>44310</v>
      </c>
      <c r="K912" s="1">
        <v>7</v>
      </c>
      <c r="L912" s="1" t="s">
        <v>132</v>
      </c>
      <c r="M912" s="1" t="s">
        <v>53</v>
      </c>
      <c r="N912" s="1" t="s">
        <v>61</v>
      </c>
      <c r="O912" s="1" t="s">
        <v>30</v>
      </c>
      <c r="P912" s="29">
        <v>40908.57</v>
      </c>
      <c r="Q912" s="1" t="s">
        <v>105</v>
      </c>
      <c r="R912" s="1">
        <v>6</v>
      </c>
      <c r="S912" s="1">
        <v>481</v>
      </c>
      <c r="T912" s="1">
        <v>24.7</v>
      </c>
      <c r="U912" s="1" t="s">
        <v>44</v>
      </c>
      <c r="V912" s="17" t="s">
        <v>33</v>
      </c>
    </row>
    <row r="913" spans="1:22" ht="15" customHeight="1" x14ac:dyDescent="0.25">
      <c r="A913" s="16" t="s">
        <v>1812</v>
      </c>
      <c r="B913" s="3" t="s">
        <v>1813</v>
      </c>
      <c r="C913">
        <v>74</v>
      </c>
      <c r="D913" s="3" t="s">
        <v>82</v>
      </c>
      <c r="E913" s="3" t="s">
        <v>48</v>
      </c>
      <c r="F913" s="3" t="s">
        <v>24</v>
      </c>
      <c r="G913" s="3" t="s">
        <v>38</v>
      </c>
      <c r="H913" s="3" t="s">
        <v>26</v>
      </c>
      <c r="I913" s="8">
        <v>45449</v>
      </c>
      <c r="J913" s="10"/>
      <c r="K913" s="3"/>
      <c r="L913" s="3" t="s">
        <v>39</v>
      </c>
      <c r="M913" s="3" t="s">
        <v>40</v>
      </c>
      <c r="N913" s="3" t="s">
        <v>203</v>
      </c>
      <c r="O913" s="3" t="s">
        <v>42</v>
      </c>
      <c r="P913" s="30">
        <v>29631.57</v>
      </c>
      <c r="Q913" s="3" t="s">
        <v>174</v>
      </c>
      <c r="R913" s="3">
        <v>8</v>
      </c>
      <c r="S913" s="3">
        <v>466</v>
      </c>
      <c r="T913" s="4"/>
      <c r="U913" s="3" t="s">
        <v>44</v>
      </c>
      <c r="V913" s="18" t="s">
        <v>33</v>
      </c>
    </row>
    <row r="914" spans="1:22" ht="15" customHeight="1" x14ac:dyDescent="0.25">
      <c r="A914" s="15" t="s">
        <v>1814</v>
      </c>
      <c r="B914" s="1" t="s">
        <v>1815</v>
      </c>
      <c r="C914">
        <v>62</v>
      </c>
      <c r="D914" s="1" t="s">
        <v>59</v>
      </c>
      <c r="E914" s="1" t="s">
        <v>48</v>
      </c>
      <c r="F914" s="1" t="s">
        <v>76</v>
      </c>
      <c r="G914" s="1" t="s">
        <v>25</v>
      </c>
      <c r="H914" s="1" t="s">
        <v>78</v>
      </c>
      <c r="I914" s="6">
        <v>44799</v>
      </c>
      <c r="J914" s="7">
        <v>44805</v>
      </c>
      <c r="K914" s="1">
        <v>6</v>
      </c>
      <c r="L914" s="1" t="s">
        <v>27</v>
      </c>
      <c r="M914" s="1" t="s">
        <v>28</v>
      </c>
      <c r="N914" s="1" t="s">
        <v>29</v>
      </c>
      <c r="O914" s="1" t="s">
        <v>55</v>
      </c>
      <c r="P914" s="29">
        <v>39892.18</v>
      </c>
      <c r="Q914" s="1" t="s">
        <v>322</v>
      </c>
      <c r="R914" s="1">
        <v>12</v>
      </c>
      <c r="S914" s="1">
        <v>410</v>
      </c>
      <c r="T914" s="1">
        <v>15</v>
      </c>
      <c r="U914" s="1" t="s">
        <v>44</v>
      </c>
      <c r="V914" s="17" t="s">
        <v>45</v>
      </c>
    </row>
    <row r="915" spans="1:22" ht="15" customHeight="1" x14ac:dyDescent="0.25">
      <c r="A915" s="16" t="s">
        <v>1816</v>
      </c>
      <c r="B915" s="3" t="s">
        <v>1817</v>
      </c>
      <c r="C915">
        <v>60</v>
      </c>
      <c r="D915" s="3" t="s">
        <v>59</v>
      </c>
      <c r="E915" s="3" t="s">
        <v>23</v>
      </c>
      <c r="F915" s="2" t="s">
        <v>76</v>
      </c>
      <c r="G915" s="3" t="s">
        <v>38</v>
      </c>
      <c r="H915" s="3" t="s">
        <v>51</v>
      </c>
      <c r="I915" s="8">
        <v>45076</v>
      </c>
      <c r="J915" s="8">
        <v>45078</v>
      </c>
      <c r="K915" s="3">
        <v>2</v>
      </c>
      <c r="L915" s="3" t="s">
        <v>52</v>
      </c>
      <c r="M915" s="3" t="s">
        <v>53</v>
      </c>
      <c r="N915" s="3" t="s">
        <v>203</v>
      </c>
      <c r="O915" s="3" t="s">
        <v>42</v>
      </c>
      <c r="P915" s="30">
        <v>17461.16</v>
      </c>
      <c r="Q915" s="3" t="s">
        <v>174</v>
      </c>
      <c r="R915" s="3">
        <v>8</v>
      </c>
      <c r="S915" s="3">
        <v>126</v>
      </c>
      <c r="T915" s="3">
        <v>39.6</v>
      </c>
      <c r="U915" s="3" t="s">
        <v>44</v>
      </c>
      <c r="V915" s="18" t="s">
        <v>33</v>
      </c>
    </row>
    <row r="916" spans="1:22" ht="15" customHeight="1" x14ac:dyDescent="0.25">
      <c r="A916" s="15" t="s">
        <v>1818</v>
      </c>
      <c r="B916" s="1" t="s">
        <v>1819</v>
      </c>
      <c r="C916">
        <v>11</v>
      </c>
      <c r="D916" s="1" t="s">
        <v>22</v>
      </c>
      <c r="E916" s="1" t="s">
        <v>48</v>
      </c>
      <c r="F916" s="1" t="s">
        <v>49</v>
      </c>
      <c r="G916" s="1" t="s">
        <v>131</v>
      </c>
      <c r="H916" s="1" t="s">
        <v>51</v>
      </c>
      <c r="I916" s="7">
        <v>43801</v>
      </c>
      <c r="J916" s="7">
        <v>43806</v>
      </c>
      <c r="K916" s="1">
        <v>5</v>
      </c>
      <c r="L916" s="1" t="s">
        <v>89</v>
      </c>
      <c r="M916" s="1" t="s">
        <v>90</v>
      </c>
      <c r="N916" s="1" t="s">
        <v>157</v>
      </c>
      <c r="O916" s="1" t="s">
        <v>104</v>
      </c>
      <c r="P916" s="29">
        <v>5605.29</v>
      </c>
      <c r="Q916" s="1" t="s">
        <v>291</v>
      </c>
      <c r="R916" s="1">
        <v>7</v>
      </c>
      <c r="S916" s="1">
        <v>105</v>
      </c>
      <c r="T916" s="1">
        <v>30.4</v>
      </c>
      <c r="U916" s="1" t="s">
        <v>44</v>
      </c>
      <c r="V916" s="17" t="s">
        <v>33</v>
      </c>
    </row>
    <row r="917" spans="1:22" ht="15" customHeight="1" x14ac:dyDescent="0.25">
      <c r="A917" s="16" t="s">
        <v>1820</v>
      </c>
      <c r="B917" s="3" t="s">
        <v>1821</v>
      </c>
      <c r="C917">
        <v>41</v>
      </c>
      <c r="D917" s="3" t="s">
        <v>98</v>
      </c>
      <c r="E917" s="3" t="s">
        <v>23</v>
      </c>
      <c r="F917" s="3" t="s">
        <v>76</v>
      </c>
      <c r="G917" s="3" t="s">
        <v>38</v>
      </c>
      <c r="H917" s="3" t="s">
        <v>51</v>
      </c>
      <c r="I917" s="8">
        <v>44758</v>
      </c>
      <c r="J917" s="10"/>
      <c r="K917" s="3"/>
      <c r="L917" s="3" t="s">
        <v>102</v>
      </c>
      <c r="M917" s="3" t="s">
        <v>28</v>
      </c>
      <c r="N917" s="3" t="s">
        <v>173</v>
      </c>
      <c r="O917" s="3" t="s">
        <v>30</v>
      </c>
      <c r="P917" s="30">
        <v>13642.64</v>
      </c>
      <c r="Q917" s="3" t="s">
        <v>204</v>
      </c>
      <c r="R917" s="3">
        <v>8</v>
      </c>
      <c r="S917" s="3">
        <v>111</v>
      </c>
      <c r="T917" s="3">
        <v>30.4</v>
      </c>
      <c r="U917" s="3" t="s">
        <v>44</v>
      </c>
      <c r="V917" s="18" t="s">
        <v>33</v>
      </c>
    </row>
    <row r="918" spans="1:22" ht="15" customHeight="1" x14ac:dyDescent="0.25">
      <c r="A918" s="15" t="s">
        <v>1822</v>
      </c>
      <c r="B918" s="1" t="s">
        <v>1823</v>
      </c>
      <c r="C918">
        <v>77</v>
      </c>
      <c r="D918" s="1" t="s">
        <v>36</v>
      </c>
      <c r="E918" s="1" t="s">
        <v>48</v>
      </c>
      <c r="F918" s="2" t="s">
        <v>3714</v>
      </c>
      <c r="G918" s="1" t="s">
        <v>131</v>
      </c>
      <c r="H918" s="1" t="s">
        <v>26</v>
      </c>
      <c r="I918" s="7">
        <v>45268</v>
      </c>
      <c r="J918" s="7">
        <v>45281</v>
      </c>
      <c r="K918" s="1">
        <v>13</v>
      </c>
      <c r="L918" s="1" t="s">
        <v>39</v>
      </c>
      <c r="M918" s="1" t="s">
        <v>40</v>
      </c>
      <c r="N918" s="1" t="s">
        <v>133</v>
      </c>
      <c r="O918" s="1" t="s">
        <v>30</v>
      </c>
      <c r="P918" s="29">
        <v>39971</v>
      </c>
      <c r="Q918" s="1" t="s">
        <v>148</v>
      </c>
      <c r="R918" s="1">
        <v>7</v>
      </c>
      <c r="S918" s="1">
        <v>376</v>
      </c>
      <c r="T918" s="1">
        <v>34.1</v>
      </c>
      <c r="U918" s="1" t="s">
        <v>32</v>
      </c>
      <c r="V918" s="17" t="s">
        <v>33</v>
      </c>
    </row>
    <row r="919" spans="1:22" ht="15" customHeight="1" x14ac:dyDescent="0.25">
      <c r="A919" s="16" t="s">
        <v>1824</v>
      </c>
      <c r="B919" s="3" t="s">
        <v>1825</v>
      </c>
      <c r="C919">
        <v>41</v>
      </c>
      <c r="D919" s="3" t="s">
        <v>98</v>
      </c>
      <c r="E919" s="3" t="s">
        <v>23</v>
      </c>
      <c r="F919" s="3" t="s">
        <v>155</v>
      </c>
      <c r="G919" s="3" t="s">
        <v>77</v>
      </c>
      <c r="H919" s="3" t="s">
        <v>51</v>
      </c>
      <c r="I919" s="8">
        <v>43826</v>
      </c>
      <c r="J919" s="8">
        <v>43833</v>
      </c>
      <c r="K919" s="3">
        <v>7</v>
      </c>
      <c r="L919" s="3" t="s">
        <v>122</v>
      </c>
      <c r="M919" s="3" t="s">
        <v>40</v>
      </c>
      <c r="N919" s="3" t="s">
        <v>84</v>
      </c>
      <c r="O919" s="3" t="s">
        <v>42</v>
      </c>
      <c r="P919" s="30">
        <v>26726.11</v>
      </c>
      <c r="Q919" s="3" t="s">
        <v>91</v>
      </c>
      <c r="R919" s="3">
        <v>9</v>
      </c>
      <c r="S919" s="3">
        <v>175</v>
      </c>
      <c r="T919" s="3">
        <v>32.700000000000003</v>
      </c>
      <c r="U919" s="3" t="s">
        <v>86</v>
      </c>
      <c r="V919" s="18" t="s">
        <v>33</v>
      </c>
    </row>
    <row r="920" spans="1:22" ht="15" customHeight="1" x14ac:dyDescent="0.25">
      <c r="A920" s="15" t="s">
        <v>1826</v>
      </c>
      <c r="B920" s="1" t="s">
        <v>1827</v>
      </c>
      <c r="C920">
        <v>67</v>
      </c>
      <c r="D920" s="1" t="s">
        <v>82</v>
      </c>
      <c r="E920" s="1" t="s">
        <v>23</v>
      </c>
      <c r="F920" s="1" t="s">
        <v>99</v>
      </c>
      <c r="G920" s="1" t="s">
        <v>131</v>
      </c>
      <c r="H920" s="1" t="s">
        <v>51</v>
      </c>
      <c r="I920" s="7">
        <v>45647</v>
      </c>
      <c r="J920" s="7">
        <v>45652</v>
      </c>
      <c r="K920" s="1">
        <v>5</v>
      </c>
      <c r="L920" s="1" t="s">
        <v>185</v>
      </c>
      <c r="M920" s="1" t="s">
        <v>186</v>
      </c>
      <c r="N920" s="1" t="s">
        <v>147</v>
      </c>
      <c r="O920" s="1" t="s">
        <v>42</v>
      </c>
      <c r="P920" s="29">
        <v>28663.54</v>
      </c>
      <c r="Q920" s="1" t="s">
        <v>152</v>
      </c>
      <c r="R920" s="1">
        <v>7</v>
      </c>
      <c r="S920" s="1">
        <v>176</v>
      </c>
      <c r="T920" s="1">
        <v>24.4</v>
      </c>
      <c r="U920" s="1" t="s">
        <v>32</v>
      </c>
      <c r="V920" s="17" t="s">
        <v>45</v>
      </c>
    </row>
    <row r="921" spans="1:22" ht="15" customHeight="1" x14ac:dyDescent="0.25">
      <c r="A921" s="16" t="s">
        <v>1828</v>
      </c>
      <c r="B921" s="2" t="s">
        <v>3632</v>
      </c>
      <c r="C921">
        <v>78</v>
      </c>
      <c r="D921" s="3" t="s">
        <v>36</v>
      </c>
      <c r="E921" s="3" t="s">
        <v>48</v>
      </c>
      <c r="F921" s="3" t="s">
        <v>99</v>
      </c>
      <c r="G921" s="3" t="s">
        <v>25</v>
      </c>
      <c r="H921" s="3" t="s">
        <v>51</v>
      </c>
      <c r="I921" s="8">
        <v>44874</v>
      </c>
      <c r="J921" s="8">
        <v>44879</v>
      </c>
      <c r="K921" s="3">
        <v>5</v>
      </c>
      <c r="L921" s="3" t="s">
        <v>102</v>
      </c>
      <c r="M921" s="3" t="s">
        <v>28</v>
      </c>
      <c r="N921" s="3" t="s">
        <v>599</v>
      </c>
      <c r="O921" s="3" t="s">
        <v>55</v>
      </c>
      <c r="P921" s="30">
        <v>129636.13</v>
      </c>
      <c r="Q921" s="3" t="s">
        <v>198</v>
      </c>
      <c r="R921" s="3">
        <v>12</v>
      </c>
      <c r="S921" s="3">
        <v>151</v>
      </c>
      <c r="T921" s="3">
        <v>23.2</v>
      </c>
      <c r="U921" s="3" t="s">
        <v>86</v>
      </c>
      <c r="V921" s="18" t="s">
        <v>33</v>
      </c>
    </row>
    <row r="922" spans="1:22" ht="15" customHeight="1" x14ac:dyDescent="0.25">
      <c r="A922" s="15" t="s">
        <v>1829</v>
      </c>
      <c r="B922" s="1" t="s">
        <v>1830</v>
      </c>
      <c r="C922">
        <v>91</v>
      </c>
      <c r="D922" s="1" t="s">
        <v>36</v>
      </c>
      <c r="E922" s="1" t="s">
        <v>23</v>
      </c>
      <c r="F922" s="1" t="s">
        <v>37</v>
      </c>
      <c r="G922" s="1" t="s">
        <v>131</v>
      </c>
      <c r="H922" s="1" t="s">
        <v>51</v>
      </c>
      <c r="I922" s="6">
        <v>44892</v>
      </c>
      <c r="J922" s="7">
        <v>44604</v>
      </c>
      <c r="K922" s="1">
        <v>5</v>
      </c>
      <c r="L922" s="1" t="s">
        <v>89</v>
      </c>
      <c r="M922" s="1" t="s">
        <v>90</v>
      </c>
      <c r="N922" s="1" t="s">
        <v>133</v>
      </c>
      <c r="O922" s="1" t="s">
        <v>104</v>
      </c>
      <c r="P922" s="29">
        <v>12091.3</v>
      </c>
      <c r="Q922" s="1" t="s">
        <v>134</v>
      </c>
      <c r="R922" s="1">
        <v>7</v>
      </c>
      <c r="S922" s="1">
        <v>186</v>
      </c>
      <c r="T922" s="1">
        <v>32.700000000000003</v>
      </c>
      <c r="U922" s="1" t="s">
        <v>32</v>
      </c>
      <c r="V922" s="17" t="s">
        <v>33</v>
      </c>
    </row>
    <row r="923" spans="1:22" ht="15" customHeight="1" x14ac:dyDescent="0.25">
      <c r="A923" s="16" t="s">
        <v>1831</v>
      </c>
      <c r="B923" s="2" t="s">
        <v>3633</v>
      </c>
      <c r="C923">
        <v>74</v>
      </c>
      <c r="D923" s="3" t="s">
        <v>82</v>
      </c>
      <c r="E923" s="3" t="s">
        <v>48</v>
      </c>
      <c r="F923" s="3" t="s">
        <v>70</v>
      </c>
      <c r="G923" s="3" t="s">
        <v>163</v>
      </c>
      <c r="H923" s="3" t="s">
        <v>51</v>
      </c>
      <c r="I923" s="8">
        <v>43971</v>
      </c>
      <c r="J923" s="8">
        <v>43973</v>
      </c>
      <c r="K923" s="3">
        <v>2</v>
      </c>
      <c r="L923" s="3" t="s">
        <v>89</v>
      </c>
      <c r="M923" s="3" t="s">
        <v>90</v>
      </c>
      <c r="N923" s="3" t="s">
        <v>213</v>
      </c>
      <c r="O923" s="3" t="s">
        <v>104</v>
      </c>
      <c r="P923" s="30">
        <v>29928.58</v>
      </c>
      <c r="Q923" s="3" t="s">
        <v>259</v>
      </c>
      <c r="R923" s="3">
        <v>6</v>
      </c>
      <c r="S923" s="3">
        <v>149</v>
      </c>
      <c r="T923" s="3">
        <v>34</v>
      </c>
      <c r="U923" s="3" t="s">
        <v>32</v>
      </c>
      <c r="V923" s="18" t="s">
        <v>33</v>
      </c>
    </row>
    <row r="924" spans="1:22" ht="15" customHeight="1" x14ac:dyDescent="0.25">
      <c r="A924" s="15" t="s">
        <v>1832</v>
      </c>
      <c r="B924" s="1" t="s">
        <v>1266</v>
      </c>
      <c r="C924">
        <v>54</v>
      </c>
      <c r="D924" s="1" t="s">
        <v>98</v>
      </c>
      <c r="E924" s="1" t="s">
        <v>23</v>
      </c>
      <c r="F924" s="1" t="s">
        <v>24</v>
      </c>
      <c r="G924" s="1" t="s">
        <v>77</v>
      </c>
      <c r="H924" s="1" t="s">
        <v>51</v>
      </c>
      <c r="I924" s="7">
        <v>43654</v>
      </c>
      <c r="J924" s="7">
        <v>43658</v>
      </c>
      <c r="K924" s="1">
        <v>4</v>
      </c>
      <c r="L924" s="1" t="s">
        <v>52</v>
      </c>
      <c r="M924" s="1" t="s">
        <v>53</v>
      </c>
      <c r="N924" s="1" t="s">
        <v>84</v>
      </c>
      <c r="O924" s="1" t="s">
        <v>66</v>
      </c>
      <c r="P924" s="29">
        <v>58874</v>
      </c>
      <c r="Q924" s="1" t="s">
        <v>85</v>
      </c>
      <c r="R924" s="1">
        <v>10</v>
      </c>
      <c r="S924" s="1">
        <v>143</v>
      </c>
      <c r="T924" s="1">
        <v>32.6</v>
      </c>
      <c r="U924" s="1" t="s">
        <v>86</v>
      </c>
      <c r="V924" s="17" t="s">
        <v>33</v>
      </c>
    </row>
    <row r="925" spans="1:22" ht="15" customHeight="1" x14ac:dyDescent="0.25">
      <c r="A925" s="16" t="s">
        <v>1833</v>
      </c>
      <c r="B925" s="3" t="s">
        <v>731</v>
      </c>
      <c r="C925">
        <v>63</v>
      </c>
      <c r="D925" s="3" t="s">
        <v>59</v>
      </c>
      <c r="E925" s="3" t="s">
        <v>48</v>
      </c>
      <c r="F925" s="3" t="s">
        <v>83</v>
      </c>
      <c r="G925" s="3" t="s">
        <v>188</v>
      </c>
      <c r="H925" s="3" t="s">
        <v>156</v>
      </c>
      <c r="I925" s="6">
        <v>43759</v>
      </c>
      <c r="J925" s="8">
        <v>43766</v>
      </c>
      <c r="K925" s="3">
        <v>7</v>
      </c>
      <c r="L925" s="3" t="s">
        <v>185</v>
      </c>
      <c r="M925" s="3" t="s">
        <v>186</v>
      </c>
      <c r="N925" s="3" t="s">
        <v>84</v>
      </c>
      <c r="O925" s="3" t="s">
        <v>104</v>
      </c>
      <c r="P925" s="30">
        <v>30627.67</v>
      </c>
      <c r="Q925" s="3" t="s">
        <v>181</v>
      </c>
      <c r="R925" s="3">
        <v>8</v>
      </c>
      <c r="S925" s="3">
        <v>164</v>
      </c>
      <c r="T925" s="3">
        <v>30.2</v>
      </c>
      <c r="U925" s="3" t="s">
        <v>44</v>
      </c>
      <c r="V925" s="18" t="s">
        <v>33</v>
      </c>
    </row>
    <row r="926" spans="1:22" ht="15" customHeight="1" x14ac:dyDescent="0.25">
      <c r="A926" s="15" t="s">
        <v>1834</v>
      </c>
      <c r="B926" s="1" t="s">
        <v>1835</v>
      </c>
      <c r="C926">
        <v>53</v>
      </c>
      <c r="D926" s="1" t="s">
        <v>98</v>
      </c>
      <c r="E926" s="1" t="s">
        <v>23</v>
      </c>
      <c r="F926" s="1" t="s">
        <v>70</v>
      </c>
      <c r="G926" s="1" t="s">
        <v>77</v>
      </c>
      <c r="H926" s="1" t="s">
        <v>26</v>
      </c>
      <c r="I926" s="7">
        <v>45454</v>
      </c>
      <c r="J926" s="7">
        <v>45464</v>
      </c>
      <c r="K926" s="1">
        <v>10</v>
      </c>
      <c r="L926" s="1" t="s">
        <v>89</v>
      </c>
      <c r="M926" s="1" t="s">
        <v>90</v>
      </c>
      <c r="N926" s="1" t="s">
        <v>84</v>
      </c>
      <c r="O926" s="1" t="s">
        <v>55</v>
      </c>
      <c r="P926" s="29">
        <v>154485.25</v>
      </c>
      <c r="Q926" s="1" t="s">
        <v>109</v>
      </c>
      <c r="R926" s="1">
        <v>8</v>
      </c>
      <c r="S926" s="1">
        <v>327</v>
      </c>
      <c r="T926" s="1">
        <v>34.200000000000003</v>
      </c>
      <c r="U926" s="1" t="s">
        <v>44</v>
      </c>
      <c r="V926" s="17" t="s">
        <v>33</v>
      </c>
    </row>
    <row r="927" spans="1:22" ht="15" customHeight="1" x14ac:dyDescent="0.25">
      <c r="A927" s="16" t="s">
        <v>1836</v>
      </c>
      <c r="B927" s="3" t="s">
        <v>1837</v>
      </c>
      <c r="C927">
        <v>63</v>
      </c>
      <c r="D927" s="3" t="s">
        <v>59</v>
      </c>
      <c r="E927" s="3" t="s">
        <v>23</v>
      </c>
      <c r="F927" s="3" t="s">
        <v>37</v>
      </c>
      <c r="G927" s="3" t="s">
        <v>71</v>
      </c>
      <c r="H927" s="3" t="s">
        <v>26</v>
      </c>
      <c r="I927" s="8">
        <v>45138</v>
      </c>
      <c r="J927" s="8">
        <v>45024</v>
      </c>
      <c r="K927" s="3">
        <v>4</v>
      </c>
      <c r="L927" s="3" t="s">
        <v>52</v>
      </c>
      <c r="M927" s="3" t="s">
        <v>53</v>
      </c>
      <c r="N927" s="3" t="s">
        <v>177</v>
      </c>
      <c r="O927" s="3" t="s">
        <v>104</v>
      </c>
      <c r="P927" s="30">
        <v>22389.59</v>
      </c>
      <c r="Q927" s="3" t="s">
        <v>178</v>
      </c>
      <c r="R927" s="3">
        <v>4</v>
      </c>
      <c r="S927" s="3">
        <v>253</v>
      </c>
      <c r="T927" s="3">
        <v>31</v>
      </c>
      <c r="U927" s="3" t="s">
        <v>86</v>
      </c>
      <c r="V927" s="18" t="s">
        <v>33</v>
      </c>
    </row>
    <row r="928" spans="1:22" ht="15" customHeight="1" x14ac:dyDescent="0.25">
      <c r="A928" s="15" t="s">
        <v>1838</v>
      </c>
      <c r="B928" s="1" t="s">
        <v>1839</v>
      </c>
      <c r="C928">
        <v>79</v>
      </c>
      <c r="D928" s="1" t="s">
        <v>36</v>
      </c>
      <c r="E928" s="1" t="s">
        <v>23</v>
      </c>
      <c r="F928" s="1" t="s">
        <v>76</v>
      </c>
      <c r="G928" s="1" t="s">
        <v>163</v>
      </c>
      <c r="H928" s="1" t="s">
        <v>78</v>
      </c>
      <c r="I928" s="7">
        <v>45622</v>
      </c>
      <c r="J928" s="7">
        <v>45629</v>
      </c>
      <c r="K928" s="1">
        <v>7</v>
      </c>
      <c r="L928" s="1" t="s">
        <v>39</v>
      </c>
      <c r="M928" s="1" t="s">
        <v>40</v>
      </c>
      <c r="N928" s="1" t="s">
        <v>213</v>
      </c>
      <c r="O928" s="1" t="s">
        <v>30</v>
      </c>
      <c r="P928" s="29">
        <v>26349.42</v>
      </c>
      <c r="Q928" s="1" t="s">
        <v>165</v>
      </c>
      <c r="R928" s="1">
        <v>4</v>
      </c>
      <c r="S928" s="1">
        <v>462</v>
      </c>
      <c r="T928" s="1">
        <v>35.6</v>
      </c>
      <c r="U928" s="1" t="s">
        <v>44</v>
      </c>
      <c r="V928" s="17" t="s">
        <v>33</v>
      </c>
    </row>
    <row r="929" spans="1:22" ht="15" customHeight="1" x14ac:dyDescent="0.25">
      <c r="A929" s="16" t="s">
        <v>1840</v>
      </c>
      <c r="B929" s="3" t="s">
        <v>1841</v>
      </c>
      <c r="C929">
        <v>63</v>
      </c>
      <c r="D929" s="3" t="s">
        <v>59</v>
      </c>
      <c r="E929" s="3" t="s">
        <v>23</v>
      </c>
      <c r="F929" s="3" t="s">
        <v>99</v>
      </c>
      <c r="G929" s="3" t="s">
        <v>417</v>
      </c>
      <c r="H929" s="3" t="s">
        <v>78</v>
      </c>
      <c r="I929" s="8">
        <v>45063</v>
      </c>
      <c r="J929" s="8">
        <v>45070</v>
      </c>
      <c r="K929" s="3">
        <v>7</v>
      </c>
      <c r="L929" s="3" t="s">
        <v>39</v>
      </c>
      <c r="M929" s="3" t="s">
        <v>40</v>
      </c>
      <c r="N929" s="3" t="s">
        <v>41</v>
      </c>
      <c r="O929" s="3" t="s">
        <v>30</v>
      </c>
      <c r="P929" s="30">
        <v>25830.44</v>
      </c>
      <c r="Q929" s="3" t="s">
        <v>119</v>
      </c>
      <c r="R929" s="3">
        <v>8</v>
      </c>
      <c r="S929" s="3">
        <v>212</v>
      </c>
      <c r="T929" s="3">
        <v>37</v>
      </c>
      <c r="U929" s="3" t="s">
        <v>86</v>
      </c>
      <c r="V929" s="18" t="s">
        <v>33</v>
      </c>
    </row>
    <row r="930" spans="1:22" ht="15" customHeight="1" x14ac:dyDescent="0.25">
      <c r="A930" s="15" t="s">
        <v>1842</v>
      </c>
      <c r="B930" s="1" t="s">
        <v>1843</v>
      </c>
      <c r="C930">
        <v>44</v>
      </c>
      <c r="D930" s="1" t="s">
        <v>98</v>
      </c>
      <c r="E930" s="1" t="s">
        <v>23</v>
      </c>
      <c r="F930" s="1" t="s">
        <v>76</v>
      </c>
      <c r="G930" s="1" t="s">
        <v>131</v>
      </c>
      <c r="H930" s="1" t="s">
        <v>26</v>
      </c>
      <c r="I930" s="6">
        <v>45427</v>
      </c>
      <c r="J930" s="7">
        <v>45439</v>
      </c>
      <c r="K930" s="1">
        <v>12</v>
      </c>
      <c r="L930" s="1" t="s">
        <v>132</v>
      </c>
      <c r="M930" s="1" t="s">
        <v>53</v>
      </c>
      <c r="N930" s="1" t="s">
        <v>157</v>
      </c>
      <c r="O930" s="1" t="s">
        <v>30</v>
      </c>
      <c r="P930" s="29">
        <v>21093</v>
      </c>
      <c r="Q930" s="1" t="s">
        <v>148</v>
      </c>
      <c r="R930" s="1">
        <v>4</v>
      </c>
      <c r="S930" s="1">
        <v>369</v>
      </c>
      <c r="T930" s="1">
        <v>29.5</v>
      </c>
      <c r="U930" s="1" t="s">
        <v>32</v>
      </c>
      <c r="V930" s="17" t="s">
        <v>33</v>
      </c>
    </row>
    <row r="931" spans="1:22" ht="15" customHeight="1" x14ac:dyDescent="0.25">
      <c r="A931" s="16" t="s">
        <v>1844</v>
      </c>
      <c r="B931" s="3" t="s">
        <v>1845</v>
      </c>
      <c r="C931">
        <v>73</v>
      </c>
      <c r="D931" s="3" t="s">
        <v>82</v>
      </c>
      <c r="E931" s="3" t="s">
        <v>48</v>
      </c>
      <c r="F931" s="3" t="s">
        <v>24</v>
      </c>
      <c r="G931" s="3" t="s">
        <v>25</v>
      </c>
      <c r="H931" s="3" t="s">
        <v>26</v>
      </c>
      <c r="I931" s="8">
        <v>44511</v>
      </c>
      <c r="J931" s="8">
        <v>44524</v>
      </c>
      <c r="K931" s="3">
        <v>13</v>
      </c>
      <c r="L931" s="3" t="s">
        <v>112</v>
      </c>
      <c r="M931" s="3" t="s">
        <v>40</v>
      </c>
      <c r="N931" s="3" t="s">
        <v>65</v>
      </c>
      <c r="O931" s="3" t="s">
        <v>30</v>
      </c>
      <c r="P931" s="30">
        <v>103217.86</v>
      </c>
      <c r="Q931" s="3" t="s">
        <v>105</v>
      </c>
      <c r="R931" s="3">
        <v>12</v>
      </c>
      <c r="S931" s="3">
        <v>324</v>
      </c>
      <c r="T931" s="3">
        <v>14</v>
      </c>
      <c r="U931" s="3" t="s">
        <v>44</v>
      </c>
      <c r="V931" s="18" t="s">
        <v>45</v>
      </c>
    </row>
    <row r="932" spans="1:22" ht="15" customHeight="1" x14ac:dyDescent="0.25">
      <c r="A932" s="15" t="s">
        <v>1846</v>
      </c>
      <c r="B932" s="1" t="s">
        <v>1847</v>
      </c>
      <c r="C932">
        <v>73</v>
      </c>
      <c r="D932" s="1" t="s">
        <v>82</v>
      </c>
      <c r="E932" s="1" t="s">
        <v>23</v>
      </c>
      <c r="F932" s="1" t="s">
        <v>37</v>
      </c>
      <c r="G932" s="1" t="s">
        <v>60</v>
      </c>
      <c r="H932" s="1" t="s">
        <v>26</v>
      </c>
      <c r="I932" s="7">
        <v>45346</v>
      </c>
      <c r="J932" s="7">
        <v>45349</v>
      </c>
      <c r="K932" s="1">
        <v>3</v>
      </c>
      <c r="L932" s="1" t="s">
        <v>132</v>
      </c>
      <c r="M932" s="1" t="s">
        <v>53</v>
      </c>
      <c r="N932" s="1" t="s">
        <v>61</v>
      </c>
      <c r="O932" s="1" t="s">
        <v>104</v>
      </c>
      <c r="P932" s="29">
        <v>72151.42</v>
      </c>
      <c r="Q932" s="1" t="s">
        <v>170</v>
      </c>
      <c r="R932" s="1">
        <v>6</v>
      </c>
      <c r="S932" s="1">
        <v>357</v>
      </c>
      <c r="T932" s="1">
        <v>32.4</v>
      </c>
      <c r="U932" s="1" t="s">
        <v>86</v>
      </c>
      <c r="V932" s="17" t="s">
        <v>33</v>
      </c>
    </row>
    <row r="933" spans="1:22" ht="15" customHeight="1" x14ac:dyDescent="0.25">
      <c r="A933" s="16" t="s">
        <v>1848</v>
      </c>
      <c r="B933" s="3" t="s">
        <v>1849</v>
      </c>
      <c r="C933">
        <v>49</v>
      </c>
      <c r="D933" s="3" t="s">
        <v>98</v>
      </c>
      <c r="E933" s="3" t="s">
        <v>23</v>
      </c>
      <c r="F933" s="3" t="s">
        <v>99</v>
      </c>
      <c r="G933" s="3" t="s">
        <v>25</v>
      </c>
      <c r="H933" s="3" t="s">
        <v>78</v>
      </c>
      <c r="I933" s="8">
        <v>44941</v>
      </c>
      <c r="J933" s="8">
        <v>44955</v>
      </c>
      <c r="K933" s="3">
        <v>14</v>
      </c>
      <c r="L933" s="3" t="s">
        <v>52</v>
      </c>
      <c r="M933" s="3" t="s">
        <v>53</v>
      </c>
      <c r="N933" s="3" t="s">
        <v>29</v>
      </c>
      <c r="O933" s="3" t="s">
        <v>30</v>
      </c>
      <c r="P933" s="30">
        <v>79418.77</v>
      </c>
      <c r="Q933" s="3" t="s">
        <v>400</v>
      </c>
      <c r="R933" s="3">
        <v>12</v>
      </c>
      <c r="S933" s="3">
        <v>472</v>
      </c>
      <c r="T933" s="3">
        <v>23.9</v>
      </c>
      <c r="U933" s="3" t="s">
        <v>86</v>
      </c>
      <c r="V933" s="18" t="s">
        <v>45</v>
      </c>
    </row>
    <row r="934" spans="1:22" ht="15" customHeight="1" x14ac:dyDescent="0.25">
      <c r="A934" s="15" t="s">
        <v>1850</v>
      </c>
      <c r="B934" s="2" t="s">
        <v>2154</v>
      </c>
      <c r="C934">
        <v>59</v>
      </c>
      <c r="D934" s="1" t="s">
        <v>59</v>
      </c>
      <c r="E934" s="1" t="s">
        <v>48</v>
      </c>
      <c r="F934" s="1" t="s">
        <v>24</v>
      </c>
      <c r="G934" s="1" t="s">
        <v>77</v>
      </c>
      <c r="H934" s="1" t="s">
        <v>51</v>
      </c>
      <c r="I934" s="7">
        <v>43827</v>
      </c>
      <c r="J934" s="7">
        <v>43952</v>
      </c>
      <c r="K934" s="1">
        <v>8</v>
      </c>
      <c r="L934" s="1" t="s">
        <v>89</v>
      </c>
      <c r="M934" s="1" t="s">
        <v>90</v>
      </c>
      <c r="N934" s="1" t="s">
        <v>79</v>
      </c>
      <c r="O934" s="1" t="s">
        <v>30</v>
      </c>
      <c r="P934" s="29">
        <v>48319.68</v>
      </c>
      <c r="Q934" s="1" t="s">
        <v>123</v>
      </c>
      <c r="R934" s="1">
        <v>10</v>
      </c>
      <c r="S934" s="1">
        <v>179</v>
      </c>
      <c r="T934" s="1">
        <v>27.8</v>
      </c>
      <c r="U934" s="1" t="s">
        <v>44</v>
      </c>
      <c r="V934" s="17" t="s">
        <v>33</v>
      </c>
    </row>
    <row r="935" spans="1:22" ht="15" customHeight="1" x14ac:dyDescent="0.25">
      <c r="A935" s="16" t="s">
        <v>1851</v>
      </c>
      <c r="B935" s="3" t="s">
        <v>271</v>
      </c>
      <c r="C935">
        <v>71</v>
      </c>
      <c r="D935" s="3" t="s">
        <v>82</v>
      </c>
      <c r="E935" s="3" t="s">
        <v>23</v>
      </c>
      <c r="F935" s="3" t="s">
        <v>99</v>
      </c>
      <c r="G935" s="3" t="s">
        <v>77</v>
      </c>
      <c r="H935" s="3" t="s">
        <v>26</v>
      </c>
      <c r="I935" s="8">
        <v>44965</v>
      </c>
      <c r="J935" s="8">
        <v>44978</v>
      </c>
      <c r="K935" s="3">
        <v>13</v>
      </c>
      <c r="L935" s="3" t="s">
        <v>112</v>
      </c>
      <c r="M935" s="3" t="s">
        <v>40</v>
      </c>
      <c r="N935" s="3" t="s">
        <v>79</v>
      </c>
      <c r="O935" s="3" t="s">
        <v>104</v>
      </c>
      <c r="P935" s="30">
        <v>54960.36</v>
      </c>
      <c r="Q935" s="3" t="s">
        <v>109</v>
      </c>
      <c r="R935" s="3">
        <v>10</v>
      </c>
      <c r="S935" s="3">
        <v>324</v>
      </c>
      <c r="T935" s="3">
        <v>32.4</v>
      </c>
      <c r="U935" s="3" t="s">
        <v>44</v>
      </c>
      <c r="V935" s="18" t="s">
        <v>33</v>
      </c>
    </row>
    <row r="936" spans="1:22" ht="15" customHeight="1" x14ac:dyDescent="0.25">
      <c r="A936" s="15" t="s">
        <v>1852</v>
      </c>
      <c r="B936" s="2" t="s">
        <v>3634</v>
      </c>
      <c r="C936">
        <v>60</v>
      </c>
      <c r="D936" s="1" t="s">
        <v>59</v>
      </c>
      <c r="E936" s="1" t="s">
        <v>48</v>
      </c>
      <c r="F936" s="1" t="s">
        <v>99</v>
      </c>
      <c r="G936" s="1" t="s">
        <v>38</v>
      </c>
      <c r="H936" s="1" t="s">
        <v>51</v>
      </c>
      <c r="I936" s="6">
        <v>43466</v>
      </c>
      <c r="J936" s="7">
        <v>43469</v>
      </c>
      <c r="K936" s="1">
        <v>3</v>
      </c>
      <c r="L936" s="1" t="s">
        <v>231</v>
      </c>
      <c r="M936" s="1" t="s">
        <v>53</v>
      </c>
      <c r="N936" s="1" t="s">
        <v>173</v>
      </c>
      <c r="O936" s="1" t="s">
        <v>42</v>
      </c>
      <c r="P936" s="29">
        <v>17162.96</v>
      </c>
      <c r="Q936" s="1" t="s">
        <v>437</v>
      </c>
      <c r="R936" s="1">
        <v>8</v>
      </c>
      <c r="S936" s="1">
        <v>177</v>
      </c>
      <c r="T936" s="1">
        <v>31.4</v>
      </c>
      <c r="U936" s="1" t="s">
        <v>32</v>
      </c>
      <c r="V936" s="17" t="s">
        <v>33</v>
      </c>
    </row>
    <row r="937" spans="1:22" ht="15" customHeight="1" x14ac:dyDescent="0.25">
      <c r="A937" s="16" t="s">
        <v>1853</v>
      </c>
      <c r="B937" s="3" t="s">
        <v>1854</v>
      </c>
      <c r="C937">
        <v>55</v>
      </c>
      <c r="D937" s="3" t="s">
        <v>59</v>
      </c>
      <c r="E937" s="3" t="s">
        <v>23</v>
      </c>
      <c r="F937" s="3" t="s">
        <v>76</v>
      </c>
      <c r="G937" s="3" t="s">
        <v>38</v>
      </c>
      <c r="H937" s="3" t="s">
        <v>51</v>
      </c>
      <c r="I937" s="8">
        <v>45081</v>
      </c>
      <c r="J937" s="8">
        <v>45175</v>
      </c>
      <c r="K937" s="3">
        <v>5</v>
      </c>
      <c r="L937" s="3" t="s">
        <v>102</v>
      </c>
      <c r="M937" s="3" t="s">
        <v>28</v>
      </c>
      <c r="N937" s="3" t="s">
        <v>173</v>
      </c>
      <c r="O937" s="3" t="s">
        <v>104</v>
      </c>
      <c r="P937" s="30">
        <v>9379.4500000000007</v>
      </c>
      <c r="Q937" s="3" t="s">
        <v>119</v>
      </c>
      <c r="R937" s="3">
        <v>8</v>
      </c>
      <c r="S937" s="3">
        <v>146</v>
      </c>
      <c r="T937" s="3">
        <v>23</v>
      </c>
      <c r="U937" s="3" t="s">
        <v>86</v>
      </c>
      <c r="V937" s="18" t="s">
        <v>33</v>
      </c>
    </row>
    <row r="938" spans="1:22" ht="15" customHeight="1" x14ac:dyDescent="0.25">
      <c r="A938" s="15" t="s">
        <v>1855</v>
      </c>
      <c r="B938" s="1" t="s">
        <v>1856</v>
      </c>
      <c r="C938">
        <v>89</v>
      </c>
      <c r="D938" s="1" t="s">
        <v>36</v>
      </c>
      <c r="E938" s="1" t="s">
        <v>23</v>
      </c>
      <c r="F938" s="1" t="s">
        <v>24</v>
      </c>
      <c r="G938" s="1" t="s">
        <v>77</v>
      </c>
      <c r="H938" s="1" t="s">
        <v>51</v>
      </c>
      <c r="I938" s="7">
        <v>45592</v>
      </c>
      <c r="J938" s="7">
        <v>45606</v>
      </c>
      <c r="K938" s="1">
        <v>14</v>
      </c>
      <c r="L938" s="1" t="s">
        <v>52</v>
      </c>
      <c r="M938" s="1" t="s">
        <v>53</v>
      </c>
      <c r="N938" s="1" t="s">
        <v>79</v>
      </c>
      <c r="O938" s="1" t="s">
        <v>30</v>
      </c>
      <c r="P938" s="29">
        <v>107171.38</v>
      </c>
      <c r="Q938" s="1" t="s">
        <v>123</v>
      </c>
      <c r="R938" s="1">
        <v>10</v>
      </c>
      <c r="S938" s="1">
        <v>175</v>
      </c>
      <c r="T938" s="1">
        <v>25.2</v>
      </c>
      <c r="U938" s="1" t="s">
        <v>44</v>
      </c>
      <c r="V938" s="17" t="s">
        <v>33</v>
      </c>
    </row>
    <row r="939" spans="1:22" ht="15" customHeight="1" x14ac:dyDescent="0.25">
      <c r="A939" s="16" t="s">
        <v>1857</v>
      </c>
      <c r="B939" s="3" t="s">
        <v>1858</v>
      </c>
      <c r="C939">
        <v>83</v>
      </c>
      <c r="D939" s="3" t="s">
        <v>36</v>
      </c>
      <c r="E939" s="3" t="s">
        <v>23</v>
      </c>
      <c r="F939" s="3" t="s">
        <v>24</v>
      </c>
      <c r="G939" s="3" t="s">
        <v>77</v>
      </c>
      <c r="H939" s="3" t="s">
        <v>26</v>
      </c>
      <c r="I939" s="8">
        <v>44902</v>
      </c>
      <c r="J939" s="8">
        <v>44921</v>
      </c>
      <c r="K939" s="3">
        <v>19</v>
      </c>
      <c r="L939" s="3" t="s">
        <v>231</v>
      </c>
      <c r="M939" s="3" t="s">
        <v>53</v>
      </c>
      <c r="N939" s="3" t="s">
        <v>94</v>
      </c>
      <c r="O939" s="3" t="s">
        <v>30</v>
      </c>
      <c r="P939" s="30">
        <v>122671.73</v>
      </c>
      <c r="Q939" s="3" t="s">
        <v>223</v>
      </c>
      <c r="R939" s="3">
        <v>8</v>
      </c>
      <c r="S939" s="3">
        <v>330</v>
      </c>
      <c r="T939" s="3">
        <v>35.5</v>
      </c>
      <c r="U939" s="3" t="s">
        <v>44</v>
      </c>
      <c r="V939" s="18" t="s">
        <v>33</v>
      </c>
    </row>
    <row r="940" spans="1:22" ht="15" customHeight="1" x14ac:dyDescent="0.25">
      <c r="A940" s="15" t="s">
        <v>1859</v>
      </c>
      <c r="B940" s="1" t="s">
        <v>1480</v>
      </c>
      <c r="C940">
        <v>22</v>
      </c>
      <c r="D940" s="1" t="s">
        <v>47</v>
      </c>
      <c r="E940" s="1" t="s">
        <v>23</v>
      </c>
      <c r="F940" s="1" t="s">
        <v>83</v>
      </c>
      <c r="G940" s="1" t="s">
        <v>131</v>
      </c>
      <c r="H940" s="1" t="s">
        <v>26</v>
      </c>
      <c r="I940" s="6">
        <v>45613</v>
      </c>
      <c r="J940" s="7">
        <v>45620</v>
      </c>
      <c r="K940" s="1">
        <v>7</v>
      </c>
      <c r="L940" s="1" t="s">
        <v>112</v>
      </c>
      <c r="M940" s="1" t="s">
        <v>40</v>
      </c>
      <c r="N940" s="1" t="s">
        <v>133</v>
      </c>
      <c r="O940" s="1" t="s">
        <v>42</v>
      </c>
      <c r="P940" s="29">
        <v>13104.31</v>
      </c>
      <c r="Q940" s="1" t="s">
        <v>134</v>
      </c>
      <c r="R940" s="1">
        <v>7</v>
      </c>
      <c r="S940" s="1">
        <v>393</v>
      </c>
      <c r="T940" s="4"/>
      <c r="U940" s="1" t="s">
        <v>32</v>
      </c>
      <c r="V940" s="17" t="s">
        <v>33</v>
      </c>
    </row>
    <row r="941" spans="1:22" ht="15" customHeight="1" x14ac:dyDescent="0.25">
      <c r="A941" s="16" t="s">
        <v>1860</v>
      </c>
      <c r="B941" s="3" t="s">
        <v>1843</v>
      </c>
      <c r="C941">
        <v>68</v>
      </c>
      <c r="D941" s="3" t="s">
        <v>82</v>
      </c>
      <c r="E941" s="3" t="s">
        <v>23</v>
      </c>
      <c r="F941" s="3" t="s">
        <v>24</v>
      </c>
      <c r="G941" s="3" t="s">
        <v>77</v>
      </c>
      <c r="H941" s="3" t="s">
        <v>51</v>
      </c>
      <c r="I941" s="8">
        <v>44841</v>
      </c>
      <c r="J941" s="8">
        <v>44848</v>
      </c>
      <c r="K941" s="3">
        <v>7</v>
      </c>
      <c r="L941" s="3" t="s">
        <v>27</v>
      </c>
      <c r="M941" s="3" t="s">
        <v>28</v>
      </c>
      <c r="N941" s="3" t="s">
        <v>94</v>
      </c>
      <c r="O941" s="3" t="s">
        <v>30</v>
      </c>
      <c r="P941" s="30">
        <v>39305.620000000003</v>
      </c>
      <c r="Q941" s="3" t="s">
        <v>123</v>
      </c>
      <c r="R941" s="3">
        <v>10</v>
      </c>
      <c r="S941" s="3">
        <v>174</v>
      </c>
      <c r="T941" s="3">
        <v>31.4</v>
      </c>
      <c r="U941" s="3" t="s">
        <v>44</v>
      </c>
      <c r="V941" s="18" t="s">
        <v>33</v>
      </c>
    </row>
    <row r="942" spans="1:22" ht="15" customHeight="1" x14ac:dyDescent="0.25">
      <c r="A942" s="15" t="s">
        <v>1861</v>
      </c>
      <c r="B942" s="1" t="s">
        <v>1862</v>
      </c>
      <c r="C942">
        <v>61</v>
      </c>
      <c r="D942" s="1" t="s">
        <v>59</v>
      </c>
      <c r="E942" s="1" t="s">
        <v>23</v>
      </c>
      <c r="F942" s="1" t="s">
        <v>24</v>
      </c>
      <c r="G942" s="1" t="s">
        <v>131</v>
      </c>
      <c r="H942" s="1" t="s">
        <v>26</v>
      </c>
      <c r="I942" s="7">
        <v>45409</v>
      </c>
      <c r="J942" s="7">
        <v>45416</v>
      </c>
      <c r="K942" s="1">
        <v>7</v>
      </c>
      <c r="L942" s="1" t="s">
        <v>231</v>
      </c>
      <c r="M942" s="1" t="s">
        <v>53</v>
      </c>
      <c r="N942" s="1" t="s">
        <v>147</v>
      </c>
      <c r="O942" s="1" t="s">
        <v>30</v>
      </c>
      <c r="P942" s="29">
        <v>36140</v>
      </c>
      <c r="Q942" s="1" t="s">
        <v>148</v>
      </c>
      <c r="R942" s="1">
        <v>7</v>
      </c>
      <c r="S942" s="1">
        <v>366</v>
      </c>
      <c r="T942" s="1">
        <v>22.1</v>
      </c>
      <c r="U942" s="1" t="s">
        <v>44</v>
      </c>
      <c r="V942" s="17" t="s">
        <v>33</v>
      </c>
    </row>
    <row r="943" spans="1:22" ht="15" customHeight="1" x14ac:dyDescent="0.25">
      <c r="A943" s="16" t="s">
        <v>1863</v>
      </c>
      <c r="B943" s="2" t="s">
        <v>2105</v>
      </c>
      <c r="C943">
        <v>41</v>
      </c>
      <c r="D943" s="3" t="s">
        <v>98</v>
      </c>
      <c r="E943" s="3" t="s">
        <v>48</v>
      </c>
      <c r="F943" s="3" t="s">
        <v>24</v>
      </c>
      <c r="G943" s="3" t="s">
        <v>25</v>
      </c>
      <c r="H943" s="3" t="s">
        <v>78</v>
      </c>
      <c r="I943" s="6">
        <v>44929</v>
      </c>
      <c r="J943" s="8">
        <v>45000</v>
      </c>
      <c r="K943" s="3">
        <v>14</v>
      </c>
      <c r="L943" s="3" t="s">
        <v>89</v>
      </c>
      <c r="M943" s="3" t="s">
        <v>90</v>
      </c>
      <c r="N943" s="3" t="s">
        <v>599</v>
      </c>
      <c r="O943" s="3" t="s">
        <v>30</v>
      </c>
      <c r="P943" s="30">
        <v>83434.95</v>
      </c>
      <c r="Q943" s="3" t="s">
        <v>484</v>
      </c>
      <c r="R943" s="3">
        <v>11</v>
      </c>
      <c r="S943" s="3">
        <v>143</v>
      </c>
      <c r="T943" s="3">
        <v>24.8</v>
      </c>
      <c r="U943" s="3" t="s">
        <v>44</v>
      </c>
      <c r="V943" s="18" t="s">
        <v>33</v>
      </c>
    </row>
    <row r="944" spans="1:22" ht="15" customHeight="1" x14ac:dyDescent="0.25">
      <c r="A944" s="15" t="s">
        <v>1864</v>
      </c>
      <c r="B944" s="1" t="s">
        <v>1865</v>
      </c>
      <c r="C944">
        <v>80</v>
      </c>
      <c r="D944" s="1" t="s">
        <v>36</v>
      </c>
      <c r="E944" s="1" t="s">
        <v>23</v>
      </c>
      <c r="F944" s="1" t="s">
        <v>155</v>
      </c>
      <c r="G944" s="1" t="s">
        <v>60</v>
      </c>
      <c r="H944" s="1" t="s">
        <v>51</v>
      </c>
      <c r="I944" s="7">
        <v>44956</v>
      </c>
      <c r="J944" s="7">
        <v>45109</v>
      </c>
      <c r="K944" s="1">
        <v>8</v>
      </c>
      <c r="L944" s="1" t="s">
        <v>52</v>
      </c>
      <c r="M944" s="1" t="s">
        <v>53</v>
      </c>
      <c r="N944" s="1" t="s">
        <v>61</v>
      </c>
      <c r="O944" s="1" t="s">
        <v>30</v>
      </c>
      <c r="P944" s="29">
        <v>36877.18</v>
      </c>
      <c r="Q944" s="1" t="s">
        <v>137</v>
      </c>
      <c r="R944" s="1">
        <v>5</v>
      </c>
      <c r="S944" s="1">
        <v>197</v>
      </c>
      <c r="T944" s="1">
        <v>38.6</v>
      </c>
      <c r="U944" s="1" t="s">
        <v>32</v>
      </c>
      <c r="V944" s="17" t="s">
        <v>33</v>
      </c>
    </row>
    <row r="945" spans="1:22" ht="15" customHeight="1" x14ac:dyDescent="0.25">
      <c r="A945" s="16" t="s">
        <v>1866</v>
      </c>
      <c r="B945" s="3" t="s">
        <v>1867</v>
      </c>
      <c r="C945">
        <v>35</v>
      </c>
      <c r="D945" s="3" t="s">
        <v>98</v>
      </c>
      <c r="E945" s="3" t="s">
        <v>48</v>
      </c>
      <c r="F945" s="3" t="s">
        <v>99</v>
      </c>
      <c r="G945" s="3" t="s">
        <v>25</v>
      </c>
      <c r="H945" s="3" t="s">
        <v>51</v>
      </c>
      <c r="I945" s="8">
        <v>44700</v>
      </c>
      <c r="J945" s="8">
        <v>44707</v>
      </c>
      <c r="K945" s="3">
        <v>7</v>
      </c>
      <c r="L945" s="3" t="s">
        <v>132</v>
      </c>
      <c r="M945" s="3" t="s">
        <v>53</v>
      </c>
      <c r="N945" s="3" t="s">
        <v>248</v>
      </c>
      <c r="O945" s="3" t="s">
        <v>42</v>
      </c>
      <c r="P945" s="30">
        <v>14902.26</v>
      </c>
      <c r="Q945" s="3" t="s">
        <v>400</v>
      </c>
      <c r="R945" s="3">
        <v>12</v>
      </c>
      <c r="S945" s="3">
        <v>116</v>
      </c>
      <c r="T945" s="4"/>
      <c r="U945" s="3" t="s">
        <v>32</v>
      </c>
      <c r="V945" s="18" t="s">
        <v>33</v>
      </c>
    </row>
    <row r="946" spans="1:22" ht="15" customHeight="1" x14ac:dyDescent="0.25">
      <c r="A946" s="15" t="s">
        <v>1868</v>
      </c>
      <c r="B946" s="1" t="s">
        <v>1869</v>
      </c>
      <c r="C946">
        <v>92</v>
      </c>
      <c r="D946" s="1" t="s">
        <v>36</v>
      </c>
      <c r="E946" s="1" t="s">
        <v>48</v>
      </c>
      <c r="F946" s="1" t="s">
        <v>155</v>
      </c>
      <c r="G946" s="1" t="s">
        <v>77</v>
      </c>
      <c r="H946" s="1" t="s">
        <v>51</v>
      </c>
      <c r="I946" s="6">
        <v>45613</v>
      </c>
      <c r="J946" s="7">
        <v>45619</v>
      </c>
      <c r="K946" s="1">
        <v>6</v>
      </c>
      <c r="L946" s="1" t="s">
        <v>102</v>
      </c>
      <c r="M946" s="1" t="s">
        <v>28</v>
      </c>
      <c r="N946" s="1" t="s">
        <v>79</v>
      </c>
      <c r="O946" s="1" t="s">
        <v>55</v>
      </c>
      <c r="P946" s="29">
        <v>109457.64</v>
      </c>
      <c r="Q946" s="1" t="s">
        <v>85</v>
      </c>
      <c r="R946" s="1">
        <v>6</v>
      </c>
      <c r="S946" s="1">
        <v>191</v>
      </c>
      <c r="T946" s="1">
        <v>50.2</v>
      </c>
      <c r="U946" s="1" t="s">
        <v>86</v>
      </c>
      <c r="V946" s="17" t="s">
        <v>33</v>
      </c>
    </row>
    <row r="947" spans="1:22" ht="15" customHeight="1" x14ac:dyDescent="0.25">
      <c r="A947" s="16" t="s">
        <v>1870</v>
      </c>
      <c r="B947" s="3" t="s">
        <v>605</v>
      </c>
      <c r="C947">
        <v>46</v>
      </c>
      <c r="D947" s="3" t="s">
        <v>98</v>
      </c>
      <c r="E947" s="3" t="s">
        <v>23</v>
      </c>
      <c r="F947" s="3" t="s">
        <v>155</v>
      </c>
      <c r="G947" s="3" t="s">
        <v>50</v>
      </c>
      <c r="H947" s="3" t="s">
        <v>26</v>
      </c>
      <c r="I947" s="8">
        <v>43553</v>
      </c>
      <c r="J947" s="8">
        <v>43559</v>
      </c>
      <c r="K947" s="3">
        <v>6</v>
      </c>
      <c r="L947" s="3" t="s">
        <v>52</v>
      </c>
      <c r="M947" s="3" t="s">
        <v>53</v>
      </c>
      <c r="N947" s="3" t="s">
        <v>126</v>
      </c>
      <c r="O947" s="3" t="s">
        <v>42</v>
      </c>
      <c r="P947" s="30">
        <v>53727</v>
      </c>
      <c r="Q947" s="3" t="s">
        <v>351</v>
      </c>
      <c r="R947" s="3">
        <v>9</v>
      </c>
      <c r="S947" s="3">
        <v>359</v>
      </c>
      <c r="T947" s="3">
        <v>32.200000000000003</v>
      </c>
      <c r="U947" s="3" t="s">
        <v>32</v>
      </c>
      <c r="V947" s="18" t="s">
        <v>33</v>
      </c>
    </row>
    <row r="948" spans="1:22" ht="15" customHeight="1" x14ac:dyDescent="0.25">
      <c r="A948" s="15" t="s">
        <v>1871</v>
      </c>
      <c r="B948" s="2" t="s">
        <v>3635</v>
      </c>
      <c r="C948">
        <v>70</v>
      </c>
      <c r="D948" s="1" t="s">
        <v>82</v>
      </c>
      <c r="E948" s="1" t="s">
        <v>23</v>
      </c>
      <c r="F948" s="1" t="s">
        <v>99</v>
      </c>
      <c r="G948" s="1" t="s">
        <v>71</v>
      </c>
      <c r="H948" s="1" t="s">
        <v>51</v>
      </c>
      <c r="I948" s="7">
        <v>43625</v>
      </c>
      <c r="J948" s="7">
        <v>43630</v>
      </c>
      <c r="K948" s="1">
        <v>5</v>
      </c>
      <c r="L948" s="1" t="s">
        <v>112</v>
      </c>
      <c r="M948" s="1" t="s">
        <v>40</v>
      </c>
      <c r="N948" s="1" t="s">
        <v>72</v>
      </c>
      <c r="O948" s="1" t="s">
        <v>30</v>
      </c>
      <c r="P948" s="29">
        <v>7385</v>
      </c>
      <c r="Q948" s="1" t="s">
        <v>73</v>
      </c>
      <c r="R948" s="1">
        <v>5</v>
      </c>
      <c r="S948" s="1">
        <v>166</v>
      </c>
      <c r="T948" s="1">
        <v>37.200000000000003</v>
      </c>
      <c r="U948" s="1" t="s">
        <v>32</v>
      </c>
      <c r="V948" s="17" t="s">
        <v>33</v>
      </c>
    </row>
    <row r="949" spans="1:22" ht="15" customHeight="1" x14ac:dyDescent="0.25">
      <c r="A949" s="16" t="s">
        <v>1872</v>
      </c>
      <c r="B949" s="3" t="s">
        <v>1678</v>
      </c>
      <c r="C949">
        <v>51</v>
      </c>
      <c r="D949" s="3" t="s">
        <v>98</v>
      </c>
      <c r="E949" s="3" t="s">
        <v>48</v>
      </c>
      <c r="F949" s="3" t="s">
        <v>49</v>
      </c>
      <c r="G949" s="3" t="s">
        <v>38</v>
      </c>
      <c r="H949" s="3" t="s">
        <v>51</v>
      </c>
      <c r="I949" s="8">
        <v>43895</v>
      </c>
      <c r="J949" s="8">
        <v>43898</v>
      </c>
      <c r="K949" s="3">
        <v>3</v>
      </c>
      <c r="L949" s="3" t="s">
        <v>39</v>
      </c>
      <c r="M949" s="3" t="s">
        <v>40</v>
      </c>
      <c r="N949" s="3" t="s">
        <v>203</v>
      </c>
      <c r="O949" s="3" t="s">
        <v>42</v>
      </c>
      <c r="P949" s="30">
        <v>7465.5</v>
      </c>
      <c r="Q949" s="3" t="s">
        <v>305</v>
      </c>
      <c r="R949" s="3">
        <v>8</v>
      </c>
      <c r="S949" s="3">
        <v>146</v>
      </c>
      <c r="T949" s="3">
        <v>26.1</v>
      </c>
      <c r="U949" s="3" t="s">
        <v>86</v>
      </c>
      <c r="V949" s="18" t="s">
        <v>33</v>
      </c>
    </row>
    <row r="950" spans="1:22" ht="15" customHeight="1" x14ac:dyDescent="0.25">
      <c r="A950" s="15" t="s">
        <v>1873</v>
      </c>
      <c r="B950" s="2" t="s">
        <v>765</v>
      </c>
      <c r="C950">
        <v>56</v>
      </c>
      <c r="D950" s="1" t="s">
        <v>59</v>
      </c>
      <c r="E950" s="1" t="s">
        <v>23</v>
      </c>
      <c r="F950" s="1" t="s">
        <v>37</v>
      </c>
      <c r="G950" s="1" t="s">
        <v>38</v>
      </c>
      <c r="H950" s="1" t="s">
        <v>51</v>
      </c>
      <c r="I950" s="6">
        <v>44721</v>
      </c>
      <c r="J950" s="7">
        <v>44812</v>
      </c>
      <c r="K950" s="1">
        <v>2</v>
      </c>
      <c r="L950" s="1" t="s">
        <v>122</v>
      </c>
      <c r="M950" s="1" t="s">
        <v>40</v>
      </c>
      <c r="N950" s="1" t="s">
        <v>41</v>
      </c>
      <c r="O950" s="1" t="s">
        <v>66</v>
      </c>
      <c r="P950" s="29">
        <v>12252.24</v>
      </c>
      <c r="Q950" s="1" t="s">
        <v>305</v>
      </c>
      <c r="R950" s="1">
        <v>8</v>
      </c>
      <c r="S950" s="1">
        <v>152</v>
      </c>
      <c r="T950" s="4"/>
      <c r="U950" s="1" t="s">
        <v>32</v>
      </c>
      <c r="V950" s="17" t="s">
        <v>45</v>
      </c>
    </row>
    <row r="951" spans="1:22" ht="15" customHeight="1" x14ac:dyDescent="0.25">
      <c r="A951" s="16" t="s">
        <v>1874</v>
      </c>
      <c r="B951" s="3" t="s">
        <v>1875</v>
      </c>
      <c r="C951">
        <v>88</v>
      </c>
      <c r="D951" s="3" t="s">
        <v>36</v>
      </c>
      <c r="E951" s="3" t="s">
        <v>23</v>
      </c>
      <c r="F951" s="3" t="s">
        <v>37</v>
      </c>
      <c r="G951" s="3" t="s">
        <v>77</v>
      </c>
      <c r="H951" s="3" t="s">
        <v>26</v>
      </c>
      <c r="I951" s="8">
        <v>45548</v>
      </c>
      <c r="J951" s="8">
        <v>45557</v>
      </c>
      <c r="K951" s="3">
        <v>9</v>
      </c>
      <c r="L951" s="3" t="s">
        <v>52</v>
      </c>
      <c r="M951" s="3" t="s">
        <v>53</v>
      </c>
      <c r="N951" s="3" t="s">
        <v>94</v>
      </c>
      <c r="O951" s="3" t="s">
        <v>42</v>
      </c>
      <c r="P951" s="30">
        <v>178054.8</v>
      </c>
      <c r="Q951" s="3" t="s">
        <v>80</v>
      </c>
      <c r="R951" s="3">
        <v>10</v>
      </c>
      <c r="S951" s="3">
        <v>327</v>
      </c>
      <c r="T951" s="3">
        <v>24.7</v>
      </c>
      <c r="U951" s="3" t="s">
        <v>44</v>
      </c>
      <c r="V951" s="18" t="s">
        <v>33</v>
      </c>
    </row>
    <row r="952" spans="1:22" ht="15" customHeight="1" x14ac:dyDescent="0.25">
      <c r="A952" s="15" t="s">
        <v>1876</v>
      </c>
      <c r="B952" s="1" t="s">
        <v>1317</v>
      </c>
      <c r="C952">
        <v>90</v>
      </c>
      <c r="D952" s="1" t="s">
        <v>36</v>
      </c>
      <c r="E952" s="1" t="s">
        <v>48</v>
      </c>
      <c r="F952" s="1" t="s">
        <v>83</v>
      </c>
      <c r="G952" s="1" t="s">
        <v>25</v>
      </c>
      <c r="H952" s="1" t="s">
        <v>51</v>
      </c>
      <c r="I952" s="7">
        <v>44630</v>
      </c>
      <c r="J952" s="7">
        <v>44639</v>
      </c>
      <c r="K952" s="1">
        <v>9</v>
      </c>
      <c r="L952" s="1" t="s">
        <v>89</v>
      </c>
      <c r="M952" s="1" t="s">
        <v>90</v>
      </c>
      <c r="N952" s="1" t="s">
        <v>65</v>
      </c>
      <c r="O952" s="1" t="s">
        <v>55</v>
      </c>
      <c r="P952" s="29">
        <v>43715.88</v>
      </c>
      <c r="Q952" s="1" t="s">
        <v>269</v>
      </c>
      <c r="R952" s="1">
        <v>10</v>
      </c>
      <c r="S952" s="1">
        <v>199</v>
      </c>
      <c r="T952" s="1">
        <v>23.8</v>
      </c>
      <c r="U952" s="1" t="s">
        <v>44</v>
      </c>
      <c r="V952" s="17" t="s">
        <v>33</v>
      </c>
    </row>
    <row r="953" spans="1:22" ht="15" customHeight="1" x14ac:dyDescent="0.25">
      <c r="A953" s="16" t="s">
        <v>1877</v>
      </c>
      <c r="B953" s="3" t="s">
        <v>143</v>
      </c>
      <c r="C953">
        <v>56</v>
      </c>
      <c r="D953" s="3" t="s">
        <v>59</v>
      </c>
      <c r="E953" s="3" t="s">
        <v>48</v>
      </c>
      <c r="F953" s="3" t="s">
        <v>24</v>
      </c>
      <c r="G953" s="3" t="s">
        <v>50</v>
      </c>
      <c r="H953" s="3" t="s">
        <v>26</v>
      </c>
      <c r="I953" s="6">
        <v>44684</v>
      </c>
      <c r="J953" s="8">
        <v>44636</v>
      </c>
      <c r="K953" s="3">
        <v>11</v>
      </c>
      <c r="L953" s="3" t="s">
        <v>132</v>
      </c>
      <c r="M953" s="3" t="s">
        <v>53</v>
      </c>
      <c r="N953" s="3" t="s">
        <v>116</v>
      </c>
      <c r="O953" s="3" t="s">
        <v>104</v>
      </c>
      <c r="P953" s="30">
        <v>106727</v>
      </c>
      <c r="Q953" s="3" t="s">
        <v>194</v>
      </c>
      <c r="R953" s="3">
        <v>7</v>
      </c>
      <c r="S953" s="3">
        <v>355</v>
      </c>
      <c r="T953" s="3">
        <v>38</v>
      </c>
      <c r="U953" s="3" t="s">
        <v>32</v>
      </c>
      <c r="V953" s="18" t="s">
        <v>33</v>
      </c>
    </row>
    <row r="954" spans="1:22" ht="15" customHeight="1" x14ac:dyDescent="0.25">
      <c r="A954" s="15" t="s">
        <v>1878</v>
      </c>
      <c r="B954" s="1" t="s">
        <v>591</v>
      </c>
      <c r="C954">
        <v>81</v>
      </c>
      <c r="D954" s="1" t="s">
        <v>36</v>
      </c>
      <c r="E954" s="1" t="s">
        <v>23</v>
      </c>
      <c r="F954" s="1" t="s">
        <v>83</v>
      </c>
      <c r="G954" s="1" t="s">
        <v>25</v>
      </c>
      <c r="H954" s="1" t="s">
        <v>78</v>
      </c>
      <c r="I954" s="6">
        <v>44701</v>
      </c>
      <c r="J954" s="7">
        <v>44708</v>
      </c>
      <c r="K954" s="1">
        <v>7</v>
      </c>
      <c r="L954" s="1" t="s">
        <v>102</v>
      </c>
      <c r="M954" s="1" t="s">
        <v>28</v>
      </c>
      <c r="N954" s="1" t="s">
        <v>248</v>
      </c>
      <c r="O954" s="1" t="s">
        <v>104</v>
      </c>
      <c r="P954" s="29">
        <v>60767.7</v>
      </c>
      <c r="Q954" s="1" t="s">
        <v>484</v>
      </c>
      <c r="R954" s="1">
        <v>11</v>
      </c>
      <c r="S954" s="1">
        <v>296</v>
      </c>
      <c r="T954" s="1">
        <v>28.9</v>
      </c>
      <c r="U954" s="1" t="s">
        <v>44</v>
      </c>
      <c r="V954" s="17" t="s">
        <v>33</v>
      </c>
    </row>
    <row r="955" spans="1:22" ht="15" customHeight="1" x14ac:dyDescent="0.25">
      <c r="A955" s="16" t="s">
        <v>1879</v>
      </c>
      <c r="B955" s="3" t="s">
        <v>1880</v>
      </c>
      <c r="C955">
        <v>88</v>
      </c>
      <c r="D955" s="3" t="s">
        <v>36</v>
      </c>
      <c r="E955" s="3" t="s">
        <v>23</v>
      </c>
      <c r="F955" s="3" t="s">
        <v>76</v>
      </c>
      <c r="G955" s="3" t="s">
        <v>60</v>
      </c>
      <c r="H955" s="3" t="s">
        <v>78</v>
      </c>
      <c r="I955" s="6">
        <v>44272</v>
      </c>
      <c r="J955" s="8">
        <v>44276</v>
      </c>
      <c r="K955" s="3">
        <v>4</v>
      </c>
      <c r="L955" s="3" t="s">
        <v>122</v>
      </c>
      <c r="M955" s="3" t="s">
        <v>40</v>
      </c>
      <c r="N955" s="3" t="s">
        <v>61</v>
      </c>
      <c r="O955" s="3" t="s">
        <v>66</v>
      </c>
      <c r="P955" s="30">
        <v>55601.06</v>
      </c>
      <c r="Q955" s="3" t="s">
        <v>170</v>
      </c>
      <c r="R955" s="3">
        <v>6</v>
      </c>
      <c r="S955" s="3">
        <v>101</v>
      </c>
      <c r="T955" s="3">
        <v>33.9</v>
      </c>
      <c r="U955" s="3" t="s">
        <v>32</v>
      </c>
      <c r="V955" s="18" t="s">
        <v>33</v>
      </c>
    </row>
    <row r="956" spans="1:22" ht="15" customHeight="1" x14ac:dyDescent="0.25">
      <c r="A956" s="15" t="s">
        <v>1881</v>
      </c>
      <c r="B956" s="1" t="s">
        <v>1882</v>
      </c>
      <c r="C956">
        <v>56</v>
      </c>
      <c r="D956" s="1" t="s">
        <v>59</v>
      </c>
      <c r="E956" s="1" t="s">
        <v>48</v>
      </c>
      <c r="F956" s="1" t="s">
        <v>99</v>
      </c>
      <c r="G956" s="1" t="s">
        <v>25</v>
      </c>
      <c r="H956" s="1" t="s">
        <v>51</v>
      </c>
      <c r="I956" s="7">
        <v>45320</v>
      </c>
      <c r="J956" s="7">
        <v>45475</v>
      </c>
      <c r="K956" s="1">
        <v>9</v>
      </c>
      <c r="L956" s="1" t="s">
        <v>132</v>
      </c>
      <c r="M956" s="1" t="s">
        <v>53</v>
      </c>
      <c r="N956" s="1" t="s">
        <v>29</v>
      </c>
      <c r="O956" s="1" t="s">
        <v>42</v>
      </c>
      <c r="P956" s="29">
        <v>94380.12</v>
      </c>
      <c r="Q956" s="1" t="s">
        <v>322</v>
      </c>
      <c r="R956" s="1">
        <v>9</v>
      </c>
      <c r="S956" s="1">
        <v>103</v>
      </c>
      <c r="T956" s="1">
        <v>22.9</v>
      </c>
      <c r="U956" s="1" t="s">
        <v>44</v>
      </c>
      <c r="V956" s="17" t="s">
        <v>33</v>
      </c>
    </row>
    <row r="957" spans="1:22" ht="15" customHeight="1" x14ac:dyDescent="0.25">
      <c r="A957" s="16" t="s">
        <v>1883</v>
      </c>
      <c r="B957" s="3" t="s">
        <v>1884</v>
      </c>
      <c r="C957">
        <v>50</v>
      </c>
      <c r="D957" s="3" t="s">
        <v>98</v>
      </c>
      <c r="E957" s="3" t="s">
        <v>48</v>
      </c>
      <c r="F957" s="3" t="s">
        <v>24</v>
      </c>
      <c r="G957" s="3" t="s">
        <v>163</v>
      </c>
      <c r="H957" s="3" t="s">
        <v>26</v>
      </c>
      <c r="I957" s="6">
        <v>45409</v>
      </c>
      <c r="J957" s="8">
        <v>45412</v>
      </c>
      <c r="K957" s="3">
        <v>3</v>
      </c>
      <c r="L957" s="3" t="s">
        <v>52</v>
      </c>
      <c r="M957" s="3" t="s">
        <v>53</v>
      </c>
      <c r="N957" s="3" t="s">
        <v>213</v>
      </c>
      <c r="O957" s="3" t="s">
        <v>55</v>
      </c>
      <c r="P957" s="30">
        <v>44230.2</v>
      </c>
      <c r="Q957" s="3" t="s">
        <v>62</v>
      </c>
      <c r="R957" s="3">
        <v>4</v>
      </c>
      <c r="S957" s="3">
        <v>269</v>
      </c>
      <c r="T957" s="3">
        <v>23.6</v>
      </c>
      <c r="U957" s="3" t="s">
        <v>32</v>
      </c>
      <c r="V957" s="18" t="s">
        <v>33</v>
      </c>
    </row>
    <row r="958" spans="1:22" ht="15" customHeight="1" x14ac:dyDescent="0.25">
      <c r="A958" s="15" t="s">
        <v>1885</v>
      </c>
      <c r="B958" s="1" t="s">
        <v>1886</v>
      </c>
      <c r="C958">
        <v>39</v>
      </c>
      <c r="D958" s="1" t="s">
        <v>98</v>
      </c>
      <c r="E958" s="1" t="s">
        <v>48</v>
      </c>
      <c r="F958" s="1" t="s">
        <v>83</v>
      </c>
      <c r="G958" s="1" t="s">
        <v>77</v>
      </c>
      <c r="H958" s="1" t="s">
        <v>26</v>
      </c>
      <c r="I958" s="7">
        <v>45593</v>
      </c>
      <c r="J958" s="7">
        <v>45611</v>
      </c>
      <c r="K958" s="1">
        <v>18</v>
      </c>
      <c r="L958" s="1" t="s">
        <v>102</v>
      </c>
      <c r="M958" s="1" t="s">
        <v>28</v>
      </c>
      <c r="N958" s="1" t="s">
        <v>94</v>
      </c>
      <c r="O958" s="1" t="s">
        <v>30</v>
      </c>
      <c r="P958" s="29">
        <v>26395.38</v>
      </c>
      <c r="Q958" s="1" t="s">
        <v>91</v>
      </c>
      <c r="R958" s="1">
        <v>8</v>
      </c>
      <c r="S958" s="1">
        <v>334</v>
      </c>
      <c r="T958" s="1">
        <v>39.5</v>
      </c>
      <c r="U958" s="1" t="s">
        <v>44</v>
      </c>
      <c r="V958" s="17" t="s">
        <v>33</v>
      </c>
    </row>
    <row r="959" spans="1:22" ht="15" customHeight="1" x14ac:dyDescent="0.25">
      <c r="A959" s="16" t="s">
        <v>1887</v>
      </c>
      <c r="B959" s="3" t="s">
        <v>1027</v>
      </c>
      <c r="C959">
        <v>59</v>
      </c>
      <c r="D959" s="3" t="s">
        <v>59</v>
      </c>
      <c r="E959" s="3" t="s">
        <v>48</v>
      </c>
      <c r="F959" s="3" t="s">
        <v>76</v>
      </c>
      <c r="G959" s="3" t="s">
        <v>77</v>
      </c>
      <c r="H959" s="3" t="s">
        <v>26</v>
      </c>
      <c r="I959" s="8">
        <v>44799</v>
      </c>
      <c r="J959" s="8">
        <v>44904</v>
      </c>
      <c r="K959" s="3">
        <v>17</v>
      </c>
      <c r="L959" s="3" t="s">
        <v>231</v>
      </c>
      <c r="M959" s="3" t="s">
        <v>53</v>
      </c>
      <c r="N959" s="3" t="s">
        <v>79</v>
      </c>
      <c r="O959" s="3" t="s">
        <v>30</v>
      </c>
      <c r="P959" s="30">
        <v>64970.79</v>
      </c>
      <c r="Q959" s="3" t="s">
        <v>123</v>
      </c>
      <c r="R959" s="3">
        <v>10</v>
      </c>
      <c r="S959" s="3">
        <v>377</v>
      </c>
      <c r="T959" s="3">
        <v>32.700000000000003</v>
      </c>
      <c r="U959" s="3" t="s">
        <v>86</v>
      </c>
      <c r="V959" s="18" t="s">
        <v>45</v>
      </c>
    </row>
    <row r="960" spans="1:22" ht="15" customHeight="1" x14ac:dyDescent="0.25">
      <c r="A960" s="15" t="s">
        <v>1888</v>
      </c>
      <c r="B960" s="1" t="s">
        <v>1889</v>
      </c>
      <c r="C960">
        <v>31</v>
      </c>
      <c r="D960" s="1" t="s">
        <v>47</v>
      </c>
      <c r="E960" s="1" t="s">
        <v>23</v>
      </c>
      <c r="F960" s="1" t="s">
        <v>49</v>
      </c>
      <c r="G960" s="1" t="s">
        <v>77</v>
      </c>
      <c r="H960" s="1" t="s">
        <v>26</v>
      </c>
      <c r="I960" s="7">
        <v>45274</v>
      </c>
      <c r="J960" s="7">
        <v>45284</v>
      </c>
      <c r="K960" s="1">
        <v>10</v>
      </c>
      <c r="L960" s="1" t="s">
        <v>89</v>
      </c>
      <c r="M960" s="1" t="s">
        <v>90</v>
      </c>
      <c r="N960" s="1" t="s">
        <v>79</v>
      </c>
      <c r="O960" s="1" t="s">
        <v>55</v>
      </c>
      <c r="P960" s="29">
        <v>37757</v>
      </c>
      <c r="Q960" s="1" t="s">
        <v>109</v>
      </c>
      <c r="R960" s="1">
        <v>10</v>
      </c>
      <c r="S960" s="1">
        <v>370</v>
      </c>
      <c r="T960" s="1">
        <v>36.4</v>
      </c>
      <c r="U960" s="1" t="s">
        <v>44</v>
      </c>
      <c r="V960" s="17" t="s">
        <v>33</v>
      </c>
    </row>
    <row r="961" spans="1:22" ht="15" customHeight="1" x14ac:dyDescent="0.25">
      <c r="A961" s="16" t="s">
        <v>1890</v>
      </c>
      <c r="B961" s="3" t="s">
        <v>1891</v>
      </c>
      <c r="C961">
        <v>80</v>
      </c>
      <c r="D961" s="3" t="s">
        <v>36</v>
      </c>
      <c r="E961" s="3" t="s">
        <v>48</v>
      </c>
      <c r="F961" s="3" t="s">
        <v>37</v>
      </c>
      <c r="G961" s="3" t="s">
        <v>60</v>
      </c>
      <c r="H961" s="3" t="s">
        <v>78</v>
      </c>
      <c r="I961" s="8">
        <v>43661</v>
      </c>
      <c r="J961" s="8">
        <v>43666</v>
      </c>
      <c r="K961" s="3">
        <v>5</v>
      </c>
      <c r="L961" s="3" t="s">
        <v>102</v>
      </c>
      <c r="M961" s="3" t="s">
        <v>28</v>
      </c>
      <c r="N961" s="3" t="s">
        <v>61</v>
      </c>
      <c r="O961" s="3" t="s">
        <v>42</v>
      </c>
      <c r="P961" s="30">
        <v>31479.65</v>
      </c>
      <c r="Q961" s="3" t="s">
        <v>511</v>
      </c>
      <c r="R961" s="3">
        <v>6</v>
      </c>
      <c r="S961" s="3">
        <v>370</v>
      </c>
      <c r="T961" s="4"/>
      <c r="U961" s="3" t="s">
        <v>32</v>
      </c>
      <c r="V961" s="18" t="s">
        <v>33</v>
      </c>
    </row>
    <row r="962" spans="1:22" ht="15" customHeight="1" x14ac:dyDescent="0.25">
      <c r="A962" s="15" t="s">
        <v>1892</v>
      </c>
      <c r="B962" s="1" t="s">
        <v>753</v>
      </c>
      <c r="C962">
        <v>88</v>
      </c>
      <c r="D962" s="1" t="s">
        <v>36</v>
      </c>
      <c r="E962" s="1" t="s">
        <v>23</v>
      </c>
      <c r="F962" s="1" t="s">
        <v>37</v>
      </c>
      <c r="G962" s="1" t="s">
        <v>50</v>
      </c>
      <c r="H962" s="1" t="s">
        <v>51</v>
      </c>
      <c r="I962" s="7">
        <v>45224</v>
      </c>
      <c r="J962" s="7">
        <v>45231</v>
      </c>
      <c r="K962" s="1">
        <v>7</v>
      </c>
      <c r="L962" s="1" t="s">
        <v>132</v>
      </c>
      <c r="M962" s="1" t="s">
        <v>53</v>
      </c>
      <c r="N962" s="1" t="s">
        <v>126</v>
      </c>
      <c r="O962" s="1" t="s">
        <v>30</v>
      </c>
      <c r="P962" s="29">
        <v>35711.199999999997</v>
      </c>
      <c r="Q962" s="1" t="s">
        <v>194</v>
      </c>
      <c r="R962" s="1">
        <v>9</v>
      </c>
      <c r="S962" s="1">
        <v>175</v>
      </c>
      <c r="T962" s="1">
        <v>32</v>
      </c>
      <c r="U962" s="1" t="s">
        <v>44</v>
      </c>
      <c r="V962" s="17" t="s">
        <v>45</v>
      </c>
    </row>
    <row r="963" spans="1:22" ht="15" customHeight="1" x14ac:dyDescent="0.25">
      <c r="A963" s="16" t="s">
        <v>1893</v>
      </c>
      <c r="B963" s="3" t="s">
        <v>1894</v>
      </c>
      <c r="C963">
        <v>49</v>
      </c>
      <c r="D963" s="3" t="s">
        <v>98</v>
      </c>
      <c r="E963" s="3" t="s">
        <v>23</v>
      </c>
      <c r="F963" s="3" t="s">
        <v>99</v>
      </c>
      <c r="G963" s="3" t="s">
        <v>50</v>
      </c>
      <c r="H963" s="3" t="s">
        <v>26</v>
      </c>
      <c r="I963" s="8">
        <v>43822</v>
      </c>
      <c r="J963" s="8">
        <v>43829</v>
      </c>
      <c r="K963" s="3">
        <v>7</v>
      </c>
      <c r="L963" s="3" t="s">
        <v>185</v>
      </c>
      <c r="M963" s="3" t="s">
        <v>186</v>
      </c>
      <c r="N963" s="3" t="s">
        <v>116</v>
      </c>
      <c r="O963" s="3" t="s">
        <v>42</v>
      </c>
      <c r="P963" s="30">
        <v>80966.86</v>
      </c>
      <c r="Q963" s="3" t="s">
        <v>194</v>
      </c>
      <c r="R963" s="3">
        <v>9</v>
      </c>
      <c r="S963" s="3">
        <v>343</v>
      </c>
      <c r="T963" s="3">
        <v>29.3</v>
      </c>
      <c r="U963" s="3" t="s">
        <v>44</v>
      </c>
      <c r="V963" s="18" t="s">
        <v>45</v>
      </c>
    </row>
    <row r="964" spans="1:22" ht="15" customHeight="1" x14ac:dyDescent="0.25">
      <c r="A964" s="15" t="s">
        <v>1895</v>
      </c>
      <c r="B964" s="1" t="s">
        <v>1644</v>
      </c>
      <c r="C964">
        <v>50</v>
      </c>
      <c r="D964" s="1" t="s">
        <v>98</v>
      </c>
      <c r="E964" s="1" t="s">
        <v>48</v>
      </c>
      <c r="F964" s="1" t="s">
        <v>83</v>
      </c>
      <c r="G964" s="1" t="s">
        <v>77</v>
      </c>
      <c r="H964" s="1" t="s">
        <v>26</v>
      </c>
      <c r="I964" s="7">
        <v>45254</v>
      </c>
      <c r="J964" s="7">
        <v>45268</v>
      </c>
      <c r="K964" s="1">
        <v>14</v>
      </c>
      <c r="L964" s="1" t="s">
        <v>185</v>
      </c>
      <c r="M964" s="1" t="s">
        <v>186</v>
      </c>
      <c r="N964" s="1" t="s">
        <v>84</v>
      </c>
      <c r="O964" s="1" t="s">
        <v>30</v>
      </c>
      <c r="P964" s="29">
        <v>31482.01</v>
      </c>
      <c r="Q964" s="1" t="s">
        <v>80</v>
      </c>
      <c r="R964" s="1">
        <v>9</v>
      </c>
      <c r="S964" s="1">
        <v>329</v>
      </c>
      <c r="T964" s="1">
        <v>36.9</v>
      </c>
      <c r="U964" s="1" t="s">
        <v>86</v>
      </c>
      <c r="V964" s="17" t="s">
        <v>33</v>
      </c>
    </row>
    <row r="965" spans="1:22" ht="15" customHeight="1" x14ac:dyDescent="0.25">
      <c r="A965" s="16" t="s">
        <v>1896</v>
      </c>
      <c r="B965" s="3" t="s">
        <v>1897</v>
      </c>
      <c r="C965">
        <v>70</v>
      </c>
      <c r="D965" s="3" t="s">
        <v>82</v>
      </c>
      <c r="E965" s="3" t="s">
        <v>48</v>
      </c>
      <c r="F965" s="3" t="s">
        <v>155</v>
      </c>
      <c r="G965" s="3" t="s">
        <v>131</v>
      </c>
      <c r="H965" s="3" t="s">
        <v>26</v>
      </c>
      <c r="I965" s="8">
        <v>45628</v>
      </c>
      <c r="J965" s="8">
        <v>45631</v>
      </c>
      <c r="K965" s="3">
        <v>3</v>
      </c>
      <c r="L965" s="3" t="s">
        <v>122</v>
      </c>
      <c r="M965" s="3" t="s">
        <v>40</v>
      </c>
      <c r="N965" s="3" t="s">
        <v>157</v>
      </c>
      <c r="O965" s="3" t="s">
        <v>55</v>
      </c>
      <c r="P965" s="30">
        <v>50017.65</v>
      </c>
      <c r="Q965" s="3" t="s">
        <v>134</v>
      </c>
      <c r="R965" s="3">
        <v>5</v>
      </c>
      <c r="S965" s="3">
        <v>308</v>
      </c>
      <c r="T965" s="3">
        <v>38.9</v>
      </c>
      <c r="U965" s="3" t="s">
        <v>32</v>
      </c>
      <c r="V965" s="18" t="s">
        <v>33</v>
      </c>
    </row>
    <row r="966" spans="1:22" ht="15" customHeight="1" x14ac:dyDescent="0.25">
      <c r="A966" s="15" t="s">
        <v>1898</v>
      </c>
      <c r="B966" s="1" t="s">
        <v>1899</v>
      </c>
      <c r="C966">
        <v>25</v>
      </c>
      <c r="D966" s="1" t="s">
        <v>47</v>
      </c>
      <c r="E966" s="1" t="s">
        <v>23</v>
      </c>
      <c r="F966" s="1" t="s">
        <v>37</v>
      </c>
      <c r="G966" s="1" t="s">
        <v>50</v>
      </c>
      <c r="H966" s="1" t="s">
        <v>26</v>
      </c>
      <c r="I966" s="6">
        <v>44759</v>
      </c>
      <c r="J966" s="7">
        <v>44765</v>
      </c>
      <c r="K966" s="1">
        <v>6</v>
      </c>
      <c r="L966" s="1" t="s">
        <v>231</v>
      </c>
      <c r="M966" s="1" t="s">
        <v>53</v>
      </c>
      <c r="N966" s="1" t="s">
        <v>116</v>
      </c>
      <c r="O966" s="1" t="s">
        <v>66</v>
      </c>
      <c r="P966" s="29">
        <v>24859.63</v>
      </c>
      <c r="Q966" s="1" t="s">
        <v>127</v>
      </c>
      <c r="R966" s="1">
        <v>8</v>
      </c>
      <c r="S966" s="1">
        <v>301</v>
      </c>
      <c r="T966" s="1">
        <v>25.9</v>
      </c>
      <c r="U966" s="1" t="s">
        <v>44</v>
      </c>
      <c r="V966" s="17" t="s">
        <v>33</v>
      </c>
    </row>
    <row r="967" spans="1:22" ht="15" customHeight="1" x14ac:dyDescent="0.25">
      <c r="A967" s="16" t="s">
        <v>1900</v>
      </c>
      <c r="B967" s="3" t="s">
        <v>1901</v>
      </c>
      <c r="C967">
        <v>54</v>
      </c>
      <c r="D967" s="3" t="s">
        <v>98</v>
      </c>
      <c r="E967" s="3" t="s">
        <v>23</v>
      </c>
      <c r="F967" s="3" t="s">
        <v>155</v>
      </c>
      <c r="G967" s="3" t="s">
        <v>77</v>
      </c>
      <c r="H967" s="3" t="s">
        <v>51</v>
      </c>
      <c r="I967" s="8">
        <v>44998</v>
      </c>
      <c r="J967" s="8">
        <v>45004</v>
      </c>
      <c r="K967" s="3">
        <v>6</v>
      </c>
      <c r="L967" s="3" t="s">
        <v>52</v>
      </c>
      <c r="M967" s="3" t="s">
        <v>53</v>
      </c>
      <c r="N967" s="3" t="s">
        <v>94</v>
      </c>
      <c r="O967" s="3" t="s">
        <v>42</v>
      </c>
      <c r="P967" s="30">
        <v>39619.15</v>
      </c>
      <c r="Q967" s="3" t="s">
        <v>223</v>
      </c>
      <c r="R967" s="3">
        <v>7</v>
      </c>
      <c r="S967" s="3">
        <v>175</v>
      </c>
      <c r="T967" s="4"/>
      <c r="U967" s="3" t="s">
        <v>44</v>
      </c>
      <c r="V967" s="18" t="s">
        <v>33</v>
      </c>
    </row>
    <row r="968" spans="1:22" ht="15" customHeight="1" x14ac:dyDescent="0.25">
      <c r="A968" s="15" t="s">
        <v>1902</v>
      </c>
      <c r="B968" s="1" t="s">
        <v>1903</v>
      </c>
      <c r="C968">
        <v>66</v>
      </c>
      <c r="D968" s="1" t="s">
        <v>82</v>
      </c>
      <c r="E968" s="1" t="s">
        <v>23</v>
      </c>
      <c r="F968" s="1" t="s">
        <v>70</v>
      </c>
      <c r="G968" s="1" t="s">
        <v>77</v>
      </c>
      <c r="H968" s="1" t="s">
        <v>51</v>
      </c>
      <c r="I968" s="7">
        <v>43642</v>
      </c>
      <c r="J968" s="7">
        <v>43650</v>
      </c>
      <c r="K968" s="1">
        <v>8</v>
      </c>
      <c r="L968" s="1" t="s">
        <v>132</v>
      </c>
      <c r="M968" s="1" t="s">
        <v>53</v>
      </c>
      <c r="N968" s="1" t="s">
        <v>84</v>
      </c>
      <c r="O968" s="1" t="s">
        <v>30</v>
      </c>
      <c r="P968" s="29">
        <v>38433.96</v>
      </c>
      <c r="Q968" s="1" t="s">
        <v>223</v>
      </c>
      <c r="R968" s="1">
        <v>9</v>
      </c>
      <c r="S968" s="1">
        <v>150</v>
      </c>
      <c r="T968" s="1">
        <v>20.9</v>
      </c>
      <c r="U968" s="1" t="s">
        <v>44</v>
      </c>
      <c r="V968" s="17" t="s">
        <v>33</v>
      </c>
    </row>
    <row r="969" spans="1:22" ht="15" customHeight="1" x14ac:dyDescent="0.25">
      <c r="A969" s="16" t="s">
        <v>1904</v>
      </c>
      <c r="B969" s="2" t="s">
        <v>1723</v>
      </c>
      <c r="C969">
        <v>57</v>
      </c>
      <c r="D969" s="3" t="s">
        <v>59</v>
      </c>
      <c r="E969" s="3" t="s">
        <v>48</v>
      </c>
      <c r="F969" s="2" t="s">
        <v>155</v>
      </c>
      <c r="G969" s="3" t="s">
        <v>25</v>
      </c>
      <c r="H969" s="3" t="s">
        <v>51</v>
      </c>
      <c r="I969" s="6">
        <v>43731</v>
      </c>
      <c r="J969" s="8">
        <v>43736</v>
      </c>
      <c r="K969" s="3">
        <v>5</v>
      </c>
      <c r="L969" s="3" t="s">
        <v>112</v>
      </c>
      <c r="M969" s="3" t="s">
        <v>40</v>
      </c>
      <c r="N969" s="3" t="s">
        <v>65</v>
      </c>
      <c r="O969" s="3" t="s">
        <v>66</v>
      </c>
      <c r="P969" s="30">
        <v>116689</v>
      </c>
      <c r="Q969" s="3" t="s">
        <v>269</v>
      </c>
      <c r="R969" s="3">
        <v>11</v>
      </c>
      <c r="S969" s="3">
        <v>151</v>
      </c>
      <c r="T969" s="3">
        <v>17.8</v>
      </c>
      <c r="U969" s="3" t="s">
        <v>44</v>
      </c>
      <c r="V969" s="18" t="s">
        <v>33</v>
      </c>
    </row>
    <row r="970" spans="1:22" ht="15" customHeight="1" x14ac:dyDescent="0.25">
      <c r="A970" s="15" t="s">
        <v>1905</v>
      </c>
      <c r="B970" s="1" t="s">
        <v>1906</v>
      </c>
      <c r="C970">
        <v>73</v>
      </c>
      <c r="D970" s="1" t="s">
        <v>82</v>
      </c>
      <c r="E970" s="1" t="s">
        <v>23</v>
      </c>
      <c r="F970" s="1" t="s">
        <v>24</v>
      </c>
      <c r="G970" s="1" t="s">
        <v>50</v>
      </c>
      <c r="H970" s="1" t="s">
        <v>26</v>
      </c>
      <c r="I970" s="7">
        <v>45045</v>
      </c>
      <c r="J970" s="7">
        <v>45265</v>
      </c>
      <c r="K970" s="1">
        <v>13</v>
      </c>
      <c r="L970" s="1" t="s">
        <v>185</v>
      </c>
      <c r="M970" s="1" t="s">
        <v>186</v>
      </c>
      <c r="N970" s="1" t="s">
        <v>126</v>
      </c>
      <c r="O970" s="1" t="s">
        <v>30</v>
      </c>
      <c r="P970" s="29">
        <v>95154.85</v>
      </c>
      <c r="Q970" s="1" t="s">
        <v>127</v>
      </c>
      <c r="R970" s="1">
        <v>9</v>
      </c>
      <c r="S970" s="1">
        <v>387</v>
      </c>
      <c r="T970" s="1">
        <v>18.3</v>
      </c>
      <c r="U970" s="1" t="s">
        <v>44</v>
      </c>
      <c r="V970" s="17" t="s">
        <v>33</v>
      </c>
    </row>
    <row r="971" spans="1:22" ht="15" customHeight="1" x14ac:dyDescent="0.25">
      <c r="A971" s="16" t="s">
        <v>1907</v>
      </c>
      <c r="B971" s="3" t="s">
        <v>1908</v>
      </c>
      <c r="C971">
        <v>78</v>
      </c>
      <c r="D971" s="3" t="s">
        <v>36</v>
      </c>
      <c r="E971" s="3" t="s">
        <v>48</v>
      </c>
      <c r="F971" s="3" t="s">
        <v>49</v>
      </c>
      <c r="G971" s="3" t="s">
        <v>77</v>
      </c>
      <c r="H971" s="3" t="s">
        <v>51</v>
      </c>
      <c r="I971" s="8">
        <v>44181</v>
      </c>
      <c r="J971" s="8">
        <v>44186</v>
      </c>
      <c r="K971" s="3">
        <v>5</v>
      </c>
      <c r="L971" s="3" t="s">
        <v>52</v>
      </c>
      <c r="M971" s="3" t="s">
        <v>53</v>
      </c>
      <c r="N971" s="3" t="s">
        <v>79</v>
      </c>
      <c r="O971" s="3" t="s">
        <v>66</v>
      </c>
      <c r="P971" s="30">
        <v>63717.73</v>
      </c>
      <c r="Q971" s="3" t="s">
        <v>80</v>
      </c>
      <c r="R971" s="3">
        <v>10</v>
      </c>
      <c r="S971" s="3">
        <v>157</v>
      </c>
      <c r="T971" s="3">
        <v>23.5</v>
      </c>
      <c r="U971" s="3" t="s">
        <v>44</v>
      </c>
      <c r="V971" s="18" t="s">
        <v>33</v>
      </c>
    </row>
    <row r="972" spans="1:22" ht="15" customHeight="1" x14ac:dyDescent="0.25">
      <c r="A972" s="15" t="s">
        <v>1909</v>
      </c>
      <c r="B972" s="1" t="s">
        <v>290</v>
      </c>
      <c r="C972">
        <v>85</v>
      </c>
      <c r="D972" s="1" t="s">
        <v>36</v>
      </c>
      <c r="E972" s="1" t="s">
        <v>48</v>
      </c>
      <c r="F972" s="2" t="s">
        <v>3714</v>
      </c>
      <c r="G972" s="1" t="s">
        <v>77</v>
      </c>
      <c r="H972" s="1" t="s">
        <v>26</v>
      </c>
      <c r="I972" s="6">
        <v>44160</v>
      </c>
      <c r="J972" s="7">
        <v>43873</v>
      </c>
      <c r="K972" s="1">
        <v>7</v>
      </c>
      <c r="L972" s="1" t="s">
        <v>39</v>
      </c>
      <c r="M972" s="1" t="s">
        <v>40</v>
      </c>
      <c r="N972" s="1" t="s">
        <v>79</v>
      </c>
      <c r="O972" s="1" t="s">
        <v>104</v>
      </c>
      <c r="P972" s="29">
        <v>68544.820000000007</v>
      </c>
      <c r="Q972" s="1" t="s">
        <v>85</v>
      </c>
      <c r="R972" s="1">
        <v>9</v>
      </c>
      <c r="S972" s="1">
        <v>365</v>
      </c>
      <c r="T972" s="1">
        <v>26.6</v>
      </c>
      <c r="U972" s="1" t="s">
        <v>44</v>
      </c>
      <c r="V972" s="17" t="s">
        <v>45</v>
      </c>
    </row>
    <row r="973" spans="1:22" ht="15" customHeight="1" x14ac:dyDescent="0.25">
      <c r="A973" s="16" t="s">
        <v>1910</v>
      </c>
      <c r="B973" s="3" t="s">
        <v>1911</v>
      </c>
      <c r="C973">
        <v>60</v>
      </c>
      <c r="D973" s="3" t="s">
        <v>59</v>
      </c>
      <c r="E973" s="3" t="s">
        <v>23</v>
      </c>
      <c r="F973" s="3" t="s">
        <v>76</v>
      </c>
      <c r="G973" s="3" t="s">
        <v>77</v>
      </c>
      <c r="H973" s="3" t="s">
        <v>26</v>
      </c>
      <c r="I973" s="6">
        <v>44108</v>
      </c>
      <c r="J973" s="8">
        <v>43938</v>
      </c>
      <c r="K973" s="3">
        <v>7</v>
      </c>
      <c r="L973" s="3" t="s">
        <v>89</v>
      </c>
      <c r="M973" s="3" t="s">
        <v>90</v>
      </c>
      <c r="N973" s="3" t="s">
        <v>94</v>
      </c>
      <c r="O973" s="3" t="s">
        <v>42</v>
      </c>
      <c r="P973" s="30">
        <v>102982.47</v>
      </c>
      <c r="Q973" s="3" t="s">
        <v>91</v>
      </c>
      <c r="R973" s="3">
        <v>10</v>
      </c>
      <c r="S973" s="3">
        <v>301</v>
      </c>
      <c r="T973" s="3">
        <v>33.9</v>
      </c>
      <c r="U973" s="3" t="s">
        <v>32</v>
      </c>
      <c r="V973" s="18" t="s">
        <v>45</v>
      </c>
    </row>
    <row r="974" spans="1:22" ht="15" customHeight="1" x14ac:dyDescent="0.25">
      <c r="A974" s="15" t="s">
        <v>1912</v>
      </c>
      <c r="B974" s="1" t="s">
        <v>1913</v>
      </c>
      <c r="C974">
        <v>86</v>
      </c>
      <c r="D974" s="1" t="s">
        <v>36</v>
      </c>
      <c r="E974" s="1" t="s">
        <v>48</v>
      </c>
      <c r="F974" s="1" t="s">
        <v>76</v>
      </c>
      <c r="G974" s="1" t="s">
        <v>163</v>
      </c>
      <c r="H974" s="1" t="s">
        <v>51</v>
      </c>
      <c r="I974" s="7">
        <v>43789</v>
      </c>
      <c r="J974" s="7">
        <v>43792</v>
      </c>
      <c r="K974" s="1">
        <v>3</v>
      </c>
      <c r="L974" s="1" t="s">
        <v>132</v>
      </c>
      <c r="M974" s="1" t="s">
        <v>53</v>
      </c>
      <c r="N974" s="1" t="s">
        <v>346</v>
      </c>
      <c r="O974" s="1" t="s">
        <v>42</v>
      </c>
      <c r="P974" s="29">
        <v>39702.160000000003</v>
      </c>
      <c r="Q974" s="1" t="s">
        <v>259</v>
      </c>
      <c r="R974" s="1">
        <v>4</v>
      </c>
      <c r="S974" s="1">
        <v>134</v>
      </c>
      <c r="T974" s="1">
        <v>25.4</v>
      </c>
      <c r="U974" s="1" t="s">
        <v>44</v>
      </c>
      <c r="V974" s="17" t="s">
        <v>33</v>
      </c>
    </row>
    <row r="975" spans="1:22" ht="15" customHeight="1" x14ac:dyDescent="0.25">
      <c r="A975" s="16" t="s">
        <v>1914</v>
      </c>
      <c r="B975" s="3" t="s">
        <v>1915</v>
      </c>
      <c r="C975">
        <v>89</v>
      </c>
      <c r="D975" s="3" t="s">
        <v>36</v>
      </c>
      <c r="E975" s="3" t="s">
        <v>48</v>
      </c>
      <c r="F975" s="3" t="s">
        <v>37</v>
      </c>
      <c r="G975" s="3" t="s">
        <v>25</v>
      </c>
      <c r="H975" s="3" t="s">
        <v>51</v>
      </c>
      <c r="I975" s="8">
        <v>45012</v>
      </c>
      <c r="J975" s="8">
        <v>45142</v>
      </c>
      <c r="K975" s="3">
        <v>12</v>
      </c>
      <c r="L975" s="3" t="s">
        <v>89</v>
      </c>
      <c r="M975" s="3" t="s">
        <v>90</v>
      </c>
      <c r="N975" s="3" t="s">
        <v>248</v>
      </c>
      <c r="O975" s="3" t="s">
        <v>30</v>
      </c>
      <c r="P975" s="30">
        <v>79298.66</v>
      </c>
      <c r="Q975" s="3" t="s">
        <v>515</v>
      </c>
      <c r="R975" s="3">
        <v>11</v>
      </c>
      <c r="S975" s="3">
        <v>175</v>
      </c>
      <c r="T975" s="4"/>
      <c r="U975" s="3" t="s">
        <v>44</v>
      </c>
      <c r="V975" s="18" t="s">
        <v>33</v>
      </c>
    </row>
    <row r="976" spans="1:22" ht="15" customHeight="1" x14ac:dyDescent="0.25">
      <c r="A976" s="15" t="s">
        <v>1916</v>
      </c>
      <c r="B976" s="1" t="s">
        <v>1917</v>
      </c>
      <c r="C976">
        <v>35</v>
      </c>
      <c r="D976" s="1" t="s">
        <v>98</v>
      </c>
      <c r="E976" s="1" t="s">
        <v>23</v>
      </c>
      <c r="F976" s="1" t="s">
        <v>155</v>
      </c>
      <c r="G976" s="1" t="s">
        <v>50</v>
      </c>
      <c r="H976" s="1" t="s">
        <v>51</v>
      </c>
      <c r="I976" s="7">
        <v>43931</v>
      </c>
      <c r="J976" s="7">
        <v>43937</v>
      </c>
      <c r="K976" s="1">
        <v>6</v>
      </c>
      <c r="L976" s="1" t="s">
        <v>52</v>
      </c>
      <c r="M976" s="1" t="s">
        <v>53</v>
      </c>
      <c r="N976" s="1" t="s">
        <v>116</v>
      </c>
      <c r="O976" s="1" t="s">
        <v>104</v>
      </c>
      <c r="P976" s="29">
        <v>9880.6200000000008</v>
      </c>
      <c r="Q976" s="1" t="s">
        <v>127</v>
      </c>
      <c r="R976" s="1">
        <v>7</v>
      </c>
      <c r="S976" s="1">
        <v>158</v>
      </c>
      <c r="T976" s="1">
        <v>28.5</v>
      </c>
      <c r="U976" s="1" t="s">
        <v>32</v>
      </c>
      <c r="V976" s="17" t="s">
        <v>33</v>
      </c>
    </row>
    <row r="977" spans="1:22" ht="15" customHeight="1" x14ac:dyDescent="0.25">
      <c r="A977" s="16" t="s">
        <v>1918</v>
      </c>
      <c r="B977" s="3" t="s">
        <v>1919</v>
      </c>
      <c r="C977">
        <v>57</v>
      </c>
      <c r="D977" s="3" t="s">
        <v>59</v>
      </c>
      <c r="E977" s="3" t="s">
        <v>23</v>
      </c>
      <c r="F977" s="3" t="s">
        <v>83</v>
      </c>
      <c r="G977" s="3" t="s">
        <v>60</v>
      </c>
      <c r="H977" s="3" t="s">
        <v>78</v>
      </c>
      <c r="I977" s="8">
        <v>43971</v>
      </c>
      <c r="J977" s="8">
        <v>43978</v>
      </c>
      <c r="K977" s="3">
        <v>7</v>
      </c>
      <c r="L977" s="3" t="s">
        <v>89</v>
      </c>
      <c r="M977" s="3" t="s">
        <v>90</v>
      </c>
      <c r="N977" s="3" t="s">
        <v>61</v>
      </c>
      <c r="O977" s="3" t="s">
        <v>104</v>
      </c>
      <c r="P977" s="30">
        <v>19838.68</v>
      </c>
      <c r="Q977" s="3" t="s">
        <v>511</v>
      </c>
      <c r="R977" s="3">
        <v>5</v>
      </c>
      <c r="S977" s="3">
        <v>241</v>
      </c>
      <c r="T977" s="3">
        <v>20.7</v>
      </c>
      <c r="U977" s="3" t="s">
        <v>32</v>
      </c>
      <c r="V977" s="18" t="s">
        <v>33</v>
      </c>
    </row>
    <row r="978" spans="1:22" ht="15" customHeight="1" x14ac:dyDescent="0.25">
      <c r="A978" s="15" t="s">
        <v>1920</v>
      </c>
      <c r="B978" s="2" t="s">
        <v>3636</v>
      </c>
      <c r="C978">
        <v>83</v>
      </c>
      <c r="D978" s="1" t="s">
        <v>36</v>
      </c>
      <c r="E978" s="1" t="s">
        <v>48</v>
      </c>
      <c r="F978" s="1" t="s">
        <v>24</v>
      </c>
      <c r="G978" s="1" t="s">
        <v>50</v>
      </c>
      <c r="H978" s="1" t="s">
        <v>51</v>
      </c>
      <c r="I978" s="7">
        <v>43781</v>
      </c>
      <c r="J978" s="7">
        <v>43784</v>
      </c>
      <c r="K978" s="1">
        <v>3</v>
      </c>
      <c r="L978" s="1" t="s">
        <v>122</v>
      </c>
      <c r="M978" s="1" t="s">
        <v>40</v>
      </c>
      <c r="N978" s="1" t="s">
        <v>116</v>
      </c>
      <c r="O978" s="1" t="s">
        <v>55</v>
      </c>
      <c r="P978" s="29">
        <v>32943.589999999997</v>
      </c>
      <c r="Q978" s="1" t="s">
        <v>351</v>
      </c>
      <c r="R978" s="1">
        <v>8</v>
      </c>
      <c r="S978" s="1">
        <v>165</v>
      </c>
      <c r="T978" s="1">
        <v>27.8</v>
      </c>
      <c r="U978" s="1" t="s">
        <v>32</v>
      </c>
      <c r="V978" s="17" t="s">
        <v>45</v>
      </c>
    </row>
    <row r="979" spans="1:22" ht="15" customHeight="1" x14ac:dyDescent="0.25">
      <c r="A979" s="16" t="s">
        <v>1921</v>
      </c>
      <c r="B979" s="3" t="s">
        <v>1922</v>
      </c>
      <c r="C979">
        <v>28</v>
      </c>
      <c r="D979" s="3" t="s">
        <v>47</v>
      </c>
      <c r="E979" s="3" t="s">
        <v>23</v>
      </c>
      <c r="F979" s="3" t="s">
        <v>37</v>
      </c>
      <c r="G979" s="3" t="s">
        <v>163</v>
      </c>
      <c r="H979" s="3" t="s">
        <v>26</v>
      </c>
      <c r="I979" s="6">
        <v>45587</v>
      </c>
      <c r="J979" s="8">
        <v>45595</v>
      </c>
      <c r="K979" s="3">
        <v>8</v>
      </c>
      <c r="L979" s="3" t="s">
        <v>102</v>
      </c>
      <c r="M979" s="3" t="s">
        <v>28</v>
      </c>
      <c r="N979" s="3" t="s">
        <v>346</v>
      </c>
      <c r="O979" s="3" t="s">
        <v>104</v>
      </c>
      <c r="P979" s="30">
        <v>25477.18</v>
      </c>
      <c r="Q979" s="3" t="s">
        <v>259</v>
      </c>
      <c r="R979" s="3">
        <v>3</v>
      </c>
      <c r="S979" s="3">
        <v>159</v>
      </c>
      <c r="T979" s="3">
        <v>25.5</v>
      </c>
      <c r="U979" s="3" t="s">
        <v>32</v>
      </c>
      <c r="V979" s="18" t="s">
        <v>33</v>
      </c>
    </row>
    <row r="980" spans="1:22" ht="15" customHeight="1" x14ac:dyDescent="0.25">
      <c r="A980" s="15" t="s">
        <v>1923</v>
      </c>
      <c r="B980" s="1" t="s">
        <v>1924</v>
      </c>
      <c r="C980">
        <v>83</v>
      </c>
      <c r="D980" s="1" t="s">
        <v>36</v>
      </c>
      <c r="E980" s="1" t="s">
        <v>48</v>
      </c>
      <c r="F980" s="1" t="s">
        <v>99</v>
      </c>
      <c r="G980" s="1" t="s">
        <v>25</v>
      </c>
      <c r="H980" s="1" t="s">
        <v>51</v>
      </c>
      <c r="I980" s="7">
        <v>45091</v>
      </c>
      <c r="J980" s="7">
        <v>45114</v>
      </c>
      <c r="K980" s="1">
        <v>23</v>
      </c>
      <c r="L980" s="1" t="s">
        <v>185</v>
      </c>
      <c r="M980" s="1" t="s">
        <v>186</v>
      </c>
      <c r="N980" s="1" t="s">
        <v>29</v>
      </c>
      <c r="O980" s="1" t="s">
        <v>30</v>
      </c>
      <c r="P980" s="29">
        <v>41865.67</v>
      </c>
      <c r="Q980" s="1" t="s">
        <v>515</v>
      </c>
      <c r="R980" s="1">
        <v>11</v>
      </c>
      <c r="S980" s="1">
        <v>164</v>
      </c>
      <c r="T980" s="1">
        <v>26.3</v>
      </c>
      <c r="U980" s="1" t="s">
        <v>44</v>
      </c>
      <c r="V980" s="17" t="s">
        <v>33</v>
      </c>
    </row>
    <row r="981" spans="1:22" ht="15" customHeight="1" x14ac:dyDescent="0.25">
      <c r="A981" s="16" t="s">
        <v>1925</v>
      </c>
      <c r="B981" s="3" t="s">
        <v>1926</v>
      </c>
      <c r="C981">
        <v>73</v>
      </c>
      <c r="D981" s="3" t="s">
        <v>82</v>
      </c>
      <c r="E981" s="3" t="s">
        <v>23</v>
      </c>
      <c r="F981" s="3" t="s">
        <v>49</v>
      </c>
      <c r="G981" s="3" t="s">
        <v>25</v>
      </c>
      <c r="H981" s="3" t="s">
        <v>78</v>
      </c>
      <c r="I981" s="6">
        <v>43882</v>
      </c>
      <c r="J981" s="8">
        <v>43900</v>
      </c>
      <c r="K981" s="3">
        <v>18</v>
      </c>
      <c r="L981" s="3" t="s">
        <v>102</v>
      </c>
      <c r="M981" s="3" t="s">
        <v>28</v>
      </c>
      <c r="N981" s="3" t="s">
        <v>248</v>
      </c>
      <c r="O981" s="3" t="s">
        <v>104</v>
      </c>
      <c r="P981" s="30">
        <v>64919.85</v>
      </c>
      <c r="Q981" s="3" t="s">
        <v>322</v>
      </c>
      <c r="R981" s="3">
        <v>11</v>
      </c>
      <c r="S981" s="3">
        <v>261</v>
      </c>
      <c r="T981" s="3">
        <v>30.5</v>
      </c>
      <c r="U981" s="3" t="s">
        <v>44</v>
      </c>
      <c r="V981" s="18" t="s">
        <v>33</v>
      </c>
    </row>
    <row r="982" spans="1:22" ht="15" customHeight="1" x14ac:dyDescent="0.25">
      <c r="A982" s="15" t="s">
        <v>1927</v>
      </c>
      <c r="B982" s="1" t="s">
        <v>1928</v>
      </c>
      <c r="C982">
        <v>57</v>
      </c>
      <c r="D982" s="1" t="s">
        <v>59</v>
      </c>
      <c r="E982" s="1" t="s">
        <v>48</v>
      </c>
      <c r="F982" s="1" t="s">
        <v>70</v>
      </c>
      <c r="G982" s="1" t="s">
        <v>50</v>
      </c>
      <c r="H982" s="1" t="s">
        <v>51</v>
      </c>
      <c r="I982" s="7">
        <v>44070</v>
      </c>
      <c r="J982" s="7">
        <v>44077</v>
      </c>
      <c r="K982" s="1">
        <v>7</v>
      </c>
      <c r="L982" s="1" t="s">
        <v>89</v>
      </c>
      <c r="M982" s="1" t="s">
        <v>90</v>
      </c>
      <c r="N982" s="1" t="s">
        <v>54</v>
      </c>
      <c r="O982" s="1" t="s">
        <v>66</v>
      </c>
      <c r="P982" s="29">
        <v>20440</v>
      </c>
      <c r="Q982" s="1" t="s">
        <v>85</v>
      </c>
      <c r="R982" s="1">
        <v>8</v>
      </c>
      <c r="S982" s="1">
        <v>157</v>
      </c>
      <c r="T982" s="1">
        <v>37.299999999999997</v>
      </c>
      <c r="U982" s="1" t="s">
        <v>44</v>
      </c>
      <c r="V982" s="17" t="s">
        <v>33</v>
      </c>
    </row>
    <row r="983" spans="1:22" ht="15" customHeight="1" x14ac:dyDescent="0.25">
      <c r="A983" s="16" t="s">
        <v>1929</v>
      </c>
      <c r="B983" s="3" t="s">
        <v>1930</v>
      </c>
      <c r="C983">
        <v>74</v>
      </c>
      <c r="D983" s="3" t="s">
        <v>82</v>
      </c>
      <c r="E983" s="3" t="s">
        <v>48</v>
      </c>
      <c r="F983" s="2" t="s">
        <v>3714</v>
      </c>
      <c r="G983" s="3" t="s">
        <v>25</v>
      </c>
      <c r="H983" s="3" t="s">
        <v>51</v>
      </c>
      <c r="I983" s="6">
        <v>45510</v>
      </c>
      <c r="J983" s="8">
        <v>45518</v>
      </c>
      <c r="K983" s="3">
        <v>8</v>
      </c>
      <c r="L983" s="3" t="s">
        <v>102</v>
      </c>
      <c r="M983" s="3" t="s">
        <v>28</v>
      </c>
      <c r="N983" s="3" t="s">
        <v>248</v>
      </c>
      <c r="O983" s="3" t="s">
        <v>42</v>
      </c>
      <c r="P983" s="30">
        <v>83717.440000000002</v>
      </c>
      <c r="Q983" s="3" t="s">
        <v>105</v>
      </c>
      <c r="R983" s="3">
        <v>12</v>
      </c>
      <c r="S983" s="3">
        <v>191</v>
      </c>
      <c r="T983" s="3">
        <v>21.5</v>
      </c>
      <c r="U983" s="3" t="s">
        <v>44</v>
      </c>
      <c r="V983" s="18" t="s">
        <v>33</v>
      </c>
    </row>
    <row r="984" spans="1:22" ht="15" customHeight="1" x14ac:dyDescent="0.25">
      <c r="A984" s="15" t="s">
        <v>1931</v>
      </c>
      <c r="B984" s="1" t="s">
        <v>1932</v>
      </c>
      <c r="C984">
        <v>67</v>
      </c>
      <c r="D984" s="1" t="s">
        <v>82</v>
      </c>
      <c r="E984" s="1" t="s">
        <v>23</v>
      </c>
      <c r="F984" s="1" t="s">
        <v>83</v>
      </c>
      <c r="G984" s="1" t="s">
        <v>50</v>
      </c>
      <c r="H984" s="1" t="s">
        <v>78</v>
      </c>
      <c r="I984" s="7">
        <v>44315</v>
      </c>
      <c r="J984" s="7">
        <v>44413</v>
      </c>
      <c r="K984" s="1">
        <v>9</v>
      </c>
      <c r="L984" s="1" t="s">
        <v>185</v>
      </c>
      <c r="M984" s="1" t="s">
        <v>186</v>
      </c>
      <c r="N984" s="1" t="s">
        <v>126</v>
      </c>
      <c r="O984" s="1" t="s">
        <v>104</v>
      </c>
      <c r="P984" s="29">
        <v>42903.1</v>
      </c>
      <c r="Q984" s="1" t="s">
        <v>85</v>
      </c>
      <c r="R984" s="1">
        <v>7</v>
      </c>
      <c r="S984" s="1">
        <v>198</v>
      </c>
      <c r="T984" s="1">
        <v>26.7</v>
      </c>
      <c r="U984" s="1" t="s">
        <v>44</v>
      </c>
      <c r="V984" s="17" t="s">
        <v>33</v>
      </c>
    </row>
    <row r="985" spans="1:22" ht="15" customHeight="1" x14ac:dyDescent="0.25">
      <c r="A985" s="16" t="s">
        <v>1933</v>
      </c>
      <c r="B985" s="3" t="s">
        <v>1934</v>
      </c>
      <c r="C985">
        <v>73</v>
      </c>
      <c r="D985" s="3" t="s">
        <v>82</v>
      </c>
      <c r="E985" s="3" t="s">
        <v>23</v>
      </c>
      <c r="F985" s="3" t="s">
        <v>76</v>
      </c>
      <c r="G985" s="3" t="s">
        <v>38</v>
      </c>
      <c r="H985" s="3" t="s">
        <v>78</v>
      </c>
      <c r="I985" s="6">
        <v>44294</v>
      </c>
      <c r="J985" s="8">
        <v>44385</v>
      </c>
      <c r="K985" s="3">
        <v>3</v>
      </c>
      <c r="L985" s="3" t="s">
        <v>231</v>
      </c>
      <c r="M985" s="3" t="s">
        <v>53</v>
      </c>
      <c r="N985" s="3" t="s">
        <v>41</v>
      </c>
      <c r="O985" s="3" t="s">
        <v>104</v>
      </c>
      <c r="P985" s="30">
        <v>6554.68</v>
      </c>
      <c r="Q985" s="3" t="s">
        <v>43</v>
      </c>
      <c r="R985" s="3">
        <v>7</v>
      </c>
      <c r="S985" s="3">
        <v>103</v>
      </c>
      <c r="T985" s="3">
        <v>22.2</v>
      </c>
      <c r="U985" s="3" t="s">
        <v>44</v>
      </c>
      <c r="V985" s="18" t="s">
        <v>33</v>
      </c>
    </row>
    <row r="986" spans="1:22" ht="15" customHeight="1" x14ac:dyDescent="0.25">
      <c r="A986" s="15" t="s">
        <v>1935</v>
      </c>
      <c r="B986" s="1" t="s">
        <v>1936</v>
      </c>
      <c r="C986">
        <v>55</v>
      </c>
      <c r="D986" s="1" t="s">
        <v>59</v>
      </c>
      <c r="E986" s="1" t="s">
        <v>48</v>
      </c>
      <c r="F986" s="1" t="s">
        <v>99</v>
      </c>
      <c r="G986" s="1" t="s">
        <v>77</v>
      </c>
      <c r="H986" s="1" t="s">
        <v>26</v>
      </c>
      <c r="I986" s="7">
        <v>45334</v>
      </c>
      <c r="J986" s="7">
        <v>45343</v>
      </c>
      <c r="K986" s="1">
        <v>9</v>
      </c>
      <c r="L986" s="1" t="s">
        <v>52</v>
      </c>
      <c r="M986" s="1" t="s">
        <v>53</v>
      </c>
      <c r="N986" s="1" t="s">
        <v>84</v>
      </c>
      <c r="O986" s="1" t="s">
        <v>42</v>
      </c>
      <c r="P986" s="29">
        <v>92361.83</v>
      </c>
      <c r="Q986" s="1" t="s">
        <v>223</v>
      </c>
      <c r="R986" s="1">
        <v>10</v>
      </c>
      <c r="S986" s="1">
        <v>374</v>
      </c>
      <c r="T986" s="1">
        <v>34.299999999999997</v>
      </c>
      <c r="U986" s="1" t="s">
        <v>44</v>
      </c>
      <c r="V986" s="17" t="s">
        <v>33</v>
      </c>
    </row>
    <row r="987" spans="1:22" ht="15" customHeight="1" x14ac:dyDescent="0.25">
      <c r="A987" s="16" t="s">
        <v>1937</v>
      </c>
      <c r="B987" s="2" t="s">
        <v>3637</v>
      </c>
      <c r="C987">
        <v>70</v>
      </c>
      <c r="D987" s="3" t="s">
        <v>82</v>
      </c>
      <c r="E987" s="3" t="s">
        <v>48</v>
      </c>
      <c r="F987" s="3" t="s">
        <v>155</v>
      </c>
      <c r="G987" s="3" t="s">
        <v>50</v>
      </c>
      <c r="H987" s="3" t="s">
        <v>26</v>
      </c>
      <c r="I987" s="8">
        <v>43873</v>
      </c>
      <c r="J987" s="8">
        <v>43880</v>
      </c>
      <c r="K987" s="3">
        <v>7</v>
      </c>
      <c r="L987" s="3" t="s">
        <v>102</v>
      </c>
      <c r="M987" s="3" t="s">
        <v>28</v>
      </c>
      <c r="N987" s="3" t="s">
        <v>116</v>
      </c>
      <c r="O987" s="3" t="s">
        <v>30</v>
      </c>
      <c r="P987" s="30">
        <v>43028.51</v>
      </c>
      <c r="Q987" s="3" t="s">
        <v>194</v>
      </c>
      <c r="R987" s="3">
        <v>9</v>
      </c>
      <c r="S987" s="3">
        <v>330</v>
      </c>
      <c r="T987" s="3">
        <v>24</v>
      </c>
      <c r="U987" s="3" t="s">
        <v>32</v>
      </c>
      <c r="V987" s="18" t="s">
        <v>45</v>
      </c>
    </row>
    <row r="988" spans="1:22" ht="15" customHeight="1" x14ac:dyDescent="0.25">
      <c r="A988" s="15" t="s">
        <v>1938</v>
      </c>
      <c r="B988" s="1" t="s">
        <v>1400</v>
      </c>
      <c r="C988">
        <v>50</v>
      </c>
      <c r="D988" s="1" t="s">
        <v>98</v>
      </c>
      <c r="E988" s="1" t="s">
        <v>48</v>
      </c>
      <c r="F988" s="1" t="s">
        <v>24</v>
      </c>
      <c r="G988" s="1" t="s">
        <v>77</v>
      </c>
      <c r="H988" s="1" t="s">
        <v>26</v>
      </c>
      <c r="I988" s="6">
        <v>43924</v>
      </c>
      <c r="J988" s="7">
        <v>43934</v>
      </c>
      <c r="K988" s="1">
        <v>10</v>
      </c>
      <c r="L988" s="1" t="s">
        <v>231</v>
      </c>
      <c r="M988" s="1" t="s">
        <v>53</v>
      </c>
      <c r="N988" s="1" t="s">
        <v>79</v>
      </c>
      <c r="O988" s="1" t="s">
        <v>55</v>
      </c>
      <c r="P988" s="29">
        <v>156565.82999999999</v>
      </c>
      <c r="Q988" s="1" t="s">
        <v>85</v>
      </c>
      <c r="R988" s="1">
        <v>7</v>
      </c>
      <c r="S988" s="1">
        <v>363</v>
      </c>
      <c r="T988" s="1">
        <v>40.6</v>
      </c>
      <c r="U988" s="1" t="s">
        <v>86</v>
      </c>
      <c r="V988" s="17" t="s">
        <v>33</v>
      </c>
    </row>
    <row r="989" spans="1:22" ht="15" customHeight="1" x14ac:dyDescent="0.25">
      <c r="A989" s="16" t="s">
        <v>1939</v>
      </c>
      <c r="B989" s="3" t="s">
        <v>715</v>
      </c>
      <c r="C989">
        <v>82</v>
      </c>
      <c r="D989" s="3" t="s">
        <v>36</v>
      </c>
      <c r="E989" s="3" t="s">
        <v>48</v>
      </c>
      <c r="F989" s="3" t="s">
        <v>99</v>
      </c>
      <c r="G989" s="3" t="s">
        <v>587</v>
      </c>
      <c r="H989" s="3" t="s">
        <v>26</v>
      </c>
      <c r="I989" s="8">
        <v>45235</v>
      </c>
      <c r="J989" s="8">
        <v>45255</v>
      </c>
      <c r="K989" s="3">
        <v>20</v>
      </c>
      <c r="L989" s="3" t="s">
        <v>27</v>
      </c>
      <c r="M989" s="3" t="s">
        <v>28</v>
      </c>
      <c r="N989" s="3" t="s">
        <v>29</v>
      </c>
      <c r="O989" s="3" t="s">
        <v>104</v>
      </c>
      <c r="P989" s="30">
        <v>260468</v>
      </c>
      <c r="Q989" s="3" t="s">
        <v>515</v>
      </c>
      <c r="R989" s="3">
        <v>12</v>
      </c>
      <c r="S989" s="3">
        <v>446</v>
      </c>
      <c r="T989" s="3">
        <v>33.6</v>
      </c>
      <c r="U989" s="3" t="s">
        <v>44</v>
      </c>
      <c r="V989" s="18" t="s">
        <v>45</v>
      </c>
    </row>
    <row r="990" spans="1:22" ht="15" customHeight="1" x14ac:dyDescent="0.25">
      <c r="A990" s="15" t="s">
        <v>1940</v>
      </c>
      <c r="B990" s="2" t="s">
        <v>3638</v>
      </c>
      <c r="C990">
        <v>26</v>
      </c>
      <c r="D990" s="1" t="s">
        <v>47</v>
      </c>
      <c r="E990" s="1" t="s">
        <v>23</v>
      </c>
      <c r="F990" s="1" t="s">
        <v>76</v>
      </c>
      <c r="G990" s="1" t="s">
        <v>77</v>
      </c>
      <c r="H990" s="1" t="s">
        <v>26</v>
      </c>
      <c r="I990" s="7">
        <v>45648</v>
      </c>
      <c r="J990" s="7">
        <v>45660</v>
      </c>
      <c r="K990" s="1">
        <v>12</v>
      </c>
      <c r="L990" s="1" t="s">
        <v>27</v>
      </c>
      <c r="M990" s="1" t="s">
        <v>28</v>
      </c>
      <c r="N990" s="1" t="s">
        <v>94</v>
      </c>
      <c r="O990" s="1" t="s">
        <v>30</v>
      </c>
      <c r="P990" s="29">
        <v>47739</v>
      </c>
      <c r="Q990" s="1" t="s">
        <v>95</v>
      </c>
      <c r="R990" s="1">
        <v>10</v>
      </c>
      <c r="S990" s="1">
        <v>339</v>
      </c>
      <c r="T990" s="1">
        <v>34.799999999999997</v>
      </c>
      <c r="U990" s="1" t="s">
        <v>44</v>
      </c>
      <c r="V990" s="17" t="s">
        <v>45</v>
      </c>
    </row>
    <row r="991" spans="1:22" ht="15" customHeight="1" x14ac:dyDescent="0.25">
      <c r="A991" s="16" t="s">
        <v>1941</v>
      </c>
      <c r="B991" s="2" t="s">
        <v>1591</v>
      </c>
      <c r="C991">
        <v>69</v>
      </c>
      <c r="D991" s="3" t="s">
        <v>82</v>
      </c>
      <c r="E991" s="3" t="s">
        <v>48</v>
      </c>
      <c r="F991" s="3" t="s">
        <v>76</v>
      </c>
      <c r="G991" s="3" t="s">
        <v>71</v>
      </c>
      <c r="H991" s="3" t="s">
        <v>51</v>
      </c>
      <c r="I991" s="8">
        <v>44833</v>
      </c>
      <c r="J991" s="8">
        <v>44661</v>
      </c>
      <c r="K991" s="3">
        <v>5</v>
      </c>
      <c r="L991" s="3" t="s">
        <v>89</v>
      </c>
      <c r="M991" s="3" t="s">
        <v>90</v>
      </c>
      <c r="N991" s="3" t="s">
        <v>72</v>
      </c>
      <c r="O991" s="3" t="s">
        <v>30</v>
      </c>
      <c r="P991" s="30">
        <v>7737.62</v>
      </c>
      <c r="Q991" s="3" t="s">
        <v>170</v>
      </c>
      <c r="R991" s="3">
        <v>5</v>
      </c>
      <c r="S991" s="3">
        <v>162</v>
      </c>
      <c r="T991" s="3">
        <v>31.2</v>
      </c>
      <c r="U991" s="3" t="s">
        <v>32</v>
      </c>
      <c r="V991" s="18" t="s">
        <v>33</v>
      </c>
    </row>
    <row r="992" spans="1:22" ht="15" customHeight="1" x14ac:dyDescent="0.25">
      <c r="A992" s="15" t="s">
        <v>1942</v>
      </c>
      <c r="B992" s="1" t="s">
        <v>1943</v>
      </c>
      <c r="C992">
        <v>73</v>
      </c>
      <c r="D992" s="1" t="s">
        <v>82</v>
      </c>
      <c r="E992" s="1" t="s">
        <v>48</v>
      </c>
      <c r="F992" s="2" t="s">
        <v>37</v>
      </c>
      <c r="G992" s="1" t="s">
        <v>50</v>
      </c>
      <c r="H992" s="1" t="s">
        <v>26</v>
      </c>
      <c r="I992" s="7">
        <v>44985</v>
      </c>
      <c r="J992" s="7">
        <v>44997</v>
      </c>
      <c r="K992" s="1">
        <v>12</v>
      </c>
      <c r="L992" s="1" t="s">
        <v>132</v>
      </c>
      <c r="M992" s="1" t="s">
        <v>53</v>
      </c>
      <c r="N992" s="1" t="s">
        <v>54</v>
      </c>
      <c r="O992" s="1" t="s">
        <v>104</v>
      </c>
      <c r="P992" s="29">
        <v>35575.64</v>
      </c>
      <c r="Q992" s="1" t="s">
        <v>623</v>
      </c>
      <c r="R992" s="1">
        <v>9</v>
      </c>
      <c r="S992" s="1">
        <v>375</v>
      </c>
      <c r="T992" s="1">
        <v>26.1</v>
      </c>
      <c r="U992" s="1" t="s">
        <v>32</v>
      </c>
      <c r="V992" s="17" t="s">
        <v>33</v>
      </c>
    </row>
    <row r="993" spans="1:22" ht="15" customHeight="1" x14ac:dyDescent="0.25">
      <c r="A993" s="16" t="s">
        <v>1944</v>
      </c>
      <c r="B993" s="3" t="s">
        <v>1945</v>
      </c>
      <c r="C993">
        <v>66</v>
      </c>
      <c r="D993" s="3" t="s">
        <v>82</v>
      </c>
      <c r="E993" s="3" t="s">
        <v>48</v>
      </c>
      <c r="F993" s="3" t="s">
        <v>24</v>
      </c>
      <c r="G993" s="3" t="s">
        <v>71</v>
      </c>
      <c r="H993" s="3" t="s">
        <v>51</v>
      </c>
      <c r="I993" s="8">
        <v>45115</v>
      </c>
      <c r="J993" s="8">
        <v>45119</v>
      </c>
      <c r="K993" s="3">
        <v>4</v>
      </c>
      <c r="L993" s="3" t="s">
        <v>27</v>
      </c>
      <c r="M993" s="3" t="s">
        <v>28</v>
      </c>
      <c r="N993" s="3" t="s">
        <v>312</v>
      </c>
      <c r="O993" s="3" t="s">
        <v>42</v>
      </c>
      <c r="P993" s="30">
        <v>22973.63</v>
      </c>
      <c r="Q993" s="3" t="s">
        <v>374</v>
      </c>
      <c r="R993" s="3">
        <v>3</v>
      </c>
      <c r="S993" s="3">
        <v>192</v>
      </c>
      <c r="T993" s="3">
        <v>25.5</v>
      </c>
      <c r="U993" s="3" t="s">
        <v>32</v>
      </c>
      <c r="V993" s="18" t="s">
        <v>33</v>
      </c>
    </row>
    <row r="994" spans="1:22" ht="15" customHeight="1" x14ac:dyDescent="0.25">
      <c r="A994" s="15" t="s">
        <v>1946</v>
      </c>
      <c r="B994" s="1" t="s">
        <v>439</v>
      </c>
      <c r="C994">
        <v>42</v>
      </c>
      <c r="D994" s="1" t="s">
        <v>98</v>
      </c>
      <c r="E994" s="1" t="s">
        <v>48</v>
      </c>
      <c r="F994" s="1" t="s">
        <v>76</v>
      </c>
      <c r="G994" s="1" t="s">
        <v>131</v>
      </c>
      <c r="H994" s="1" t="s">
        <v>26</v>
      </c>
      <c r="I994" s="6">
        <v>45188</v>
      </c>
      <c r="J994" s="7">
        <v>45195</v>
      </c>
      <c r="K994" s="1">
        <v>7</v>
      </c>
      <c r="L994" s="1" t="s">
        <v>39</v>
      </c>
      <c r="M994" s="1" t="s">
        <v>40</v>
      </c>
      <c r="N994" s="1" t="s">
        <v>157</v>
      </c>
      <c r="O994" s="1" t="s">
        <v>30</v>
      </c>
      <c r="P994" s="29">
        <v>17378.849999999999</v>
      </c>
      <c r="Q994" s="1" t="s">
        <v>134</v>
      </c>
      <c r="R994" s="1">
        <v>6</v>
      </c>
      <c r="S994" s="1">
        <v>390</v>
      </c>
      <c r="T994" s="1">
        <v>26.7</v>
      </c>
      <c r="U994" s="1" t="s">
        <v>32</v>
      </c>
      <c r="V994" s="17" t="s">
        <v>33</v>
      </c>
    </row>
    <row r="995" spans="1:22" ht="15" customHeight="1" x14ac:dyDescent="0.25">
      <c r="A995" s="16" t="s">
        <v>1947</v>
      </c>
      <c r="B995" s="3" t="s">
        <v>1159</v>
      </c>
      <c r="C995">
        <v>92</v>
      </c>
      <c r="D995" s="3" t="s">
        <v>36</v>
      </c>
      <c r="E995" s="3" t="s">
        <v>48</v>
      </c>
      <c r="F995" s="3" t="s">
        <v>155</v>
      </c>
      <c r="G995" s="3" t="s">
        <v>60</v>
      </c>
      <c r="H995" s="3" t="s">
        <v>78</v>
      </c>
      <c r="I995" s="8">
        <v>43713</v>
      </c>
      <c r="J995" s="8">
        <v>43599</v>
      </c>
      <c r="K995" s="3">
        <v>5</v>
      </c>
      <c r="L995" s="3" t="s">
        <v>112</v>
      </c>
      <c r="M995" s="3" t="s">
        <v>40</v>
      </c>
      <c r="N995" s="3" t="s">
        <v>210</v>
      </c>
      <c r="O995" s="3" t="s">
        <v>66</v>
      </c>
      <c r="P995" s="30">
        <v>36766</v>
      </c>
      <c r="Q995" s="3" t="s">
        <v>137</v>
      </c>
      <c r="R995" s="3">
        <v>6</v>
      </c>
      <c r="S995" s="3">
        <v>148</v>
      </c>
      <c r="T995" s="3">
        <v>28.5</v>
      </c>
      <c r="U995" s="3" t="s">
        <v>44</v>
      </c>
      <c r="V995" s="18" t="s">
        <v>33</v>
      </c>
    </row>
    <row r="996" spans="1:22" ht="15" customHeight="1" x14ac:dyDescent="0.25">
      <c r="A996" s="15" t="s">
        <v>1948</v>
      </c>
      <c r="B996" s="1" t="s">
        <v>1949</v>
      </c>
      <c r="C996">
        <v>62</v>
      </c>
      <c r="D996" s="1" t="s">
        <v>59</v>
      </c>
      <c r="E996" s="1" t="s">
        <v>23</v>
      </c>
      <c r="F996" s="1" t="s">
        <v>155</v>
      </c>
      <c r="G996" s="1" t="s">
        <v>131</v>
      </c>
      <c r="H996" s="1" t="s">
        <v>26</v>
      </c>
      <c r="I996" s="6">
        <v>45504</v>
      </c>
      <c r="J996" s="7">
        <v>45330</v>
      </c>
      <c r="K996" s="1">
        <v>2</v>
      </c>
      <c r="L996" s="1" t="s">
        <v>112</v>
      </c>
      <c r="M996" s="1" t="s">
        <v>40</v>
      </c>
      <c r="N996" s="1" t="s">
        <v>133</v>
      </c>
      <c r="O996" s="1" t="s">
        <v>66</v>
      </c>
      <c r="P996" s="29">
        <v>41198.730000000003</v>
      </c>
      <c r="Q996" s="1" t="s">
        <v>266</v>
      </c>
      <c r="R996" s="1">
        <v>6</v>
      </c>
      <c r="S996" s="1">
        <v>339</v>
      </c>
      <c r="T996" s="1">
        <v>25.2</v>
      </c>
      <c r="U996" s="1" t="s">
        <v>44</v>
      </c>
      <c r="V996" s="17" t="s">
        <v>33</v>
      </c>
    </row>
    <row r="997" spans="1:22" ht="15" customHeight="1" x14ac:dyDescent="0.25">
      <c r="A997" s="16" t="s">
        <v>1950</v>
      </c>
      <c r="B997" s="3" t="s">
        <v>1951</v>
      </c>
      <c r="C997">
        <v>72</v>
      </c>
      <c r="D997" s="3" t="s">
        <v>82</v>
      </c>
      <c r="E997" s="3" t="s">
        <v>48</v>
      </c>
      <c r="F997" s="3" t="s">
        <v>99</v>
      </c>
      <c r="G997" s="3" t="s">
        <v>25</v>
      </c>
      <c r="H997" s="3" t="s">
        <v>26</v>
      </c>
      <c r="I997" s="8">
        <v>44398</v>
      </c>
      <c r="J997" s="8">
        <v>44410</v>
      </c>
      <c r="K997" s="3">
        <v>12</v>
      </c>
      <c r="L997" s="3" t="s">
        <v>122</v>
      </c>
      <c r="M997" s="3" t="s">
        <v>40</v>
      </c>
      <c r="N997" s="3" t="s">
        <v>65</v>
      </c>
      <c r="O997" s="3" t="s">
        <v>42</v>
      </c>
      <c r="P997" s="30">
        <v>280000</v>
      </c>
      <c r="Q997" s="3" t="s">
        <v>706</v>
      </c>
      <c r="R997" s="3">
        <v>11</v>
      </c>
      <c r="S997" s="3">
        <v>448</v>
      </c>
      <c r="T997" s="3">
        <v>21</v>
      </c>
      <c r="U997" s="3" t="s">
        <v>86</v>
      </c>
      <c r="V997" s="18" t="s">
        <v>45</v>
      </c>
    </row>
    <row r="998" spans="1:22" ht="15" customHeight="1" x14ac:dyDescent="0.25">
      <c r="A998" s="15" t="s">
        <v>1952</v>
      </c>
      <c r="B998" s="1" t="s">
        <v>1953</v>
      </c>
      <c r="C998">
        <v>42</v>
      </c>
      <c r="D998" s="1" t="s">
        <v>98</v>
      </c>
      <c r="E998" s="1" t="s">
        <v>23</v>
      </c>
      <c r="F998" s="1" t="s">
        <v>24</v>
      </c>
      <c r="G998" s="1" t="s">
        <v>60</v>
      </c>
      <c r="H998" s="1" t="s">
        <v>26</v>
      </c>
      <c r="I998" s="7">
        <v>44970</v>
      </c>
      <c r="J998" s="7">
        <v>44929</v>
      </c>
      <c r="K998" s="1">
        <v>16</v>
      </c>
      <c r="L998" s="1" t="s">
        <v>39</v>
      </c>
      <c r="M998" s="1" t="s">
        <v>40</v>
      </c>
      <c r="N998" s="1" t="s">
        <v>61</v>
      </c>
      <c r="O998" s="1" t="s">
        <v>30</v>
      </c>
      <c r="P998" s="29">
        <v>58342.48</v>
      </c>
      <c r="Q998" s="1" t="s">
        <v>170</v>
      </c>
      <c r="R998" s="1">
        <v>6</v>
      </c>
      <c r="S998" s="1">
        <v>261</v>
      </c>
      <c r="T998" s="1">
        <v>25</v>
      </c>
      <c r="U998" s="1" t="s">
        <v>32</v>
      </c>
      <c r="V998" s="17" t="s">
        <v>33</v>
      </c>
    </row>
    <row r="999" spans="1:22" ht="15" customHeight="1" x14ac:dyDescent="0.25">
      <c r="A999" s="16" t="s">
        <v>1954</v>
      </c>
      <c r="B999" s="3" t="s">
        <v>1955</v>
      </c>
      <c r="C999">
        <v>83</v>
      </c>
      <c r="D999" s="3" t="s">
        <v>36</v>
      </c>
      <c r="E999" s="3" t="s">
        <v>23</v>
      </c>
      <c r="F999" s="3" t="s">
        <v>99</v>
      </c>
      <c r="G999" s="3" t="s">
        <v>77</v>
      </c>
      <c r="H999" s="3" t="s">
        <v>26</v>
      </c>
      <c r="I999" s="8">
        <v>45615</v>
      </c>
      <c r="J999" s="8">
        <v>45619</v>
      </c>
      <c r="K999" s="3">
        <v>4</v>
      </c>
      <c r="L999" s="3" t="s">
        <v>122</v>
      </c>
      <c r="M999" s="3" t="s">
        <v>40</v>
      </c>
      <c r="N999" s="3" t="s">
        <v>79</v>
      </c>
      <c r="O999" s="3" t="s">
        <v>42</v>
      </c>
      <c r="P999" s="30">
        <v>135725.85</v>
      </c>
      <c r="Q999" s="3" t="s">
        <v>592</v>
      </c>
      <c r="R999" s="3">
        <v>6</v>
      </c>
      <c r="S999" s="3">
        <v>315</v>
      </c>
      <c r="T999" s="3">
        <v>36.4</v>
      </c>
      <c r="U999" s="3" t="s">
        <v>44</v>
      </c>
      <c r="V999" s="18" t="s">
        <v>45</v>
      </c>
    </row>
    <row r="1000" spans="1:22" ht="15" customHeight="1" x14ac:dyDescent="0.25">
      <c r="A1000" s="15" t="s">
        <v>1956</v>
      </c>
      <c r="B1000" s="1" t="s">
        <v>1710</v>
      </c>
      <c r="C1000">
        <v>74</v>
      </c>
      <c r="D1000" s="1" t="s">
        <v>82</v>
      </c>
      <c r="E1000" s="1" t="s">
        <v>48</v>
      </c>
      <c r="F1000" s="1" t="s">
        <v>99</v>
      </c>
      <c r="G1000" s="1" t="s">
        <v>131</v>
      </c>
      <c r="H1000" s="1" t="s">
        <v>26</v>
      </c>
      <c r="I1000" s="7">
        <v>44754</v>
      </c>
      <c r="J1000" s="7">
        <v>44757</v>
      </c>
      <c r="K1000" s="1">
        <v>3</v>
      </c>
      <c r="L1000" s="1" t="s">
        <v>102</v>
      </c>
      <c r="M1000" s="1" t="s">
        <v>28</v>
      </c>
      <c r="N1000" s="1" t="s">
        <v>133</v>
      </c>
      <c r="O1000" s="1" t="s">
        <v>55</v>
      </c>
      <c r="P1000" s="29">
        <v>38269.11</v>
      </c>
      <c r="Q1000" s="1" t="s">
        <v>134</v>
      </c>
      <c r="R1000" s="1">
        <v>7</v>
      </c>
      <c r="S1000" s="1">
        <v>324</v>
      </c>
      <c r="T1000" s="1">
        <v>31.9</v>
      </c>
      <c r="U1000" s="1" t="s">
        <v>44</v>
      </c>
      <c r="V1000" s="17" t="s">
        <v>45</v>
      </c>
    </row>
    <row r="1001" spans="1:22" ht="15" customHeight="1" x14ac:dyDescent="0.25">
      <c r="A1001" s="16" t="s">
        <v>1957</v>
      </c>
      <c r="B1001" s="3" t="s">
        <v>1958</v>
      </c>
      <c r="C1001">
        <v>55</v>
      </c>
      <c r="D1001" s="3" t="s">
        <v>59</v>
      </c>
      <c r="E1001" s="3" t="s">
        <v>48</v>
      </c>
      <c r="F1001" s="2" t="s">
        <v>99</v>
      </c>
      <c r="G1001" s="3" t="s">
        <v>77</v>
      </c>
      <c r="H1001" s="3" t="s">
        <v>26</v>
      </c>
      <c r="I1001" s="8">
        <v>45548</v>
      </c>
      <c r="J1001" s="8">
        <v>45566</v>
      </c>
      <c r="K1001" s="3">
        <v>18</v>
      </c>
      <c r="L1001" s="3" t="s">
        <v>27</v>
      </c>
      <c r="M1001" s="3" t="s">
        <v>28</v>
      </c>
      <c r="N1001" s="3" t="s">
        <v>79</v>
      </c>
      <c r="O1001" s="3" t="s">
        <v>30</v>
      </c>
      <c r="P1001" s="30">
        <v>59274.17</v>
      </c>
      <c r="Q1001" s="3" t="s">
        <v>100</v>
      </c>
      <c r="R1001" s="3">
        <v>8</v>
      </c>
      <c r="S1001" s="3">
        <v>306</v>
      </c>
      <c r="T1001" s="3">
        <v>31.1</v>
      </c>
      <c r="U1001" s="3" t="s">
        <v>32</v>
      </c>
      <c r="V1001" s="18" t="s">
        <v>33</v>
      </c>
    </row>
    <row r="1002" spans="1:22" ht="15" customHeight="1" x14ac:dyDescent="0.25">
      <c r="A1002" s="15" t="s">
        <v>1959</v>
      </c>
      <c r="B1002" s="1" t="s">
        <v>1960</v>
      </c>
      <c r="C1002">
        <v>44</v>
      </c>
      <c r="D1002" s="1" t="s">
        <v>98</v>
      </c>
      <c r="E1002" s="1" t="s">
        <v>48</v>
      </c>
      <c r="F1002" s="1" t="s">
        <v>83</v>
      </c>
      <c r="G1002" s="1" t="s">
        <v>417</v>
      </c>
      <c r="H1002" s="1" t="s">
        <v>51</v>
      </c>
      <c r="I1002" s="7">
        <v>44906</v>
      </c>
      <c r="J1002" s="10"/>
      <c r="K1002" s="1"/>
      <c r="L1002" s="1" t="s">
        <v>39</v>
      </c>
      <c r="M1002" s="1" t="s">
        <v>40</v>
      </c>
      <c r="N1002" s="1" t="s">
        <v>173</v>
      </c>
      <c r="O1002" s="1" t="s">
        <v>55</v>
      </c>
      <c r="P1002" s="29">
        <v>9975.7000000000007</v>
      </c>
      <c r="Q1002" s="1" t="s">
        <v>174</v>
      </c>
      <c r="R1002" s="1">
        <v>8</v>
      </c>
      <c r="S1002" s="1">
        <v>195</v>
      </c>
      <c r="T1002" s="4"/>
      <c r="U1002" s="1" t="s">
        <v>32</v>
      </c>
      <c r="V1002" s="17" t="s">
        <v>33</v>
      </c>
    </row>
    <row r="1003" spans="1:22" ht="15" customHeight="1" x14ac:dyDescent="0.25">
      <c r="A1003" s="16" t="s">
        <v>1961</v>
      </c>
      <c r="B1003" s="3" t="s">
        <v>200</v>
      </c>
      <c r="C1003">
        <v>57</v>
      </c>
      <c r="D1003" s="3" t="s">
        <v>59</v>
      </c>
      <c r="E1003" s="3" t="s">
        <v>23</v>
      </c>
      <c r="F1003" s="3" t="s">
        <v>37</v>
      </c>
      <c r="G1003" s="3" t="s">
        <v>25</v>
      </c>
      <c r="H1003" s="3" t="s">
        <v>26</v>
      </c>
      <c r="I1003" s="8">
        <v>44005</v>
      </c>
      <c r="J1003" s="8">
        <v>44019</v>
      </c>
      <c r="K1003" s="3">
        <v>14</v>
      </c>
      <c r="L1003" s="3" t="s">
        <v>231</v>
      </c>
      <c r="M1003" s="3" t="s">
        <v>53</v>
      </c>
      <c r="N1003" s="3" t="s">
        <v>248</v>
      </c>
      <c r="O1003" s="3" t="s">
        <v>30</v>
      </c>
      <c r="P1003" s="30">
        <v>138646.04999999999</v>
      </c>
      <c r="Q1003" s="3" t="s">
        <v>198</v>
      </c>
      <c r="R1003" s="3">
        <v>12</v>
      </c>
      <c r="S1003" s="3">
        <v>283</v>
      </c>
      <c r="T1003" s="3">
        <v>30.1</v>
      </c>
      <c r="U1003" s="3" t="s">
        <v>86</v>
      </c>
      <c r="V1003" s="18" t="s">
        <v>33</v>
      </c>
    </row>
    <row r="1004" spans="1:22" ht="15" customHeight="1" x14ac:dyDescent="0.25">
      <c r="A1004" s="15" t="s">
        <v>1962</v>
      </c>
      <c r="B1004" s="1" t="s">
        <v>1963</v>
      </c>
      <c r="C1004">
        <v>59</v>
      </c>
      <c r="D1004" s="1" t="s">
        <v>59</v>
      </c>
      <c r="E1004" s="1" t="s">
        <v>48</v>
      </c>
      <c r="F1004" s="1" t="s">
        <v>99</v>
      </c>
      <c r="G1004" s="1" t="s">
        <v>50</v>
      </c>
      <c r="H1004" s="1" t="s">
        <v>26</v>
      </c>
      <c r="I1004" s="6">
        <v>44916</v>
      </c>
      <c r="J1004" s="7">
        <v>44934</v>
      </c>
      <c r="K1004" s="1">
        <v>18</v>
      </c>
      <c r="L1004" s="1" t="s">
        <v>89</v>
      </c>
      <c r="M1004" s="1" t="s">
        <v>90</v>
      </c>
      <c r="N1004" s="1" t="s">
        <v>54</v>
      </c>
      <c r="O1004" s="1" t="s">
        <v>42</v>
      </c>
      <c r="P1004" s="29">
        <v>96469.96</v>
      </c>
      <c r="Q1004" s="1" t="s">
        <v>85</v>
      </c>
      <c r="R1004" s="1">
        <v>8</v>
      </c>
      <c r="S1004" s="1">
        <v>327</v>
      </c>
      <c r="T1004" s="1">
        <v>27.8</v>
      </c>
      <c r="U1004" s="1" t="s">
        <v>44</v>
      </c>
      <c r="V1004" s="17" t="s">
        <v>45</v>
      </c>
    </row>
    <row r="1005" spans="1:22" ht="15" customHeight="1" x14ac:dyDescent="0.25">
      <c r="A1005" s="16" t="s">
        <v>1964</v>
      </c>
      <c r="B1005" s="2" t="s">
        <v>3639</v>
      </c>
      <c r="C1005">
        <v>56</v>
      </c>
      <c r="D1005" s="3" t="s">
        <v>59</v>
      </c>
      <c r="E1005" s="3" t="s">
        <v>23</v>
      </c>
      <c r="F1005" s="2" t="s">
        <v>3714</v>
      </c>
      <c r="G1005" s="3" t="s">
        <v>71</v>
      </c>
      <c r="H1005" s="3" t="s">
        <v>78</v>
      </c>
      <c r="I1005" s="6">
        <v>44814</v>
      </c>
      <c r="J1005" s="8">
        <v>44846</v>
      </c>
      <c r="K1005" s="3">
        <v>3</v>
      </c>
      <c r="L1005" s="3" t="s">
        <v>89</v>
      </c>
      <c r="M1005" s="3" t="s">
        <v>90</v>
      </c>
      <c r="N1005" s="3" t="s">
        <v>177</v>
      </c>
      <c r="O1005" s="3" t="s">
        <v>66</v>
      </c>
      <c r="P1005" s="30">
        <v>17725.93</v>
      </c>
      <c r="Q1005" s="3" t="s">
        <v>170</v>
      </c>
      <c r="R1005" s="3">
        <v>5</v>
      </c>
      <c r="S1005" s="3">
        <v>249</v>
      </c>
      <c r="T1005" s="3">
        <v>24.8</v>
      </c>
      <c r="U1005" s="3" t="s">
        <v>32</v>
      </c>
      <c r="V1005" s="18" t="s">
        <v>33</v>
      </c>
    </row>
    <row r="1006" spans="1:22" ht="15" customHeight="1" x14ac:dyDescent="0.25">
      <c r="A1006" s="15" t="s">
        <v>1965</v>
      </c>
      <c r="B1006" s="1" t="s">
        <v>1966</v>
      </c>
      <c r="C1006">
        <v>79</v>
      </c>
      <c r="D1006" s="1" t="s">
        <v>36</v>
      </c>
      <c r="E1006" s="1" t="s">
        <v>23</v>
      </c>
      <c r="F1006" s="2" t="s">
        <v>155</v>
      </c>
      <c r="G1006" s="1" t="s">
        <v>665</v>
      </c>
      <c r="H1006" s="1" t="s">
        <v>26</v>
      </c>
      <c r="I1006" s="7">
        <v>44551</v>
      </c>
      <c r="J1006" s="7">
        <v>44558</v>
      </c>
      <c r="K1006" s="1">
        <v>7</v>
      </c>
      <c r="L1006" s="1" t="s">
        <v>89</v>
      </c>
      <c r="M1006" s="1" t="s">
        <v>90</v>
      </c>
      <c r="N1006" s="1" t="s">
        <v>116</v>
      </c>
      <c r="O1006" s="1" t="s">
        <v>30</v>
      </c>
      <c r="P1006" s="29">
        <v>83050.75</v>
      </c>
      <c r="Q1006" s="1" t="s">
        <v>623</v>
      </c>
      <c r="R1006" s="1">
        <v>4</v>
      </c>
      <c r="S1006" s="1">
        <v>300</v>
      </c>
      <c r="T1006" s="1">
        <v>23.7</v>
      </c>
      <c r="U1006" s="1" t="s">
        <v>32</v>
      </c>
      <c r="V1006" s="17" t="s">
        <v>33</v>
      </c>
    </row>
    <row r="1007" spans="1:22" ht="15" customHeight="1" x14ac:dyDescent="0.25">
      <c r="A1007" s="16" t="s">
        <v>1967</v>
      </c>
      <c r="B1007" s="3" t="s">
        <v>1968</v>
      </c>
      <c r="C1007">
        <v>69</v>
      </c>
      <c r="D1007" s="3" t="s">
        <v>82</v>
      </c>
      <c r="E1007" s="3" t="s">
        <v>48</v>
      </c>
      <c r="F1007" s="3" t="s">
        <v>83</v>
      </c>
      <c r="G1007" s="3" t="s">
        <v>77</v>
      </c>
      <c r="H1007" s="3" t="s">
        <v>51</v>
      </c>
      <c r="I1007" s="6">
        <v>44353</v>
      </c>
      <c r="J1007" s="8">
        <v>44362</v>
      </c>
      <c r="K1007" s="3">
        <v>9</v>
      </c>
      <c r="L1007" s="3" t="s">
        <v>52</v>
      </c>
      <c r="M1007" s="3" t="s">
        <v>53</v>
      </c>
      <c r="N1007" s="3" t="s">
        <v>84</v>
      </c>
      <c r="O1007" s="3" t="s">
        <v>42</v>
      </c>
      <c r="P1007" s="30">
        <v>62548</v>
      </c>
      <c r="Q1007" s="3" t="s">
        <v>223</v>
      </c>
      <c r="R1007" s="3">
        <v>10</v>
      </c>
      <c r="S1007" s="3">
        <v>116</v>
      </c>
      <c r="T1007" s="3">
        <v>30.3</v>
      </c>
      <c r="U1007" s="3" t="s">
        <v>86</v>
      </c>
      <c r="V1007" s="18" t="s">
        <v>45</v>
      </c>
    </row>
    <row r="1008" spans="1:22" ht="15" customHeight="1" x14ac:dyDescent="0.25">
      <c r="A1008" s="15" t="s">
        <v>1969</v>
      </c>
      <c r="B1008" s="1" t="s">
        <v>386</v>
      </c>
      <c r="C1008">
        <v>27</v>
      </c>
      <c r="D1008" s="1" t="s">
        <v>47</v>
      </c>
      <c r="E1008" s="1" t="s">
        <v>48</v>
      </c>
      <c r="F1008" s="1" t="s">
        <v>24</v>
      </c>
      <c r="G1008" s="1" t="s">
        <v>131</v>
      </c>
      <c r="H1008" s="1" t="s">
        <v>51</v>
      </c>
      <c r="I1008" s="7">
        <v>43575</v>
      </c>
      <c r="J1008" s="7">
        <v>43579</v>
      </c>
      <c r="K1008" s="1">
        <v>4</v>
      </c>
      <c r="L1008" s="1" t="s">
        <v>132</v>
      </c>
      <c r="M1008" s="1" t="s">
        <v>53</v>
      </c>
      <c r="N1008" s="1" t="s">
        <v>133</v>
      </c>
      <c r="O1008" s="1" t="s">
        <v>42</v>
      </c>
      <c r="P1008" s="29">
        <v>14657.36</v>
      </c>
      <c r="Q1008" s="1" t="s">
        <v>158</v>
      </c>
      <c r="R1008" s="1">
        <v>7</v>
      </c>
      <c r="S1008" s="1">
        <v>116</v>
      </c>
      <c r="T1008" s="1">
        <v>28.3</v>
      </c>
      <c r="U1008" s="1" t="s">
        <v>44</v>
      </c>
      <c r="V1008" s="17" t="s">
        <v>33</v>
      </c>
    </row>
    <row r="1009" spans="1:22" ht="15" customHeight="1" x14ac:dyDescent="0.25">
      <c r="A1009" s="16" t="s">
        <v>1970</v>
      </c>
      <c r="B1009" s="3" t="s">
        <v>1971</v>
      </c>
      <c r="C1009">
        <v>74</v>
      </c>
      <c r="D1009" s="3" t="s">
        <v>82</v>
      </c>
      <c r="E1009" s="3" t="s">
        <v>48</v>
      </c>
      <c r="F1009" s="3" t="s">
        <v>70</v>
      </c>
      <c r="G1009" s="3" t="s">
        <v>25</v>
      </c>
      <c r="H1009" s="3" t="s">
        <v>26</v>
      </c>
      <c r="I1009" s="8">
        <v>44271</v>
      </c>
      <c r="J1009" s="8">
        <v>44286</v>
      </c>
      <c r="K1009" s="3">
        <v>15</v>
      </c>
      <c r="L1009" s="3" t="s">
        <v>39</v>
      </c>
      <c r="M1009" s="3" t="s">
        <v>40</v>
      </c>
      <c r="N1009" s="3" t="s">
        <v>29</v>
      </c>
      <c r="O1009" s="3" t="s">
        <v>104</v>
      </c>
      <c r="P1009" s="30">
        <v>175302</v>
      </c>
      <c r="Q1009" s="3" t="s">
        <v>515</v>
      </c>
      <c r="R1009" s="3">
        <v>12</v>
      </c>
      <c r="S1009" s="3">
        <v>348</v>
      </c>
      <c r="T1009" s="4"/>
      <c r="U1009" s="3" t="s">
        <v>86</v>
      </c>
      <c r="V1009" s="18" t="s">
        <v>33</v>
      </c>
    </row>
    <row r="1010" spans="1:22" ht="15" customHeight="1" x14ac:dyDescent="0.25">
      <c r="A1010" s="15" t="s">
        <v>1972</v>
      </c>
      <c r="B1010" s="2" t="s">
        <v>674</v>
      </c>
      <c r="C1010">
        <v>74</v>
      </c>
      <c r="D1010" s="1" t="s">
        <v>82</v>
      </c>
      <c r="E1010" s="1" t="s">
        <v>48</v>
      </c>
      <c r="F1010" s="1" t="s">
        <v>24</v>
      </c>
      <c r="G1010" s="1" t="s">
        <v>60</v>
      </c>
      <c r="H1010" s="1" t="s">
        <v>78</v>
      </c>
      <c r="I1010" s="7">
        <v>45066</v>
      </c>
      <c r="J1010" s="7">
        <v>45070</v>
      </c>
      <c r="K1010" s="1">
        <v>4</v>
      </c>
      <c r="L1010" s="1" t="s">
        <v>52</v>
      </c>
      <c r="M1010" s="1" t="s">
        <v>53</v>
      </c>
      <c r="N1010" s="1" t="s">
        <v>103</v>
      </c>
      <c r="O1010" s="1" t="s">
        <v>55</v>
      </c>
      <c r="P1010" s="29">
        <v>58135.68</v>
      </c>
      <c r="Q1010" s="1" t="s">
        <v>511</v>
      </c>
      <c r="R1010" s="1">
        <v>6</v>
      </c>
      <c r="S1010" s="1">
        <v>452</v>
      </c>
      <c r="T1010" s="1">
        <v>27.2</v>
      </c>
      <c r="U1010" s="1" t="s">
        <v>44</v>
      </c>
      <c r="V1010" s="17" t="s">
        <v>33</v>
      </c>
    </row>
    <row r="1011" spans="1:22" ht="15" customHeight="1" x14ac:dyDescent="0.25">
      <c r="A1011" s="16" t="s">
        <v>1973</v>
      </c>
      <c r="B1011" s="3" t="s">
        <v>1974</v>
      </c>
      <c r="C1011">
        <v>41</v>
      </c>
      <c r="D1011" s="3" t="s">
        <v>98</v>
      </c>
      <c r="E1011" s="3" t="s">
        <v>48</v>
      </c>
      <c r="F1011" s="3" t="s">
        <v>49</v>
      </c>
      <c r="G1011" s="3" t="s">
        <v>71</v>
      </c>
      <c r="H1011" s="3" t="s">
        <v>156</v>
      </c>
      <c r="I1011" s="8">
        <v>45012</v>
      </c>
      <c r="J1011" s="8">
        <v>45014</v>
      </c>
      <c r="K1011" s="3">
        <v>2</v>
      </c>
      <c r="L1011" s="3" t="s">
        <v>185</v>
      </c>
      <c r="M1011" s="3" t="s">
        <v>186</v>
      </c>
      <c r="N1011" s="3" t="s">
        <v>177</v>
      </c>
      <c r="O1011" s="3" t="s">
        <v>104</v>
      </c>
      <c r="P1011" s="30">
        <v>15347.01</v>
      </c>
      <c r="Q1011" s="3" t="s">
        <v>374</v>
      </c>
      <c r="R1011" s="3">
        <v>3</v>
      </c>
      <c r="S1011" s="3">
        <v>323</v>
      </c>
      <c r="T1011" s="3">
        <v>28.8</v>
      </c>
      <c r="U1011" s="3" t="s">
        <v>32</v>
      </c>
      <c r="V1011" s="18" t="s">
        <v>33</v>
      </c>
    </row>
    <row r="1012" spans="1:22" ht="15" customHeight="1" x14ac:dyDescent="0.25">
      <c r="A1012" s="15" t="s">
        <v>1975</v>
      </c>
      <c r="B1012" s="1" t="s">
        <v>1976</v>
      </c>
      <c r="C1012">
        <v>64</v>
      </c>
      <c r="D1012" s="1" t="s">
        <v>59</v>
      </c>
      <c r="E1012" s="1" t="s">
        <v>23</v>
      </c>
      <c r="F1012" s="2" t="s">
        <v>3714</v>
      </c>
      <c r="G1012" s="1" t="s">
        <v>60</v>
      </c>
      <c r="H1012" s="1" t="s">
        <v>26</v>
      </c>
      <c r="I1012" s="7">
        <v>44121</v>
      </c>
      <c r="J1012" s="7">
        <v>44129</v>
      </c>
      <c r="K1012" s="1">
        <v>8</v>
      </c>
      <c r="L1012" s="1" t="s">
        <v>39</v>
      </c>
      <c r="M1012" s="1" t="s">
        <v>40</v>
      </c>
      <c r="N1012" s="1" t="s">
        <v>103</v>
      </c>
      <c r="O1012" s="1" t="s">
        <v>30</v>
      </c>
      <c r="P1012" s="29">
        <v>57152.3</v>
      </c>
      <c r="Q1012" s="1" t="s">
        <v>349</v>
      </c>
      <c r="R1012" s="1">
        <v>4</v>
      </c>
      <c r="S1012" s="1">
        <v>202</v>
      </c>
      <c r="T1012" s="1">
        <v>26</v>
      </c>
      <c r="U1012" s="1" t="s">
        <v>86</v>
      </c>
      <c r="V1012" s="17" t="s">
        <v>33</v>
      </c>
    </row>
    <row r="1013" spans="1:22" ht="15" customHeight="1" x14ac:dyDescent="0.25">
      <c r="A1013" s="16" t="s">
        <v>1977</v>
      </c>
      <c r="B1013" s="3" t="s">
        <v>999</v>
      </c>
      <c r="C1013">
        <v>64</v>
      </c>
      <c r="D1013" s="3" t="s">
        <v>59</v>
      </c>
      <c r="E1013" s="3" t="s">
        <v>23</v>
      </c>
      <c r="F1013" s="3" t="s">
        <v>99</v>
      </c>
      <c r="G1013" s="3" t="s">
        <v>38</v>
      </c>
      <c r="H1013" s="3" t="s">
        <v>78</v>
      </c>
      <c r="I1013" s="8">
        <v>44369</v>
      </c>
      <c r="J1013" s="8">
        <v>44372</v>
      </c>
      <c r="K1013" s="3">
        <v>3</v>
      </c>
      <c r="L1013" s="3" t="s">
        <v>112</v>
      </c>
      <c r="M1013" s="3" t="s">
        <v>40</v>
      </c>
      <c r="N1013" s="3" t="s">
        <v>41</v>
      </c>
      <c r="O1013" s="3" t="s">
        <v>42</v>
      </c>
      <c r="P1013" s="30">
        <v>14901</v>
      </c>
      <c r="Q1013" s="3" t="s">
        <v>174</v>
      </c>
      <c r="R1013" s="3">
        <v>8</v>
      </c>
      <c r="S1013" s="3">
        <v>294</v>
      </c>
      <c r="T1013" s="3">
        <v>24</v>
      </c>
      <c r="U1013" s="3" t="s">
        <v>32</v>
      </c>
      <c r="V1013" s="18" t="s">
        <v>45</v>
      </c>
    </row>
    <row r="1014" spans="1:22" ht="15" customHeight="1" x14ac:dyDescent="0.25">
      <c r="A1014" s="15" t="s">
        <v>1978</v>
      </c>
      <c r="B1014" s="1" t="s">
        <v>1979</v>
      </c>
      <c r="C1014">
        <v>85</v>
      </c>
      <c r="D1014" s="1" t="s">
        <v>36</v>
      </c>
      <c r="E1014" s="1" t="s">
        <v>48</v>
      </c>
      <c r="F1014" s="1" t="s">
        <v>155</v>
      </c>
      <c r="G1014" s="1" t="s">
        <v>71</v>
      </c>
      <c r="H1014" s="1" t="s">
        <v>26</v>
      </c>
      <c r="I1014" s="7">
        <v>44566</v>
      </c>
      <c r="J1014" s="7">
        <v>44569</v>
      </c>
      <c r="K1014" s="1">
        <v>3</v>
      </c>
      <c r="L1014" s="1" t="s">
        <v>52</v>
      </c>
      <c r="M1014" s="1" t="s">
        <v>53</v>
      </c>
      <c r="N1014" s="1" t="s">
        <v>72</v>
      </c>
      <c r="O1014" s="1" t="s">
        <v>30</v>
      </c>
      <c r="P1014" s="29">
        <v>17459.36</v>
      </c>
      <c r="Q1014" s="1" t="s">
        <v>503</v>
      </c>
      <c r="R1014" s="1">
        <v>5</v>
      </c>
      <c r="S1014" s="1">
        <v>318</v>
      </c>
      <c r="T1014" s="1">
        <v>31.5</v>
      </c>
      <c r="U1014" s="1" t="s">
        <v>86</v>
      </c>
      <c r="V1014" s="17" t="s">
        <v>33</v>
      </c>
    </row>
    <row r="1015" spans="1:22" ht="15" customHeight="1" x14ac:dyDescent="0.25">
      <c r="A1015" s="16" t="s">
        <v>1980</v>
      </c>
      <c r="B1015" s="3" t="s">
        <v>1670</v>
      </c>
      <c r="C1015">
        <v>42</v>
      </c>
      <c r="D1015" s="3" t="s">
        <v>98</v>
      </c>
      <c r="E1015" s="3" t="s">
        <v>23</v>
      </c>
      <c r="F1015" s="3" t="s">
        <v>76</v>
      </c>
      <c r="G1015" s="3" t="s">
        <v>77</v>
      </c>
      <c r="H1015" s="3" t="s">
        <v>26</v>
      </c>
      <c r="I1015" s="8">
        <v>44628</v>
      </c>
      <c r="J1015" s="8">
        <v>44634</v>
      </c>
      <c r="K1015" s="3">
        <v>6</v>
      </c>
      <c r="L1015" s="3" t="s">
        <v>89</v>
      </c>
      <c r="M1015" s="3" t="s">
        <v>90</v>
      </c>
      <c r="N1015" s="3" t="s">
        <v>79</v>
      </c>
      <c r="O1015" s="3" t="s">
        <v>42</v>
      </c>
      <c r="P1015" s="30">
        <v>187529.68</v>
      </c>
      <c r="Q1015" s="3" t="s">
        <v>80</v>
      </c>
      <c r="R1015" s="3">
        <v>10</v>
      </c>
      <c r="S1015" s="3">
        <v>394</v>
      </c>
      <c r="T1015" s="3">
        <v>44.4</v>
      </c>
      <c r="U1015" s="3" t="s">
        <v>44</v>
      </c>
      <c r="V1015" s="18" t="s">
        <v>33</v>
      </c>
    </row>
    <row r="1016" spans="1:22" ht="15" customHeight="1" x14ac:dyDescent="0.25">
      <c r="A1016" s="15" t="s">
        <v>1981</v>
      </c>
      <c r="B1016" s="2" t="s">
        <v>3640</v>
      </c>
      <c r="C1016">
        <v>39</v>
      </c>
      <c r="D1016" s="1" t="s">
        <v>98</v>
      </c>
      <c r="E1016" s="1" t="s">
        <v>23</v>
      </c>
      <c r="F1016" s="1" t="s">
        <v>37</v>
      </c>
      <c r="G1016" s="1" t="s">
        <v>38</v>
      </c>
      <c r="H1016" s="1" t="s">
        <v>26</v>
      </c>
      <c r="I1016" s="7">
        <v>43726</v>
      </c>
      <c r="J1016" s="7">
        <v>43729</v>
      </c>
      <c r="K1016" s="1">
        <v>3</v>
      </c>
      <c r="L1016" s="1" t="s">
        <v>112</v>
      </c>
      <c r="M1016" s="1" t="s">
        <v>40</v>
      </c>
      <c r="N1016" s="1" t="s">
        <v>173</v>
      </c>
      <c r="O1016" s="1" t="s">
        <v>104</v>
      </c>
      <c r="P1016" s="29">
        <v>14097.75</v>
      </c>
      <c r="Q1016" s="1" t="s">
        <v>43</v>
      </c>
      <c r="R1016" s="1">
        <v>7</v>
      </c>
      <c r="S1016" s="1">
        <v>112</v>
      </c>
      <c r="T1016" s="1">
        <v>29.4</v>
      </c>
      <c r="U1016" s="1" t="s">
        <v>32</v>
      </c>
      <c r="V1016" s="17" t="s">
        <v>33</v>
      </c>
    </row>
    <row r="1017" spans="1:22" ht="15" customHeight="1" x14ac:dyDescent="0.25">
      <c r="A1017" s="16" t="s">
        <v>1982</v>
      </c>
      <c r="B1017" s="3" t="s">
        <v>1983</v>
      </c>
      <c r="C1017">
        <v>35</v>
      </c>
      <c r="D1017" s="3" t="s">
        <v>98</v>
      </c>
      <c r="E1017" s="3" t="s">
        <v>23</v>
      </c>
      <c r="F1017" s="3" t="s">
        <v>70</v>
      </c>
      <c r="G1017" s="3" t="s">
        <v>71</v>
      </c>
      <c r="H1017" s="3" t="s">
        <v>51</v>
      </c>
      <c r="I1017" s="6">
        <v>44954</v>
      </c>
      <c r="J1017" s="8">
        <v>44958</v>
      </c>
      <c r="K1017" s="3">
        <v>4</v>
      </c>
      <c r="L1017" s="3" t="s">
        <v>39</v>
      </c>
      <c r="M1017" s="3" t="s">
        <v>40</v>
      </c>
      <c r="N1017" s="3" t="s">
        <v>177</v>
      </c>
      <c r="O1017" s="3" t="s">
        <v>104</v>
      </c>
      <c r="P1017" s="30">
        <v>6430.14</v>
      </c>
      <c r="Q1017" s="3" t="s">
        <v>178</v>
      </c>
      <c r="R1017" s="3">
        <v>2</v>
      </c>
      <c r="S1017" s="3">
        <v>157</v>
      </c>
      <c r="T1017" s="3">
        <v>20.8</v>
      </c>
      <c r="U1017" s="3" t="s">
        <v>32</v>
      </c>
      <c r="V1017" s="18" t="s">
        <v>33</v>
      </c>
    </row>
    <row r="1018" spans="1:22" ht="15" customHeight="1" x14ac:dyDescent="0.25">
      <c r="A1018" s="15" t="s">
        <v>1984</v>
      </c>
      <c r="B1018" s="2" t="s">
        <v>2730</v>
      </c>
      <c r="C1018">
        <v>61</v>
      </c>
      <c r="D1018" s="1" t="s">
        <v>59</v>
      </c>
      <c r="E1018" s="1" t="s">
        <v>48</v>
      </c>
      <c r="F1018" s="1" t="s">
        <v>99</v>
      </c>
      <c r="G1018" s="1" t="s">
        <v>38</v>
      </c>
      <c r="H1018" s="1" t="s">
        <v>78</v>
      </c>
      <c r="I1018" s="7">
        <v>44866</v>
      </c>
      <c r="J1018" s="7">
        <v>44872</v>
      </c>
      <c r="K1018" s="1">
        <v>6</v>
      </c>
      <c r="L1018" s="1" t="s">
        <v>39</v>
      </c>
      <c r="M1018" s="1" t="s">
        <v>40</v>
      </c>
      <c r="N1018" s="1" t="s">
        <v>203</v>
      </c>
      <c r="O1018" s="1" t="s">
        <v>30</v>
      </c>
      <c r="P1018" s="29">
        <v>10326</v>
      </c>
      <c r="Q1018" s="1" t="s">
        <v>119</v>
      </c>
      <c r="R1018" s="1">
        <v>8</v>
      </c>
      <c r="S1018" s="1">
        <v>185</v>
      </c>
      <c r="T1018" s="1">
        <v>14</v>
      </c>
      <c r="U1018" s="1" t="s">
        <v>44</v>
      </c>
      <c r="V1018" s="17" t="s">
        <v>33</v>
      </c>
    </row>
    <row r="1019" spans="1:22" ht="15" customHeight="1" x14ac:dyDescent="0.25">
      <c r="A1019" s="16" t="s">
        <v>1985</v>
      </c>
      <c r="B1019" s="3" t="s">
        <v>1986</v>
      </c>
      <c r="C1019">
        <v>23</v>
      </c>
      <c r="D1019" s="3" t="s">
        <v>47</v>
      </c>
      <c r="E1019" s="3" t="s">
        <v>48</v>
      </c>
      <c r="F1019" s="3" t="s">
        <v>83</v>
      </c>
      <c r="G1019" s="3" t="s">
        <v>131</v>
      </c>
      <c r="H1019" s="3" t="s">
        <v>51</v>
      </c>
      <c r="I1019" s="8">
        <v>44870</v>
      </c>
      <c r="J1019" s="8">
        <v>44872</v>
      </c>
      <c r="K1019" s="3">
        <v>2</v>
      </c>
      <c r="L1019" s="3" t="s">
        <v>231</v>
      </c>
      <c r="M1019" s="3" t="s">
        <v>53</v>
      </c>
      <c r="N1019" s="3" t="s">
        <v>133</v>
      </c>
      <c r="O1019" s="3" t="s">
        <v>42</v>
      </c>
      <c r="P1019" s="30">
        <v>13040.42</v>
      </c>
      <c r="Q1019" s="3" t="s">
        <v>266</v>
      </c>
      <c r="R1019" s="3">
        <v>7</v>
      </c>
      <c r="S1019" s="3">
        <v>110</v>
      </c>
      <c r="T1019" s="3">
        <v>30.5</v>
      </c>
      <c r="U1019" s="3" t="s">
        <v>44</v>
      </c>
      <c r="V1019" s="18" t="s">
        <v>33</v>
      </c>
    </row>
    <row r="1020" spans="1:22" ht="15" customHeight="1" x14ac:dyDescent="0.25">
      <c r="A1020" s="15" t="s">
        <v>1987</v>
      </c>
      <c r="B1020" s="1" t="s">
        <v>1988</v>
      </c>
      <c r="C1020">
        <v>13</v>
      </c>
      <c r="D1020" s="1" t="s">
        <v>22</v>
      </c>
      <c r="E1020" s="1" t="s">
        <v>23</v>
      </c>
      <c r="F1020" s="1" t="s">
        <v>49</v>
      </c>
      <c r="G1020" s="1" t="s">
        <v>131</v>
      </c>
      <c r="H1020" s="1" t="s">
        <v>26</v>
      </c>
      <c r="I1020" s="7">
        <v>43893</v>
      </c>
      <c r="J1020" s="7">
        <v>44077</v>
      </c>
      <c r="K1020" s="1">
        <v>6</v>
      </c>
      <c r="L1020" s="1" t="s">
        <v>39</v>
      </c>
      <c r="M1020" s="1" t="s">
        <v>40</v>
      </c>
      <c r="N1020" s="1" t="s">
        <v>147</v>
      </c>
      <c r="O1020" s="1" t="s">
        <v>104</v>
      </c>
      <c r="P1020" s="29">
        <v>8211.9500000000007</v>
      </c>
      <c r="Q1020" s="1" t="s">
        <v>148</v>
      </c>
      <c r="R1020" s="1">
        <v>7</v>
      </c>
      <c r="S1020" s="1">
        <v>344</v>
      </c>
      <c r="T1020" s="1">
        <v>31</v>
      </c>
      <c r="U1020" s="1" t="s">
        <v>86</v>
      </c>
      <c r="V1020" s="17" t="s">
        <v>33</v>
      </c>
    </row>
    <row r="1021" spans="1:22" ht="15" customHeight="1" x14ac:dyDescent="0.25">
      <c r="A1021" s="16" t="s">
        <v>1989</v>
      </c>
      <c r="B1021" s="3" t="s">
        <v>1990</v>
      </c>
      <c r="C1021">
        <v>81</v>
      </c>
      <c r="D1021" s="3" t="s">
        <v>36</v>
      </c>
      <c r="E1021" s="3" t="s">
        <v>48</v>
      </c>
      <c r="F1021" s="3" t="s">
        <v>99</v>
      </c>
      <c r="G1021" s="3" t="s">
        <v>38</v>
      </c>
      <c r="H1021" s="3" t="s">
        <v>51</v>
      </c>
      <c r="I1021" s="8">
        <v>44491</v>
      </c>
      <c r="J1021" s="8">
        <v>44496</v>
      </c>
      <c r="K1021" s="3">
        <v>5</v>
      </c>
      <c r="L1021" s="3" t="s">
        <v>39</v>
      </c>
      <c r="M1021" s="3" t="s">
        <v>40</v>
      </c>
      <c r="N1021" s="3" t="s">
        <v>41</v>
      </c>
      <c r="O1021" s="3" t="s">
        <v>42</v>
      </c>
      <c r="P1021" s="30">
        <v>27263.98</v>
      </c>
      <c r="Q1021" s="3" t="s">
        <v>437</v>
      </c>
      <c r="R1021" s="3">
        <v>8</v>
      </c>
      <c r="S1021" s="3">
        <v>190</v>
      </c>
      <c r="T1021" s="3">
        <v>15.5</v>
      </c>
      <c r="U1021" s="3" t="s">
        <v>44</v>
      </c>
      <c r="V1021" s="18" t="s">
        <v>33</v>
      </c>
    </row>
    <row r="1022" spans="1:22" ht="15" customHeight="1" x14ac:dyDescent="0.25">
      <c r="A1022" s="15" t="s">
        <v>1991</v>
      </c>
      <c r="B1022" s="1" t="s">
        <v>1992</v>
      </c>
      <c r="C1022">
        <v>84</v>
      </c>
      <c r="D1022" s="1" t="s">
        <v>36</v>
      </c>
      <c r="E1022" s="1" t="s">
        <v>23</v>
      </c>
      <c r="F1022" s="1" t="s">
        <v>24</v>
      </c>
      <c r="G1022" s="1" t="s">
        <v>71</v>
      </c>
      <c r="H1022" s="1" t="s">
        <v>51</v>
      </c>
      <c r="I1022" s="6">
        <v>43665</v>
      </c>
      <c r="J1022" s="7">
        <v>43668</v>
      </c>
      <c r="K1022" s="1">
        <v>3</v>
      </c>
      <c r="L1022" s="1" t="s">
        <v>132</v>
      </c>
      <c r="M1022" s="1" t="s">
        <v>53</v>
      </c>
      <c r="N1022" s="1" t="s">
        <v>177</v>
      </c>
      <c r="O1022" s="1" t="s">
        <v>66</v>
      </c>
      <c r="P1022" s="29">
        <v>32741</v>
      </c>
      <c r="Q1022" s="1" t="s">
        <v>73</v>
      </c>
      <c r="R1022" s="1">
        <v>5</v>
      </c>
      <c r="S1022" s="1">
        <v>105</v>
      </c>
      <c r="T1022" s="1">
        <v>22.8</v>
      </c>
      <c r="U1022" s="1" t="s">
        <v>44</v>
      </c>
      <c r="V1022" s="17" t="s">
        <v>33</v>
      </c>
    </row>
    <row r="1023" spans="1:22" ht="15" customHeight="1" x14ac:dyDescent="0.25">
      <c r="A1023" s="16" t="s">
        <v>1993</v>
      </c>
      <c r="B1023" s="2" t="s">
        <v>1533</v>
      </c>
      <c r="C1023">
        <v>83</v>
      </c>
      <c r="D1023" s="3" t="s">
        <v>36</v>
      </c>
      <c r="E1023" s="3" t="s">
        <v>23</v>
      </c>
      <c r="F1023" s="3" t="s">
        <v>99</v>
      </c>
      <c r="G1023" s="3" t="s">
        <v>131</v>
      </c>
      <c r="H1023" s="3" t="s">
        <v>51</v>
      </c>
      <c r="I1023" s="8">
        <v>45577</v>
      </c>
      <c r="J1023" s="8">
        <v>45582</v>
      </c>
      <c r="K1023" s="3">
        <v>5</v>
      </c>
      <c r="L1023" s="3" t="s">
        <v>102</v>
      </c>
      <c r="M1023" s="3" t="s">
        <v>28</v>
      </c>
      <c r="N1023" s="3" t="s">
        <v>147</v>
      </c>
      <c r="O1023" s="3" t="s">
        <v>30</v>
      </c>
      <c r="P1023" s="30">
        <v>13686.4</v>
      </c>
      <c r="Q1023" s="3" t="s">
        <v>695</v>
      </c>
      <c r="R1023" s="3">
        <v>7</v>
      </c>
      <c r="S1023" s="3">
        <v>120</v>
      </c>
      <c r="T1023" s="3">
        <v>27.5</v>
      </c>
      <c r="U1023" s="3" t="s">
        <v>44</v>
      </c>
      <c r="V1023" s="18" t="s">
        <v>33</v>
      </c>
    </row>
    <row r="1024" spans="1:22" ht="15" customHeight="1" x14ac:dyDescent="0.25">
      <c r="A1024" s="15" t="s">
        <v>1994</v>
      </c>
      <c r="B1024" s="1" t="s">
        <v>1995</v>
      </c>
      <c r="C1024">
        <v>76</v>
      </c>
      <c r="D1024" s="1" t="s">
        <v>36</v>
      </c>
      <c r="E1024" s="1" t="s">
        <v>23</v>
      </c>
      <c r="F1024" s="1" t="s">
        <v>24</v>
      </c>
      <c r="G1024" s="1" t="s">
        <v>77</v>
      </c>
      <c r="H1024" s="1" t="s">
        <v>78</v>
      </c>
      <c r="I1024" s="7">
        <v>45373</v>
      </c>
      <c r="J1024" s="7">
        <v>45385</v>
      </c>
      <c r="K1024" s="1">
        <v>12</v>
      </c>
      <c r="L1024" s="1" t="s">
        <v>52</v>
      </c>
      <c r="M1024" s="1" t="s">
        <v>53</v>
      </c>
      <c r="N1024" s="1" t="s">
        <v>216</v>
      </c>
      <c r="O1024" s="1" t="s">
        <v>30</v>
      </c>
      <c r="P1024" s="29">
        <v>37807.93</v>
      </c>
      <c r="Q1024" s="1" t="s">
        <v>91</v>
      </c>
      <c r="R1024" s="1">
        <v>10</v>
      </c>
      <c r="S1024" s="1">
        <v>165</v>
      </c>
      <c r="T1024" s="1">
        <v>26.9</v>
      </c>
      <c r="U1024" s="1" t="s">
        <v>44</v>
      </c>
      <c r="V1024" s="17" t="s">
        <v>33</v>
      </c>
    </row>
    <row r="1025" spans="1:22" ht="15" customHeight="1" x14ac:dyDescent="0.25">
      <c r="A1025" s="16" t="s">
        <v>1996</v>
      </c>
      <c r="B1025" s="3" t="s">
        <v>1997</v>
      </c>
      <c r="C1025">
        <v>66</v>
      </c>
      <c r="D1025" s="3" t="s">
        <v>82</v>
      </c>
      <c r="E1025" s="3" t="s">
        <v>23</v>
      </c>
      <c r="F1025" s="3" t="s">
        <v>24</v>
      </c>
      <c r="G1025" s="3" t="s">
        <v>131</v>
      </c>
      <c r="H1025" s="3" t="s">
        <v>51</v>
      </c>
      <c r="I1025" s="8">
        <v>43988</v>
      </c>
      <c r="J1025" s="8">
        <v>43992</v>
      </c>
      <c r="K1025" s="3">
        <v>4</v>
      </c>
      <c r="L1025" s="3" t="s">
        <v>102</v>
      </c>
      <c r="M1025" s="3" t="s">
        <v>28</v>
      </c>
      <c r="N1025" s="3" t="s">
        <v>147</v>
      </c>
      <c r="O1025" s="3" t="s">
        <v>104</v>
      </c>
      <c r="P1025" s="30">
        <v>20708.3</v>
      </c>
      <c r="Q1025" s="3" t="s">
        <v>152</v>
      </c>
      <c r="R1025" s="3">
        <v>7</v>
      </c>
      <c r="S1025" s="3">
        <v>157</v>
      </c>
      <c r="T1025" s="3">
        <v>28.4</v>
      </c>
      <c r="U1025" s="3" t="s">
        <v>86</v>
      </c>
      <c r="V1025" s="18" t="s">
        <v>33</v>
      </c>
    </row>
    <row r="1026" spans="1:22" ht="15" customHeight="1" x14ac:dyDescent="0.25">
      <c r="A1026" s="15" t="s">
        <v>1998</v>
      </c>
      <c r="B1026" s="1" t="s">
        <v>1999</v>
      </c>
      <c r="C1026">
        <v>76</v>
      </c>
      <c r="D1026" s="1" t="s">
        <v>36</v>
      </c>
      <c r="E1026" s="1" t="s">
        <v>23</v>
      </c>
      <c r="F1026" s="1" t="s">
        <v>24</v>
      </c>
      <c r="G1026" s="1" t="s">
        <v>25</v>
      </c>
      <c r="H1026" s="1" t="s">
        <v>51</v>
      </c>
      <c r="I1026" s="6">
        <v>44951</v>
      </c>
      <c r="J1026" s="7">
        <v>44956</v>
      </c>
      <c r="K1026" s="1">
        <v>5</v>
      </c>
      <c r="L1026" s="1" t="s">
        <v>112</v>
      </c>
      <c r="M1026" s="1" t="s">
        <v>40</v>
      </c>
      <c r="N1026" s="1" t="s">
        <v>963</v>
      </c>
      <c r="O1026" s="1" t="s">
        <v>66</v>
      </c>
      <c r="P1026" s="29">
        <v>128624.22</v>
      </c>
      <c r="Q1026" s="1" t="s">
        <v>310</v>
      </c>
      <c r="R1026" s="1">
        <v>12</v>
      </c>
      <c r="S1026" s="1">
        <v>135</v>
      </c>
      <c r="T1026" s="1">
        <v>26.8</v>
      </c>
      <c r="U1026" s="1" t="s">
        <v>86</v>
      </c>
      <c r="V1026" s="17" t="s">
        <v>45</v>
      </c>
    </row>
    <row r="1027" spans="1:22" ht="15" customHeight="1" x14ac:dyDescent="0.25">
      <c r="A1027" s="16" t="s">
        <v>2000</v>
      </c>
      <c r="B1027" s="3" t="s">
        <v>1294</v>
      </c>
      <c r="C1027">
        <v>43</v>
      </c>
      <c r="D1027" s="3" t="s">
        <v>98</v>
      </c>
      <c r="E1027" s="3" t="s">
        <v>23</v>
      </c>
      <c r="F1027" s="3" t="s">
        <v>24</v>
      </c>
      <c r="G1027" s="3" t="s">
        <v>77</v>
      </c>
      <c r="H1027" s="3" t="s">
        <v>26</v>
      </c>
      <c r="I1027" s="8">
        <v>43496</v>
      </c>
      <c r="J1027" s="8">
        <v>43740</v>
      </c>
      <c r="K1027" s="3">
        <v>10</v>
      </c>
      <c r="L1027" s="3" t="s">
        <v>102</v>
      </c>
      <c r="M1027" s="3" t="s">
        <v>28</v>
      </c>
      <c r="N1027" s="3" t="s">
        <v>183</v>
      </c>
      <c r="O1027" s="3" t="s">
        <v>42</v>
      </c>
      <c r="P1027" s="30">
        <v>65777.64</v>
      </c>
      <c r="Q1027" s="3" t="s">
        <v>109</v>
      </c>
      <c r="R1027" s="3">
        <v>9</v>
      </c>
      <c r="S1027" s="3">
        <v>327</v>
      </c>
      <c r="T1027" s="3">
        <v>31.3</v>
      </c>
      <c r="U1027" s="3" t="s">
        <v>86</v>
      </c>
      <c r="V1027" s="18" t="s">
        <v>33</v>
      </c>
    </row>
    <row r="1028" spans="1:22" ht="15" customHeight="1" x14ac:dyDescent="0.25">
      <c r="A1028" s="15" t="s">
        <v>2001</v>
      </c>
      <c r="B1028" s="1" t="s">
        <v>2002</v>
      </c>
      <c r="C1028">
        <v>65</v>
      </c>
      <c r="D1028" s="1" t="s">
        <v>82</v>
      </c>
      <c r="E1028" s="1" t="s">
        <v>48</v>
      </c>
      <c r="F1028" s="1" t="s">
        <v>99</v>
      </c>
      <c r="G1028" s="1" t="s">
        <v>77</v>
      </c>
      <c r="H1028" s="1" t="s">
        <v>51</v>
      </c>
      <c r="I1028" s="6">
        <v>45292</v>
      </c>
      <c r="J1028" s="7">
        <v>45300</v>
      </c>
      <c r="K1028" s="1">
        <v>8</v>
      </c>
      <c r="L1028" s="1" t="s">
        <v>39</v>
      </c>
      <c r="M1028" s="1" t="s">
        <v>40</v>
      </c>
      <c r="N1028" s="1" t="s">
        <v>79</v>
      </c>
      <c r="O1028" s="1" t="s">
        <v>42</v>
      </c>
      <c r="P1028" s="29">
        <v>59982.65</v>
      </c>
      <c r="Q1028" s="1" t="s">
        <v>95</v>
      </c>
      <c r="R1028" s="1">
        <v>10</v>
      </c>
      <c r="S1028" s="1">
        <v>197</v>
      </c>
      <c r="T1028" s="1">
        <v>27</v>
      </c>
      <c r="U1028" s="1" t="s">
        <v>44</v>
      </c>
      <c r="V1028" s="17" t="s">
        <v>45</v>
      </c>
    </row>
    <row r="1029" spans="1:22" ht="15" customHeight="1" x14ac:dyDescent="0.25">
      <c r="A1029" s="16" t="s">
        <v>2003</v>
      </c>
      <c r="B1029" s="3" t="s">
        <v>2004</v>
      </c>
      <c r="C1029">
        <v>70</v>
      </c>
      <c r="D1029" s="3" t="s">
        <v>82</v>
      </c>
      <c r="E1029" s="3" t="s">
        <v>23</v>
      </c>
      <c r="F1029" s="3" t="s">
        <v>83</v>
      </c>
      <c r="G1029" s="3" t="s">
        <v>60</v>
      </c>
      <c r="H1029" s="3" t="s">
        <v>78</v>
      </c>
      <c r="I1029" s="8">
        <v>43744</v>
      </c>
      <c r="J1029" s="8">
        <v>43754</v>
      </c>
      <c r="K1029" s="3">
        <v>10</v>
      </c>
      <c r="L1029" s="3" t="s">
        <v>132</v>
      </c>
      <c r="M1029" s="3" t="s">
        <v>53</v>
      </c>
      <c r="N1029" s="3" t="s">
        <v>210</v>
      </c>
      <c r="O1029" s="3" t="s">
        <v>30</v>
      </c>
      <c r="P1029" s="30">
        <v>26885.65</v>
      </c>
      <c r="Q1029" s="3" t="s">
        <v>105</v>
      </c>
      <c r="R1029" s="3">
        <v>6</v>
      </c>
      <c r="S1029" s="3">
        <v>480</v>
      </c>
      <c r="T1029" s="4"/>
      <c r="U1029" s="3" t="s">
        <v>32</v>
      </c>
      <c r="V1029" s="18" t="s">
        <v>33</v>
      </c>
    </row>
    <row r="1030" spans="1:22" ht="15" customHeight="1" x14ac:dyDescent="0.25">
      <c r="A1030" s="15" t="s">
        <v>2005</v>
      </c>
      <c r="B1030" s="1" t="s">
        <v>2006</v>
      </c>
      <c r="C1030">
        <v>57</v>
      </c>
      <c r="D1030" s="1" t="s">
        <v>59</v>
      </c>
      <c r="E1030" s="1" t="s">
        <v>23</v>
      </c>
      <c r="F1030" s="2" t="s">
        <v>155</v>
      </c>
      <c r="G1030" s="1" t="s">
        <v>163</v>
      </c>
      <c r="H1030" s="1" t="s">
        <v>51</v>
      </c>
      <c r="I1030" s="7">
        <v>45431</v>
      </c>
      <c r="J1030" s="7">
        <v>45438</v>
      </c>
      <c r="K1030" s="1">
        <v>7</v>
      </c>
      <c r="L1030" s="1" t="s">
        <v>112</v>
      </c>
      <c r="M1030" s="1" t="s">
        <v>40</v>
      </c>
      <c r="N1030" s="1" t="s">
        <v>164</v>
      </c>
      <c r="O1030" s="1" t="s">
        <v>30</v>
      </c>
      <c r="P1030" s="29">
        <v>17099</v>
      </c>
      <c r="Q1030" s="1" t="s">
        <v>382</v>
      </c>
      <c r="R1030" s="1">
        <v>4</v>
      </c>
      <c r="S1030" s="1">
        <v>162</v>
      </c>
      <c r="T1030" s="1">
        <v>26.9</v>
      </c>
      <c r="U1030" s="1" t="s">
        <v>32</v>
      </c>
      <c r="V1030" s="17" t="s">
        <v>33</v>
      </c>
    </row>
    <row r="1031" spans="1:22" ht="15" customHeight="1" x14ac:dyDescent="0.25">
      <c r="A1031" s="16" t="s">
        <v>2007</v>
      </c>
      <c r="B1031" s="3" t="s">
        <v>2008</v>
      </c>
      <c r="C1031">
        <v>70</v>
      </c>
      <c r="D1031" s="3" t="s">
        <v>82</v>
      </c>
      <c r="E1031" s="3" t="s">
        <v>48</v>
      </c>
      <c r="F1031" s="3" t="s">
        <v>76</v>
      </c>
      <c r="G1031" s="3" t="s">
        <v>77</v>
      </c>
      <c r="H1031" s="3" t="s">
        <v>51</v>
      </c>
      <c r="I1031" s="8">
        <v>45648</v>
      </c>
      <c r="J1031" s="8">
        <v>45658</v>
      </c>
      <c r="K1031" s="3">
        <v>10</v>
      </c>
      <c r="L1031" s="3" t="s">
        <v>231</v>
      </c>
      <c r="M1031" s="3" t="s">
        <v>53</v>
      </c>
      <c r="N1031" s="3" t="s">
        <v>84</v>
      </c>
      <c r="O1031" s="3" t="s">
        <v>42</v>
      </c>
      <c r="P1031" s="30">
        <v>40378.120000000003</v>
      </c>
      <c r="Q1031" s="3" t="s">
        <v>223</v>
      </c>
      <c r="R1031" s="3">
        <v>8</v>
      </c>
      <c r="S1031" s="3">
        <v>184</v>
      </c>
      <c r="T1031" s="4"/>
      <c r="U1031" s="3" t="s">
        <v>32</v>
      </c>
      <c r="V1031" s="18" t="s">
        <v>45</v>
      </c>
    </row>
    <row r="1032" spans="1:22" ht="15" customHeight="1" x14ac:dyDescent="0.25">
      <c r="A1032" s="15" t="s">
        <v>2009</v>
      </c>
      <c r="B1032" s="1" t="s">
        <v>2010</v>
      </c>
      <c r="C1032">
        <v>32</v>
      </c>
      <c r="D1032" s="1" t="s">
        <v>47</v>
      </c>
      <c r="E1032" s="1" t="s">
        <v>48</v>
      </c>
      <c r="F1032" s="1" t="s">
        <v>37</v>
      </c>
      <c r="G1032" s="1" t="s">
        <v>25</v>
      </c>
      <c r="H1032" s="1" t="s">
        <v>51</v>
      </c>
      <c r="I1032" s="6">
        <v>44996</v>
      </c>
      <c r="J1032" s="7">
        <v>45246</v>
      </c>
      <c r="K1032" s="1">
        <v>13</v>
      </c>
      <c r="L1032" s="1" t="s">
        <v>102</v>
      </c>
      <c r="M1032" s="1" t="s">
        <v>28</v>
      </c>
      <c r="N1032" s="1" t="s">
        <v>65</v>
      </c>
      <c r="O1032" s="1" t="s">
        <v>104</v>
      </c>
      <c r="P1032" s="29">
        <v>18350.86</v>
      </c>
      <c r="Q1032" s="1" t="s">
        <v>67</v>
      </c>
      <c r="R1032" s="1">
        <v>12</v>
      </c>
      <c r="S1032" s="1">
        <v>194</v>
      </c>
      <c r="T1032" s="1">
        <v>24.4</v>
      </c>
      <c r="U1032" s="1" t="s">
        <v>44</v>
      </c>
      <c r="V1032" s="17" t="s">
        <v>33</v>
      </c>
    </row>
    <row r="1033" spans="1:22" ht="15" customHeight="1" x14ac:dyDescent="0.25">
      <c r="A1033" s="16" t="s">
        <v>2011</v>
      </c>
      <c r="B1033" s="3" t="s">
        <v>2012</v>
      </c>
      <c r="C1033">
        <v>88</v>
      </c>
      <c r="D1033" s="3" t="s">
        <v>36</v>
      </c>
      <c r="E1033" s="3" t="s">
        <v>48</v>
      </c>
      <c r="F1033" s="3" t="s">
        <v>70</v>
      </c>
      <c r="G1033" s="3" t="s">
        <v>131</v>
      </c>
      <c r="H1033" s="3" t="s">
        <v>51</v>
      </c>
      <c r="I1033" s="6">
        <v>44544</v>
      </c>
      <c r="J1033" s="8">
        <v>44548</v>
      </c>
      <c r="K1033" s="3">
        <v>4</v>
      </c>
      <c r="L1033" s="3" t="s">
        <v>89</v>
      </c>
      <c r="M1033" s="3" t="s">
        <v>90</v>
      </c>
      <c r="N1033" s="3" t="s">
        <v>157</v>
      </c>
      <c r="O1033" s="3" t="s">
        <v>104</v>
      </c>
      <c r="P1033" s="30">
        <v>25841.15</v>
      </c>
      <c r="Q1033" s="3" t="s">
        <v>695</v>
      </c>
      <c r="R1033" s="3">
        <v>5</v>
      </c>
      <c r="S1033" s="3">
        <v>166</v>
      </c>
      <c r="T1033" s="3">
        <v>32.1</v>
      </c>
      <c r="U1033" s="3" t="s">
        <v>86</v>
      </c>
      <c r="V1033" s="18" t="s">
        <v>33</v>
      </c>
    </row>
    <row r="1034" spans="1:22" ht="15" customHeight="1" x14ac:dyDescent="0.25">
      <c r="A1034" s="15" t="s">
        <v>2013</v>
      </c>
      <c r="B1034" s="1" t="s">
        <v>2014</v>
      </c>
      <c r="C1034">
        <v>43</v>
      </c>
      <c r="D1034" s="1" t="s">
        <v>98</v>
      </c>
      <c r="E1034" s="1" t="s">
        <v>48</v>
      </c>
      <c r="F1034" s="1" t="s">
        <v>49</v>
      </c>
      <c r="G1034" s="1" t="s">
        <v>25</v>
      </c>
      <c r="H1034" s="1" t="s">
        <v>51</v>
      </c>
      <c r="I1034" s="7">
        <v>44793</v>
      </c>
      <c r="J1034" s="7">
        <v>44802</v>
      </c>
      <c r="K1034" s="1">
        <v>9</v>
      </c>
      <c r="L1034" s="1" t="s">
        <v>52</v>
      </c>
      <c r="M1034" s="1" t="s">
        <v>53</v>
      </c>
      <c r="N1034" s="1" t="s">
        <v>248</v>
      </c>
      <c r="O1034" s="1" t="s">
        <v>104</v>
      </c>
      <c r="P1034" s="29">
        <v>93113.26</v>
      </c>
      <c r="Q1034" s="1" t="s">
        <v>198</v>
      </c>
      <c r="R1034" s="1">
        <v>11</v>
      </c>
      <c r="S1034" s="1">
        <v>126</v>
      </c>
      <c r="T1034" s="1">
        <v>22.9</v>
      </c>
      <c r="U1034" s="1" t="s">
        <v>44</v>
      </c>
      <c r="V1034" s="17" t="s">
        <v>33</v>
      </c>
    </row>
    <row r="1035" spans="1:22" ht="15" customHeight="1" x14ac:dyDescent="0.25">
      <c r="A1035" s="16" t="s">
        <v>2015</v>
      </c>
      <c r="B1035" s="3" t="s">
        <v>2016</v>
      </c>
      <c r="C1035">
        <v>92</v>
      </c>
      <c r="D1035" s="3" t="s">
        <v>36</v>
      </c>
      <c r="E1035" s="3" t="s">
        <v>48</v>
      </c>
      <c r="F1035" s="3" t="s">
        <v>37</v>
      </c>
      <c r="G1035" s="3" t="s">
        <v>131</v>
      </c>
      <c r="H1035" s="3" t="s">
        <v>26</v>
      </c>
      <c r="I1035" s="8">
        <v>44969</v>
      </c>
      <c r="J1035" s="8">
        <v>44971</v>
      </c>
      <c r="K1035" s="3">
        <v>2</v>
      </c>
      <c r="L1035" s="3" t="s">
        <v>112</v>
      </c>
      <c r="M1035" s="3" t="s">
        <v>40</v>
      </c>
      <c r="N1035" s="3" t="s">
        <v>133</v>
      </c>
      <c r="O1035" s="3" t="s">
        <v>66</v>
      </c>
      <c r="P1035" s="30">
        <v>23188.11</v>
      </c>
      <c r="Q1035" s="3" t="s">
        <v>134</v>
      </c>
      <c r="R1035" s="3">
        <v>6</v>
      </c>
      <c r="S1035" s="3">
        <v>331</v>
      </c>
      <c r="T1035" s="3">
        <v>19.3</v>
      </c>
      <c r="U1035" s="3" t="s">
        <v>32</v>
      </c>
      <c r="V1035" s="18" t="s">
        <v>33</v>
      </c>
    </row>
    <row r="1036" spans="1:22" ht="15" customHeight="1" x14ac:dyDescent="0.25">
      <c r="A1036" s="15" t="s">
        <v>2017</v>
      </c>
      <c r="B1036" s="2" t="s">
        <v>3641</v>
      </c>
      <c r="C1036">
        <v>80</v>
      </c>
      <c r="D1036" s="1" t="s">
        <v>36</v>
      </c>
      <c r="E1036" s="1" t="s">
        <v>48</v>
      </c>
      <c r="F1036" s="1" t="s">
        <v>83</v>
      </c>
      <c r="G1036" s="1" t="s">
        <v>77</v>
      </c>
      <c r="H1036" s="1" t="s">
        <v>78</v>
      </c>
      <c r="I1036" s="7">
        <v>43522</v>
      </c>
      <c r="J1036" s="7">
        <v>43558</v>
      </c>
      <c r="K1036" s="1">
        <v>6</v>
      </c>
      <c r="L1036" s="1" t="s">
        <v>132</v>
      </c>
      <c r="M1036" s="1" t="s">
        <v>53</v>
      </c>
      <c r="N1036" s="1" t="s">
        <v>94</v>
      </c>
      <c r="O1036" s="1" t="s">
        <v>104</v>
      </c>
      <c r="P1036" s="29">
        <v>43503.26</v>
      </c>
      <c r="Q1036" s="1" t="s">
        <v>592</v>
      </c>
      <c r="R1036" s="1">
        <v>10</v>
      </c>
      <c r="S1036" s="1">
        <v>346</v>
      </c>
      <c r="T1036" s="1">
        <v>28.4</v>
      </c>
      <c r="U1036" s="1" t="s">
        <v>86</v>
      </c>
      <c r="V1036" s="17" t="s">
        <v>45</v>
      </c>
    </row>
    <row r="1037" spans="1:22" ht="15" customHeight="1" x14ac:dyDescent="0.25">
      <c r="A1037" s="16" t="s">
        <v>2018</v>
      </c>
      <c r="B1037" s="2" t="s">
        <v>3642</v>
      </c>
      <c r="C1037">
        <v>64</v>
      </c>
      <c r="D1037" s="3" t="s">
        <v>59</v>
      </c>
      <c r="E1037" s="3" t="s">
        <v>23</v>
      </c>
      <c r="F1037" s="3" t="s">
        <v>70</v>
      </c>
      <c r="G1037" s="3" t="s">
        <v>163</v>
      </c>
      <c r="H1037" s="3" t="s">
        <v>26</v>
      </c>
      <c r="I1037" s="8">
        <v>44229</v>
      </c>
      <c r="J1037" s="8">
        <v>44441</v>
      </c>
      <c r="K1037" s="3">
        <v>7</v>
      </c>
      <c r="L1037" s="3" t="s">
        <v>27</v>
      </c>
      <c r="M1037" s="3" t="s">
        <v>28</v>
      </c>
      <c r="N1037" s="3" t="s">
        <v>164</v>
      </c>
      <c r="O1037" s="3" t="s">
        <v>104</v>
      </c>
      <c r="P1037" s="30">
        <v>52529.89</v>
      </c>
      <c r="Q1037" s="3" t="s">
        <v>259</v>
      </c>
      <c r="R1037" s="3">
        <v>4</v>
      </c>
      <c r="S1037" s="3">
        <v>112</v>
      </c>
      <c r="T1037" s="3">
        <v>36.1</v>
      </c>
      <c r="U1037" s="3" t="s">
        <v>44</v>
      </c>
      <c r="V1037" s="18" t="s">
        <v>33</v>
      </c>
    </row>
    <row r="1038" spans="1:22" ht="15" customHeight="1" x14ac:dyDescent="0.25">
      <c r="A1038" s="15" t="s">
        <v>2019</v>
      </c>
      <c r="B1038" s="1" t="s">
        <v>2020</v>
      </c>
      <c r="C1038">
        <v>73</v>
      </c>
      <c r="D1038" s="1" t="s">
        <v>82</v>
      </c>
      <c r="E1038" s="1" t="s">
        <v>23</v>
      </c>
      <c r="F1038" s="1" t="s">
        <v>49</v>
      </c>
      <c r="G1038" s="1" t="s">
        <v>77</v>
      </c>
      <c r="H1038" s="1" t="s">
        <v>78</v>
      </c>
      <c r="I1038" s="6">
        <v>43827</v>
      </c>
      <c r="J1038" s="7">
        <v>43952</v>
      </c>
      <c r="K1038" s="1">
        <v>8</v>
      </c>
      <c r="L1038" s="1" t="s">
        <v>102</v>
      </c>
      <c r="M1038" s="1" t="s">
        <v>28</v>
      </c>
      <c r="N1038" s="1" t="s">
        <v>79</v>
      </c>
      <c r="O1038" s="1" t="s">
        <v>30</v>
      </c>
      <c r="P1038" s="29">
        <v>62209.04</v>
      </c>
      <c r="Q1038" s="1" t="s">
        <v>181</v>
      </c>
      <c r="R1038" s="1">
        <v>10</v>
      </c>
      <c r="S1038" s="1">
        <v>339</v>
      </c>
      <c r="T1038" s="1">
        <v>29.9</v>
      </c>
      <c r="U1038" s="1" t="s">
        <v>44</v>
      </c>
      <c r="V1038" s="17" t="s">
        <v>45</v>
      </c>
    </row>
    <row r="1039" spans="1:22" ht="15" customHeight="1" x14ac:dyDescent="0.25">
      <c r="A1039" s="16" t="s">
        <v>2021</v>
      </c>
      <c r="B1039" s="3" t="s">
        <v>2022</v>
      </c>
      <c r="C1039">
        <v>67</v>
      </c>
      <c r="D1039" s="3" t="s">
        <v>82</v>
      </c>
      <c r="E1039" s="3" t="s">
        <v>23</v>
      </c>
      <c r="F1039" s="3" t="s">
        <v>99</v>
      </c>
      <c r="G1039" s="3" t="s">
        <v>188</v>
      </c>
      <c r="H1039" s="3" t="s">
        <v>26</v>
      </c>
      <c r="I1039" s="8">
        <v>43758</v>
      </c>
      <c r="J1039" s="8">
        <v>43767</v>
      </c>
      <c r="K1039" s="3">
        <v>9</v>
      </c>
      <c r="L1039" s="3" t="s">
        <v>89</v>
      </c>
      <c r="M1039" s="3" t="s">
        <v>90</v>
      </c>
      <c r="N1039" s="3" t="s">
        <v>84</v>
      </c>
      <c r="O1039" s="3" t="s">
        <v>42</v>
      </c>
      <c r="P1039" s="30">
        <v>163986.4</v>
      </c>
      <c r="Q1039" s="3" t="s">
        <v>95</v>
      </c>
      <c r="R1039" s="3">
        <v>10</v>
      </c>
      <c r="S1039" s="3">
        <v>303</v>
      </c>
      <c r="T1039" s="3">
        <v>32</v>
      </c>
      <c r="U1039" s="3" t="s">
        <v>44</v>
      </c>
      <c r="V1039" s="18" t="s">
        <v>45</v>
      </c>
    </row>
    <row r="1040" spans="1:22" ht="15" customHeight="1" x14ac:dyDescent="0.25">
      <c r="A1040" s="15" t="s">
        <v>2023</v>
      </c>
      <c r="B1040" s="2" t="s">
        <v>3643</v>
      </c>
      <c r="C1040">
        <v>63</v>
      </c>
      <c r="D1040" s="1" t="s">
        <v>59</v>
      </c>
      <c r="E1040" s="1" t="s">
        <v>23</v>
      </c>
      <c r="F1040" s="1" t="s">
        <v>76</v>
      </c>
      <c r="G1040" s="1" t="s">
        <v>131</v>
      </c>
      <c r="H1040" s="1" t="s">
        <v>51</v>
      </c>
      <c r="I1040" s="6">
        <v>45220</v>
      </c>
      <c r="J1040" s="7">
        <v>45225</v>
      </c>
      <c r="K1040" s="1">
        <v>5</v>
      </c>
      <c r="L1040" s="1" t="s">
        <v>132</v>
      </c>
      <c r="M1040" s="1" t="s">
        <v>53</v>
      </c>
      <c r="N1040" s="1" t="s">
        <v>157</v>
      </c>
      <c r="O1040" s="1" t="s">
        <v>104</v>
      </c>
      <c r="P1040" s="29">
        <v>13671.92</v>
      </c>
      <c r="Q1040" s="1" t="s">
        <v>148</v>
      </c>
      <c r="R1040" s="1">
        <v>4</v>
      </c>
      <c r="S1040" s="1">
        <v>117</v>
      </c>
      <c r="T1040" s="1">
        <v>22.2</v>
      </c>
      <c r="U1040" s="1" t="s">
        <v>44</v>
      </c>
      <c r="V1040" s="17" t="s">
        <v>33</v>
      </c>
    </row>
    <row r="1041" spans="1:22" ht="15" customHeight="1" x14ac:dyDescent="0.25">
      <c r="A1041" s="16" t="s">
        <v>2024</v>
      </c>
      <c r="B1041" s="3" t="s">
        <v>2025</v>
      </c>
      <c r="C1041">
        <v>79</v>
      </c>
      <c r="D1041" s="3" t="s">
        <v>36</v>
      </c>
      <c r="E1041" s="3" t="s">
        <v>23</v>
      </c>
      <c r="F1041" s="3" t="s">
        <v>99</v>
      </c>
      <c r="G1041" s="3" t="s">
        <v>163</v>
      </c>
      <c r="H1041" s="3" t="s">
        <v>51</v>
      </c>
      <c r="I1041" s="6">
        <v>44503</v>
      </c>
      <c r="J1041" s="8">
        <v>44270</v>
      </c>
      <c r="K1041" s="3">
        <v>4</v>
      </c>
      <c r="L1041" s="3" t="s">
        <v>185</v>
      </c>
      <c r="M1041" s="3" t="s">
        <v>186</v>
      </c>
      <c r="N1041" s="3" t="s">
        <v>213</v>
      </c>
      <c r="O1041" s="3" t="s">
        <v>55</v>
      </c>
      <c r="P1041" s="30">
        <v>37082</v>
      </c>
      <c r="Q1041" s="3" t="s">
        <v>382</v>
      </c>
      <c r="R1041" s="3">
        <v>4</v>
      </c>
      <c r="S1041" s="3">
        <v>109</v>
      </c>
      <c r="T1041" s="3">
        <v>32</v>
      </c>
      <c r="U1041" s="3" t="s">
        <v>44</v>
      </c>
      <c r="V1041" s="18" t="s">
        <v>33</v>
      </c>
    </row>
    <row r="1042" spans="1:22" ht="15" customHeight="1" x14ac:dyDescent="0.25">
      <c r="A1042" s="15" t="s">
        <v>2026</v>
      </c>
      <c r="B1042" s="1" t="s">
        <v>2027</v>
      </c>
      <c r="C1042">
        <v>62</v>
      </c>
      <c r="D1042" s="1" t="s">
        <v>59</v>
      </c>
      <c r="E1042" s="1" t="s">
        <v>48</v>
      </c>
      <c r="F1042" s="1" t="s">
        <v>99</v>
      </c>
      <c r="G1042" s="1" t="s">
        <v>131</v>
      </c>
      <c r="H1042" s="1" t="s">
        <v>78</v>
      </c>
      <c r="I1042" s="7">
        <v>44508</v>
      </c>
      <c r="J1042" s="7">
        <v>44515</v>
      </c>
      <c r="K1042" s="1">
        <v>7</v>
      </c>
      <c r="L1042" s="1" t="s">
        <v>231</v>
      </c>
      <c r="M1042" s="1" t="s">
        <v>53</v>
      </c>
      <c r="N1042" s="1" t="s">
        <v>147</v>
      </c>
      <c r="O1042" s="1" t="s">
        <v>42</v>
      </c>
      <c r="P1042" s="29">
        <v>23856.799999999999</v>
      </c>
      <c r="Q1042" s="1" t="s">
        <v>291</v>
      </c>
      <c r="R1042" s="1">
        <v>7</v>
      </c>
      <c r="S1042" s="1">
        <v>457</v>
      </c>
      <c r="T1042" s="1">
        <v>30.5</v>
      </c>
      <c r="U1042" s="1" t="s">
        <v>32</v>
      </c>
      <c r="V1042" s="17" t="s">
        <v>33</v>
      </c>
    </row>
    <row r="1043" spans="1:22" ht="15" customHeight="1" x14ac:dyDescent="0.25">
      <c r="A1043" s="16" t="s">
        <v>2028</v>
      </c>
      <c r="B1043" s="2" t="s">
        <v>3644</v>
      </c>
      <c r="C1043">
        <v>85</v>
      </c>
      <c r="D1043" s="3" t="s">
        <v>36</v>
      </c>
      <c r="E1043" s="3" t="s">
        <v>23</v>
      </c>
      <c r="F1043" s="3" t="s">
        <v>37</v>
      </c>
      <c r="G1043" s="3" t="s">
        <v>38</v>
      </c>
      <c r="H1043" s="3" t="s">
        <v>51</v>
      </c>
      <c r="I1043" s="8">
        <v>44721</v>
      </c>
      <c r="J1043" s="8">
        <v>44901</v>
      </c>
      <c r="K1043" s="3">
        <v>3</v>
      </c>
      <c r="L1043" s="3" t="s">
        <v>122</v>
      </c>
      <c r="M1043" s="3" t="s">
        <v>40</v>
      </c>
      <c r="N1043" s="3" t="s">
        <v>203</v>
      </c>
      <c r="O1043" s="3" t="s">
        <v>42</v>
      </c>
      <c r="P1043" s="30">
        <v>26822.21</v>
      </c>
      <c r="Q1043" s="3" t="s">
        <v>305</v>
      </c>
      <c r="R1043" s="3">
        <v>8</v>
      </c>
      <c r="S1043" s="3">
        <v>193</v>
      </c>
      <c r="T1043" s="3">
        <v>28.9</v>
      </c>
      <c r="U1043" s="3" t="s">
        <v>44</v>
      </c>
      <c r="V1043" s="18" t="s">
        <v>33</v>
      </c>
    </row>
    <row r="1044" spans="1:22" ht="15" customHeight="1" x14ac:dyDescent="0.25">
      <c r="A1044" s="15" t="s">
        <v>2029</v>
      </c>
      <c r="B1044" s="1" t="s">
        <v>2030</v>
      </c>
      <c r="C1044">
        <v>73</v>
      </c>
      <c r="D1044" s="1" t="s">
        <v>82</v>
      </c>
      <c r="E1044" s="1" t="s">
        <v>23</v>
      </c>
      <c r="F1044" s="1" t="s">
        <v>99</v>
      </c>
      <c r="G1044" s="1" t="s">
        <v>25</v>
      </c>
      <c r="H1044" s="1" t="s">
        <v>78</v>
      </c>
      <c r="I1044" s="7">
        <v>44244</v>
      </c>
      <c r="J1044" s="7">
        <v>44250</v>
      </c>
      <c r="K1044" s="1">
        <v>6</v>
      </c>
      <c r="L1044" s="1" t="s">
        <v>27</v>
      </c>
      <c r="M1044" s="1" t="s">
        <v>28</v>
      </c>
      <c r="N1044" s="1" t="s">
        <v>29</v>
      </c>
      <c r="O1044" s="1" t="s">
        <v>104</v>
      </c>
      <c r="P1044" s="29">
        <v>37515.620000000003</v>
      </c>
      <c r="Q1044" s="1" t="s">
        <v>105</v>
      </c>
      <c r="R1044" s="1">
        <v>8</v>
      </c>
      <c r="S1044" s="1">
        <v>385</v>
      </c>
      <c r="T1044" s="1">
        <v>20.7</v>
      </c>
      <c r="U1044" s="1" t="s">
        <v>32</v>
      </c>
      <c r="V1044" s="17" t="s">
        <v>33</v>
      </c>
    </row>
    <row r="1045" spans="1:22" ht="15" customHeight="1" x14ac:dyDescent="0.25">
      <c r="A1045" s="16" t="s">
        <v>2031</v>
      </c>
      <c r="B1045" s="3" t="s">
        <v>1030</v>
      </c>
      <c r="C1045">
        <v>42</v>
      </c>
      <c r="D1045" s="3" t="s">
        <v>98</v>
      </c>
      <c r="E1045" s="3" t="s">
        <v>48</v>
      </c>
      <c r="F1045" s="3" t="s">
        <v>24</v>
      </c>
      <c r="G1045" s="3" t="s">
        <v>163</v>
      </c>
      <c r="H1045" s="3" t="s">
        <v>26</v>
      </c>
      <c r="I1045" s="8">
        <v>44390</v>
      </c>
      <c r="J1045" s="8">
        <v>44395</v>
      </c>
      <c r="K1045" s="3">
        <v>5</v>
      </c>
      <c r="L1045" s="3" t="s">
        <v>112</v>
      </c>
      <c r="M1045" s="3" t="s">
        <v>40</v>
      </c>
      <c r="N1045" s="3" t="s">
        <v>213</v>
      </c>
      <c r="O1045" s="3" t="s">
        <v>55</v>
      </c>
      <c r="P1045" s="30">
        <v>40050.58</v>
      </c>
      <c r="Q1045" s="3" t="s">
        <v>257</v>
      </c>
      <c r="R1045" s="3">
        <v>6</v>
      </c>
      <c r="S1045" s="3">
        <v>208</v>
      </c>
      <c r="T1045" s="3">
        <v>33.200000000000003</v>
      </c>
      <c r="U1045" s="3" t="s">
        <v>44</v>
      </c>
      <c r="V1045" s="18" t="s">
        <v>33</v>
      </c>
    </row>
    <row r="1046" spans="1:22" ht="15" customHeight="1" x14ac:dyDescent="0.25">
      <c r="A1046" s="15" t="s">
        <v>2032</v>
      </c>
      <c r="B1046" s="1" t="s">
        <v>2033</v>
      </c>
      <c r="C1046">
        <v>81</v>
      </c>
      <c r="D1046" s="1" t="s">
        <v>36</v>
      </c>
      <c r="E1046" s="1" t="s">
        <v>23</v>
      </c>
      <c r="F1046" s="1" t="s">
        <v>70</v>
      </c>
      <c r="G1046" s="1" t="s">
        <v>38</v>
      </c>
      <c r="H1046" s="1" t="s">
        <v>78</v>
      </c>
      <c r="I1046" s="7">
        <v>44721</v>
      </c>
      <c r="J1046" s="7">
        <v>44901</v>
      </c>
      <c r="K1046" s="1">
        <v>3</v>
      </c>
      <c r="L1046" s="1" t="s">
        <v>39</v>
      </c>
      <c r="M1046" s="1" t="s">
        <v>40</v>
      </c>
      <c r="N1046" s="1" t="s">
        <v>203</v>
      </c>
      <c r="O1046" s="1" t="s">
        <v>104</v>
      </c>
      <c r="P1046" s="29">
        <v>12999.1</v>
      </c>
      <c r="Q1046" s="1" t="s">
        <v>43</v>
      </c>
      <c r="R1046" s="1">
        <v>7</v>
      </c>
      <c r="S1046" s="1">
        <v>287</v>
      </c>
      <c r="T1046" s="1">
        <v>26.4</v>
      </c>
      <c r="U1046" s="1" t="s">
        <v>44</v>
      </c>
      <c r="V1046" s="17" t="s">
        <v>33</v>
      </c>
    </row>
    <row r="1047" spans="1:22" ht="15" customHeight="1" x14ac:dyDescent="0.25">
      <c r="A1047" s="16" t="s">
        <v>2034</v>
      </c>
      <c r="B1047" s="3" t="s">
        <v>2035</v>
      </c>
      <c r="C1047">
        <v>50</v>
      </c>
      <c r="D1047" s="3" t="s">
        <v>98</v>
      </c>
      <c r="E1047" s="3" t="s">
        <v>48</v>
      </c>
      <c r="F1047" s="3" t="s">
        <v>49</v>
      </c>
      <c r="G1047" s="3" t="s">
        <v>71</v>
      </c>
      <c r="H1047" s="3" t="s">
        <v>51</v>
      </c>
      <c r="I1047" s="6">
        <v>45277</v>
      </c>
      <c r="J1047" s="8">
        <v>45280</v>
      </c>
      <c r="K1047" s="3">
        <v>3</v>
      </c>
      <c r="L1047" s="3" t="s">
        <v>89</v>
      </c>
      <c r="M1047" s="3" t="s">
        <v>90</v>
      </c>
      <c r="N1047" s="3" t="s">
        <v>177</v>
      </c>
      <c r="O1047" s="3" t="s">
        <v>30</v>
      </c>
      <c r="P1047" s="30">
        <v>15657.97</v>
      </c>
      <c r="Q1047" s="3" t="s">
        <v>374</v>
      </c>
      <c r="R1047" s="3">
        <v>3</v>
      </c>
      <c r="S1047" s="3">
        <v>109</v>
      </c>
      <c r="T1047" s="3">
        <v>18.399999999999999</v>
      </c>
      <c r="U1047" s="3" t="s">
        <v>44</v>
      </c>
      <c r="V1047" s="18" t="s">
        <v>45</v>
      </c>
    </row>
    <row r="1048" spans="1:22" ht="15" customHeight="1" x14ac:dyDescent="0.25">
      <c r="A1048" s="15" t="s">
        <v>2036</v>
      </c>
      <c r="B1048" s="1" t="s">
        <v>2037</v>
      </c>
      <c r="C1048">
        <v>42</v>
      </c>
      <c r="D1048" s="1" t="s">
        <v>98</v>
      </c>
      <c r="E1048" s="1" t="s">
        <v>23</v>
      </c>
      <c r="F1048" s="1" t="s">
        <v>99</v>
      </c>
      <c r="G1048" s="1" t="s">
        <v>71</v>
      </c>
      <c r="H1048" s="1" t="s">
        <v>26</v>
      </c>
      <c r="I1048" s="7">
        <v>45526</v>
      </c>
      <c r="J1048" s="7">
        <v>45529</v>
      </c>
      <c r="K1048" s="1">
        <v>3</v>
      </c>
      <c r="L1048" s="1" t="s">
        <v>39</v>
      </c>
      <c r="M1048" s="1" t="s">
        <v>40</v>
      </c>
      <c r="N1048" s="1" t="s">
        <v>72</v>
      </c>
      <c r="O1048" s="1" t="s">
        <v>42</v>
      </c>
      <c r="P1048" s="29">
        <v>21047.91</v>
      </c>
      <c r="Q1048" s="1" t="s">
        <v>178</v>
      </c>
      <c r="R1048" s="1">
        <v>5</v>
      </c>
      <c r="S1048" s="1">
        <v>317</v>
      </c>
      <c r="T1048" s="1">
        <v>25.3</v>
      </c>
      <c r="U1048" s="1" t="s">
        <v>86</v>
      </c>
      <c r="V1048" s="17" t="s">
        <v>33</v>
      </c>
    </row>
    <row r="1049" spans="1:22" ht="15" customHeight="1" x14ac:dyDescent="0.25">
      <c r="A1049" s="16" t="s">
        <v>2038</v>
      </c>
      <c r="B1049" s="3" t="s">
        <v>2039</v>
      </c>
      <c r="C1049">
        <v>64</v>
      </c>
      <c r="D1049" s="3" t="s">
        <v>59</v>
      </c>
      <c r="E1049" s="3" t="s">
        <v>48</v>
      </c>
      <c r="F1049" s="3" t="s">
        <v>37</v>
      </c>
      <c r="G1049" s="3" t="s">
        <v>1033</v>
      </c>
      <c r="H1049" s="3" t="s">
        <v>78</v>
      </c>
      <c r="I1049" s="8">
        <v>43727</v>
      </c>
      <c r="J1049" s="8">
        <v>43731</v>
      </c>
      <c r="K1049" s="3">
        <v>4</v>
      </c>
      <c r="L1049" s="3" t="s">
        <v>52</v>
      </c>
      <c r="M1049" s="3" t="s">
        <v>53</v>
      </c>
      <c r="N1049" s="3" t="s">
        <v>164</v>
      </c>
      <c r="O1049" s="3" t="s">
        <v>30</v>
      </c>
      <c r="P1049" s="30">
        <v>27685</v>
      </c>
      <c r="Q1049" s="3" t="s">
        <v>234</v>
      </c>
      <c r="R1049" s="3">
        <v>6</v>
      </c>
      <c r="S1049" s="3">
        <v>472</v>
      </c>
      <c r="T1049" s="3">
        <v>32</v>
      </c>
      <c r="U1049" s="3" t="s">
        <v>44</v>
      </c>
      <c r="V1049" s="18" t="s">
        <v>33</v>
      </c>
    </row>
    <row r="1050" spans="1:22" ht="15" customHeight="1" x14ac:dyDescent="0.25">
      <c r="A1050" s="15" t="s">
        <v>2040</v>
      </c>
      <c r="B1050" s="1" t="s">
        <v>2041</v>
      </c>
      <c r="C1050">
        <v>67</v>
      </c>
      <c r="D1050" s="1" t="s">
        <v>82</v>
      </c>
      <c r="E1050" s="1" t="s">
        <v>48</v>
      </c>
      <c r="F1050" s="1" t="s">
        <v>76</v>
      </c>
      <c r="G1050" s="1" t="s">
        <v>373</v>
      </c>
      <c r="H1050" s="1" t="s">
        <v>156</v>
      </c>
      <c r="I1050" s="7">
        <v>45560</v>
      </c>
      <c r="J1050" s="7">
        <v>45561</v>
      </c>
      <c r="K1050" s="1">
        <v>1</v>
      </c>
      <c r="L1050" s="1" t="s">
        <v>52</v>
      </c>
      <c r="M1050" s="1" t="s">
        <v>53</v>
      </c>
      <c r="N1050" s="1" t="s">
        <v>312</v>
      </c>
      <c r="O1050" s="1" t="s">
        <v>42</v>
      </c>
      <c r="P1050" s="29">
        <v>24314.15</v>
      </c>
      <c r="Q1050" s="1" t="s">
        <v>73</v>
      </c>
      <c r="R1050" s="1">
        <v>4</v>
      </c>
      <c r="S1050" s="1">
        <v>183</v>
      </c>
      <c r="T1050" s="1">
        <v>25.6</v>
      </c>
      <c r="U1050" s="1" t="s">
        <v>86</v>
      </c>
      <c r="V1050" s="17" t="s">
        <v>33</v>
      </c>
    </row>
    <row r="1051" spans="1:22" ht="15" customHeight="1" x14ac:dyDescent="0.25">
      <c r="A1051" s="16" t="s">
        <v>2042</v>
      </c>
      <c r="B1051" s="3" t="s">
        <v>2043</v>
      </c>
      <c r="C1051">
        <v>79</v>
      </c>
      <c r="D1051" s="3" t="s">
        <v>36</v>
      </c>
      <c r="E1051" s="3" t="s">
        <v>23</v>
      </c>
      <c r="F1051" s="3" t="s">
        <v>76</v>
      </c>
      <c r="G1051" s="3" t="s">
        <v>77</v>
      </c>
      <c r="H1051" s="3" t="s">
        <v>26</v>
      </c>
      <c r="I1051" s="8">
        <v>44915</v>
      </c>
      <c r="J1051" s="8">
        <v>44929</v>
      </c>
      <c r="K1051" s="3">
        <v>14</v>
      </c>
      <c r="L1051" s="3" t="s">
        <v>132</v>
      </c>
      <c r="M1051" s="3" t="s">
        <v>53</v>
      </c>
      <c r="N1051" s="3" t="s">
        <v>94</v>
      </c>
      <c r="O1051" s="3" t="s">
        <v>30</v>
      </c>
      <c r="P1051" s="30">
        <v>217804.98</v>
      </c>
      <c r="Q1051" s="3" t="s">
        <v>85</v>
      </c>
      <c r="R1051" s="3">
        <v>8</v>
      </c>
      <c r="S1051" s="3">
        <v>375</v>
      </c>
      <c r="T1051" s="3">
        <v>25.9</v>
      </c>
      <c r="U1051" s="3" t="s">
        <v>44</v>
      </c>
      <c r="V1051" s="18" t="s">
        <v>33</v>
      </c>
    </row>
    <row r="1052" spans="1:22" ht="15" customHeight="1" x14ac:dyDescent="0.25">
      <c r="A1052" s="15" t="s">
        <v>2044</v>
      </c>
      <c r="B1052" s="1" t="s">
        <v>2045</v>
      </c>
      <c r="C1052">
        <v>74</v>
      </c>
      <c r="D1052" s="1" t="s">
        <v>82</v>
      </c>
      <c r="E1052" s="1" t="s">
        <v>48</v>
      </c>
      <c r="F1052" s="1" t="s">
        <v>24</v>
      </c>
      <c r="G1052" s="1" t="s">
        <v>25</v>
      </c>
      <c r="H1052" s="1" t="s">
        <v>26</v>
      </c>
      <c r="I1052" s="6">
        <v>44977</v>
      </c>
      <c r="J1052" s="7">
        <v>45202</v>
      </c>
      <c r="K1052" s="1">
        <v>18</v>
      </c>
      <c r="L1052" s="1" t="s">
        <v>122</v>
      </c>
      <c r="M1052" s="1" t="s">
        <v>40</v>
      </c>
      <c r="N1052" s="1" t="s">
        <v>248</v>
      </c>
      <c r="O1052" s="1" t="s">
        <v>104</v>
      </c>
      <c r="P1052" s="29">
        <v>280000</v>
      </c>
      <c r="Q1052" s="1" t="s">
        <v>31</v>
      </c>
      <c r="R1052" s="1">
        <v>10</v>
      </c>
      <c r="S1052" s="1">
        <v>309</v>
      </c>
      <c r="T1052" s="1">
        <v>25.3</v>
      </c>
      <c r="U1052" s="1" t="s">
        <v>86</v>
      </c>
      <c r="V1052" s="17" t="s">
        <v>33</v>
      </c>
    </row>
    <row r="1053" spans="1:22" ht="15" customHeight="1" x14ac:dyDescent="0.25">
      <c r="A1053" s="16" t="s">
        <v>2046</v>
      </c>
      <c r="B1053" s="2" t="s">
        <v>3645</v>
      </c>
      <c r="C1053">
        <v>68</v>
      </c>
      <c r="D1053" s="3" t="s">
        <v>82</v>
      </c>
      <c r="E1053" s="3" t="s">
        <v>23</v>
      </c>
      <c r="F1053" s="3" t="s">
        <v>83</v>
      </c>
      <c r="G1053" s="3" t="s">
        <v>77</v>
      </c>
      <c r="H1053" s="3" t="s">
        <v>26</v>
      </c>
      <c r="I1053" s="6">
        <v>44328</v>
      </c>
      <c r="J1053" s="8">
        <v>44545</v>
      </c>
      <c r="K1053" s="3">
        <v>10</v>
      </c>
      <c r="L1053" s="3" t="s">
        <v>132</v>
      </c>
      <c r="M1053" s="3" t="s">
        <v>53</v>
      </c>
      <c r="N1053" s="3" t="s">
        <v>79</v>
      </c>
      <c r="O1053" s="3" t="s">
        <v>30</v>
      </c>
      <c r="P1053" s="30">
        <v>110248</v>
      </c>
      <c r="Q1053" s="3" t="s">
        <v>100</v>
      </c>
      <c r="R1053" s="3">
        <v>10</v>
      </c>
      <c r="S1053" s="3">
        <v>320</v>
      </c>
      <c r="T1053" s="3">
        <v>31.5</v>
      </c>
      <c r="U1053" s="3" t="s">
        <v>44</v>
      </c>
      <c r="V1053" s="18" t="s">
        <v>45</v>
      </c>
    </row>
    <row r="1054" spans="1:22" ht="15" customHeight="1" x14ac:dyDescent="0.25">
      <c r="A1054" s="15" t="s">
        <v>2047</v>
      </c>
      <c r="B1054" s="1" t="s">
        <v>2048</v>
      </c>
      <c r="C1054">
        <v>74</v>
      </c>
      <c r="D1054" s="1" t="s">
        <v>82</v>
      </c>
      <c r="E1054" s="1" t="s">
        <v>23</v>
      </c>
      <c r="F1054" s="1" t="s">
        <v>24</v>
      </c>
      <c r="G1054" s="1" t="s">
        <v>38</v>
      </c>
      <c r="H1054" s="1" t="s">
        <v>78</v>
      </c>
      <c r="I1054" s="6">
        <v>45456</v>
      </c>
      <c r="J1054" s="7">
        <v>45461</v>
      </c>
      <c r="K1054" s="1">
        <v>5</v>
      </c>
      <c r="L1054" s="1" t="s">
        <v>39</v>
      </c>
      <c r="M1054" s="1" t="s">
        <v>40</v>
      </c>
      <c r="N1054" s="1" t="s">
        <v>203</v>
      </c>
      <c r="O1054" s="1" t="s">
        <v>42</v>
      </c>
      <c r="P1054" s="29">
        <v>13270.43</v>
      </c>
      <c r="Q1054" s="1" t="s">
        <v>305</v>
      </c>
      <c r="R1054" s="1">
        <v>5</v>
      </c>
      <c r="S1054" s="1">
        <v>345</v>
      </c>
      <c r="T1054" s="1">
        <v>31.7</v>
      </c>
      <c r="U1054" s="1" t="s">
        <v>44</v>
      </c>
      <c r="V1054" s="17" t="s">
        <v>33</v>
      </c>
    </row>
    <row r="1055" spans="1:22" ht="15" customHeight="1" x14ac:dyDescent="0.25">
      <c r="A1055" s="16" t="s">
        <v>2049</v>
      </c>
      <c r="B1055" s="3" t="s">
        <v>724</v>
      </c>
      <c r="C1055">
        <v>71</v>
      </c>
      <c r="D1055" s="3" t="s">
        <v>82</v>
      </c>
      <c r="E1055" s="3" t="s">
        <v>23</v>
      </c>
      <c r="F1055" s="3" t="s">
        <v>83</v>
      </c>
      <c r="G1055" s="3" t="s">
        <v>131</v>
      </c>
      <c r="H1055" s="3" t="s">
        <v>51</v>
      </c>
      <c r="I1055" s="8">
        <v>43682</v>
      </c>
      <c r="J1055" s="8">
        <v>43746</v>
      </c>
      <c r="K1055" s="3">
        <v>5</v>
      </c>
      <c r="L1055" s="3" t="s">
        <v>102</v>
      </c>
      <c r="M1055" s="3" t="s">
        <v>28</v>
      </c>
      <c r="N1055" s="3" t="s">
        <v>157</v>
      </c>
      <c r="O1055" s="3" t="s">
        <v>104</v>
      </c>
      <c r="P1055" s="30">
        <v>20316.72</v>
      </c>
      <c r="Q1055" s="3" t="s">
        <v>695</v>
      </c>
      <c r="R1055" s="3">
        <v>7</v>
      </c>
      <c r="S1055" s="3">
        <v>143</v>
      </c>
      <c r="T1055" s="3">
        <v>25.7</v>
      </c>
      <c r="U1055" s="3" t="s">
        <v>32</v>
      </c>
      <c r="V1055" s="18" t="s">
        <v>33</v>
      </c>
    </row>
    <row r="1056" spans="1:22" ht="15" customHeight="1" x14ac:dyDescent="0.25">
      <c r="A1056" s="15" t="s">
        <v>2050</v>
      </c>
      <c r="B1056" s="2" t="s">
        <v>3646</v>
      </c>
      <c r="C1056">
        <v>58</v>
      </c>
      <c r="D1056" s="1" t="s">
        <v>59</v>
      </c>
      <c r="E1056" s="1" t="s">
        <v>23</v>
      </c>
      <c r="F1056" s="1" t="s">
        <v>83</v>
      </c>
      <c r="G1056" s="1" t="s">
        <v>25</v>
      </c>
      <c r="H1056" s="1" t="s">
        <v>26</v>
      </c>
      <c r="I1056" s="7">
        <v>43709</v>
      </c>
      <c r="J1056" s="7">
        <v>43722</v>
      </c>
      <c r="K1056" s="1">
        <v>13</v>
      </c>
      <c r="L1056" s="1" t="s">
        <v>112</v>
      </c>
      <c r="M1056" s="1" t="s">
        <v>40</v>
      </c>
      <c r="N1056" s="1" t="s">
        <v>248</v>
      </c>
      <c r="O1056" s="1" t="s">
        <v>42</v>
      </c>
      <c r="P1056" s="29">
        <v>104633.67</v>
      </c>
      <c r="Q1056" s="1" t="s">
        <v>198</v>
      </c>
      <c r="R1056" s="1">
        <v>12</v>
      </c>
      <c r="S1056" s="1">
        <v>359</v>
      </c>
      <c r="T1056" s="1">
        <v>16.100000000000001</v>
      </c>
      <c r="U1056" s="1" t="s">
        <v>44</v>
      </c>
      <c r="V1056" s="17" t="s">
        <v>33</v>
      </c>
    </row>
    <row r="1057" spans="1:22" ht="15" customHeight="1" x14ac:dyDescent="0.25">
      <c r="A1057" s="16" t="s">
        <v>2051</v>
      </c>
      <c r="B1057" s="3" t="s">
        <v>2052</v>
      </c>
      <c r="C1057">
        <v>30</v>
      </c>
      <c r="D1057" s="3" t="s">
        <v>47</v>
      </c>
      <c r="E1057" s="3" t="s">
        <v>23</v>
      </c>
      <c r="F1057" s="2" t="s">
        <v>155</v>
      </c>
      <c r="G1057" s="3" t="s">
        <v>77</v>
      </c>
      <c r="H1057" s="3" t="s">
        <v>26</v>
      </c>
      <c r="I1057" s="8">
        <v>44420</v>
      </c>
      <c r="J1057" s="8">
        <v>44548</v>
      </c>
      <c r="K1057" s="3">
        <v>10</v>
      </c>
      <c r="L1057" s="3" t="s">
        <v>231</v>
      </c>
      <c r="M1057" s="3" t="s">
        <v>53</v>
      </c>
      <c r="N1057" s="3" t="s">
        <v>79</v>
      </c>
      <c r="O1057" s="3" t="s">
        <v>30</v>
      </c>
      <c r="P1057" s="30">
        <v>59006.12</v>
      </c>
      <c r="Q1057" s="3" t="s">
        <v>80</v>
      </c>
      <c r="R1057" s="3">
        <v>10</v>
      </c>
      <c r="S1057" s="3">
        <v>392</v>
      </c>
      <c r="T1057" s="3">
        <v>29.5</v>
      </c>
      <c r="U1057" s="3" t="s">
        <v>86</v>
      </c>
      <c r="V1057" s="18" t="s">
        <v>33</v>
      </c>
    </row>
    <row r="1058" spans="1:22" ht="15" customHeight="1" x14ac:dyDescent="0.25">
      <c r="A1058" s="15" t="s">
        <v>2053</v>
      </c>
      <c r="B1058" s="1" t="s">
        <v>2054</v>
      </c>
      <c r="C1058">
        <v>48</v>
      </c>
      <c r="D1058" s="1" t="s">
        <v>98</v>
      </c>
      <c r="E1058" s="1" t="s">
        <v>23</v>
      </c>
      <c r="F1058" s="1" t="s">
        <v>83</v>
      </c>
      <c r="G1058" s="1" t="s">
        <v>38</v>
      </c>
      <c r="H1058" s="1" t="s">
        <v>26</v>
      </c>
      <c r="I1058" s="6">
        <v>44490</v>
      </c>
      <c r="J1058" s="7">
        <v>44500</v>
      </c>
      <c r="K1058" s="1">
        <v>10</v>
      </c>
      <c r="L1058" s="1" t="s">
        <v>39</v>
      </c>
      <c r="M1058" s="1" t="s">
        <v>40</v>
      </c>
      <c r="N1058" s="1" t="s">
        <v>173</v>
      </c>
      <c r="O1058" s="1" t="s">
        <v>30</v>
      </c>
      <c r="P1058" s="29">
        <v>9271.15</v>
      </c>
      <c r="Q1058" s="1" t="s">
        <v>43</v>
      </c>
      <c r="R1058" s="1">
        <v>6</v>
      </c>
      <c r="S1058" s="1">
        <v>416</v>
      </c>
      <c r="T1058" s="1">
        <v>25.1</v>
      </c>
      <c r="U1058" s="1" t="s">
        <v>86</v>
      </c>
      <c r="V1058" s="17" t="s">
        <v>33</v>
      </c>
    </row>
    <row r="1059" spans="1:22" ht="15" customHeight="1" x14ac:dyDescent="0.25">
      <c r="A1059" s="16" t="s">
        <v>2055</v>
      </c>
      <c r="B1059" s="3" t="s">
        <v>2056</v>
      </c>
      <c r="C1059">
        <v>77</v>
      </c>
      <c r="D1059" s="3" t="s">
        <v>36</v>
      </c>
      <c r="E1059" s="3" t="s">
        <v>23</v>
      </c>
      <c r="F1059" s="3" t="s">
        <v>49</v>
      </c>
      <c r="G1059" s="3" t="s">
        <v>77</v>
      </c>
      <c r="H1059" s="3" t="s">
        <v>26</v>
      </c>
      <c r="I1059" s="8">
        <v>44207</v>
      </c>
      <c r="J1059" s="8">
        <v>44511</v>
      </c>
      <c r="K1059" s="3">
        <v>10</v>
      </c>
      <c r="L1059" s="3" t="s">
        <v>27</v>
      </c>
      <c r="M1059" s="3" t="s">
        <v>28</v>
      </c>
      <c r="N1059" s="3" t="s">
        <v>79</v>
      </c>
      <c r="O1059" s="3" t="s">
        <v>30</v>
      </c>
      <c r="P1059" s="30">
        <v>78378</v>
      </c>
      <c r="Q1059" s="3" t="s">
        <v>100</v>
      </c>
      <c r="R1059" s="3">
        <v>9</v>
      </c>
      <c r="S1059" s="3">
        <v>371</v>
      </c>
      <c r="T1059" s="3">
        <v>27.5</v>
      </c>
      <c r="U1059" s="3" t="s">
        <v>44</v>
      </c>
      <c r="V1059" s="18" t="s">
        <v>33</v>
      </c>
    </row>
    <row r="1060" spans="1:22" ht="15" customHeight="1" x14ac:dyDescent="0.25">
      <c r="A1060" s="15" t="s">
        <v>2057</v>
      </c>
      <c r="B1060" s="1" t="s">
        <v>2058</v>
      </c>
      <c r="C1060">
        <v>74</v>
      </c>
      <c r="D1060" s="1" t="s">
        <v>82</v>
      </c>
      <c r="E1060" s="1" t="s">
        <v>23</v>
      </c>
      <c r="F1060" s="1" t="s">
        <v>99</v>
      </c>
      <c r="G1060" s="1" t="s">
        <v>77</v>
      </c>
      <c r="H1060" s="1" t="s">
        <v>26</v>
      </c>
      <c r="I1060" s="6">
        <v>45332</v>
      </c>
      <c r="J1060" s="7">
        <v>45573</v>
      </c>
      <c r="K1060" s="1">
        <v>6</v>
      </c>
      <c r="L1060" s="1" t="s">
        <v>122</v>
      </c>
      <c r="M1060" s="1" t="s">
        <v>40</v>
      </c>
      <c r="N1060" s="1" t="s">
        <v>79</v>
      </c>
      <c r="O1060" s="1" t="s">
        <v>104</v>
      </c>
      <c r="P1060" s="29">
        <v>61952.58</v>
      </c>
      <c r="Q1060" s="1" t="s">
        <v>109</v>
      </c>
      <c r="R1060" s="1">
        <v>8</v>
      </c>
      <c r="S1060" s="1">
        <v>349</v>
      </c>
      <c r="T1060" s="1">
        <v>37.799999999999997</v>
      </c>
      <c r="U1060" s="1" t="s">
        <v>44</v>
      </c>
      <c r="V1060" s="17" t="s">
        <v>45</v>
      </c>
    </row>
    <row r="1061" spans="1:22" ht="15" customHeight="1" x14ac:dyDescent="0.25">
      <c r="A1061" s="16" t="s">
        <v>2059</v>
      </c>
      <c r="B1061" s="3" t="s">
        <v>2060</v>
      </c>
      <c r="C1061">
        <v>69</v>
      </c>
      <c r="D1061" s="3" t="s">
        <v>82</v>
      </c>
      <c r="E1061" s="3" t="s">
        <v>23</v>
      </c>
      <c r="F1061" s="3" t="s">
        <v>24</v>
      </c>
      <c r="G1061" s="3" t="s">
        <v>1033</v>
      </c>
      <c r="H1061" s="3" t="s">
        <v>26</v>
      </c>
      <c r="I1061" s="8">
        <v>43490</v>
      </c>
      <c r="J1061" s="8">
        <v>43495</v>
      </c>
      <c r="K1061" s="3">
        <v>5</v>
      </c>
      <c r="L1061" s="3" t="s">
        <v>89</v>
      </c>
      <c r="M1061" s="3" t="s">
        <v>90</v>
      </c>
      <c r="N1061" s="3" t="s">
        <v>164</v>
      </c>
      <c r="O1061" s="3" t="s">
        <v>104</v>
      </c>
      <c r="P1061" s="30">
        <v>42280.51</v>
      </c>
      <c r="Q1061" s="3" t="s">
        <v>382</v>
      </c>
      <c r="R1061" s="3">
        <v>5</v>
      </c>
      <c r="S1061" s="3">
        <v>450</v>
      </c>
      <c r="T1061" s="3">
        <v>38.299999999999997</v>
      </c>
      <c r="U1061" s="3" t="s">
        <v>32</v>
      </c>
      <c r="V1061" s="18" t="s">
        <v>33</v>
      </c>
    </row>
    <row r="1062" spans="1:22" ht="15" customHeight="1" x14ac:dyDescent="0.25">
      <c r="A1062" s="15" t="s">
        <v>2061</v>
      </c>
      <c r="B1062" s="1" t="s">
        <v>2062</v>
      </c>
      <c r="C1062">
        <v>68</v>
      </c>
      <c r="D1062" s="1" t="s">
        <v>82</v>
      </c>
      <c r="E1062" s="1" t="s">
        <v>23</v>
      </c>
      <c r="F1062" s="1" t="s">
        <v>76</v>
      </c>
      <c r="G1062" s="1" t="s">
        <v>60</v>
      </c>
      <c r="H1062" s="1" t="s">
        <v>51</v>
      </c>
      <c r="I1062" s="6">
        <v>43700</v>
      </c>
      <c r="J1062" s="7">
        <v>43706</v>
      </c>
      <c r="K1062" s="1">
        <v>6</v>
      </c>
      <c r="L1062" s="1" t="s">
        <v>122</v>
      </c>
      <c r="M1062" s="1" t="s">
        <v>40</v>
      </c>
      <c r="N1062" s="1" t="s">
        <v>61</v>
      </c>
      <c r="O1062" s="1" t="s">
        <v>42</v>
      </c>
      <c r="P1062" s="29">
        <v>54424.07</v>
      </c>
      <c r="Q1062" s="1" t="s">
        <v>137</v>
      </c>
      <c r="R1062" s="1">
        <v>6</v>
      </c>
      <c r="S1062" s="1">
        <v>187</v>
      </c>
      <c r="T1062" s="1">
        <v>22.7</v>
      </c>
      <c r="U1062" s="1" t="s">
        <v>44</v>
      </c>
      <c r="V1062" s="17" t="s">
        <v>33</v>
      </c>
    </row>
    <row r="1063" spans="1:22" ht="15" customHeight="1" x14ac:dyDescent="0.25">
      <c r="A1063" s="16" t="s">
        <v>2063</v>
      </c>
      <c r="B1063" s="3" t="s">
        <v>629</v>
      </c>
      <c r="C1063">
        <v>90</v>
      </c>
      <c r="D1063" s="3" t="s">
        <v>36</v>
      </c>
      <c r="E1063" s="3" t="s">
        <v>23</v>
      </c>
      <c r="F1063" s="3" t="s">
        <v>70</v>
      </c>
      <c r="G1063" s="3" t="s">
        <v>38</v>
      </c>
      <c r="H1063" s="3" t="s">
        <v>78</v>
      </c>
      <c r="I1063" s="6">
        <v>45472</v>
      </c>
      <c r="J1063" s="8">
        <v>45389</v>
      </c>
      <c r="K1063" s="3">
        <v>5</v>
      </c>
      <c r="L1063" s="3" t="s">
        <v>231</v>
      </c>
      <c r="M1063" s="3" t="s">
        <v>53</v>
      </c>
      <c r="N1063" s="3" t="s">
        <v>41</v>
      </c>
      <c r="O1063" s="3" t="s">
        <v>55</v>
      </c>
      <c r="P1063" s="30">
        <v>16330.05</v>
      </c>
      <c r="Q1063" s="3" t="s">
        <v>119</v>
      </c>
      <c r="R1063" s="3">
        <v>6</v>
      </c>
      <c r="S1063" s="3">
        <v>312</v>
      </c>
      <c r="T1063" s="3">
        <v>30.1</v>
      </c>
      <c r="U1063" s="3" t="s">
        <v>44</v>
      </c>
      <c r="V1063" s="18" t="s">
        <v>33</v>
      </c>
    </row>
    <row r="1064" spans="1:22" ht="15" customHeight="1" x14ac:dyDescent="0.25">
      <c r="A1064" s="15" t="s">
        <v>2064</v>
      </c>
      <c r="B1064" s="2" t="s">
        <v>1585</v>
      </c>
      <c r="C1064">
        <v>42</v>
      </c>
      <c r="D1064" s="1" t="s">
        <v>98</v>
      </c>
      <c r="E1064" s="1" t="s">
        <v>23</v>
      </c>
      <c r="F1064" s="1" t="s">
        <v>76</v>
      </c>
      <c r="G1064" s="1" t="s">
        <v>77</v>
      </c>
      <c r="H1064" s="1" t="s">
        <v>51</v>
      </c>
      <c r="I1064" s="6">
        <v>44022</v>
      </c>
      <c r="J1064" s="7">
        <v>44119</v>
      </c>
      <c r="K1064" s="1">
        <v>8</v>
      </c>
      <c r="L1064" s="1" t="s">
        <v>52</v>
      </c>
      <c r="M1064" s="1" t="s">
        <v>53</v>
      </c>
      <c r="N1064" s="1" t="s">
        <v>79</v>
      </c>
      <c r="O1064" s="1" t="s">
        <v>55</v>
      </c>
      <c r="P1064" s="29">
        <v>72796.67</v>
      </c>
      <c r="Q1064" s="1" t="s">
        <v>223</v>
      </c>
      <c r="R1064" s="1">
        <v>10</v>
      </c>
      <c r="S1064" s="1">
        <v>197</v>
      </c>
      <c r="T1064" s="1">
        <v>33.799999999999997</v>
      </c>
      <c r="U1064" s="1" t="s">
        <v>44</v>
      </c>
      <c r="V1064" s="17" t="s">
        <v>33</v>
      </c>
    </row>
    <row r="1065" spans="1:22" ht="15" customHeight="1" x14ac:dyDescent="0.25">
      <c r="A1065" s="16" t="s">
        <v>2065</v>
      </c>
      <c r="B1065" s="2" t="s">
        <v>3647</v>
      </c>
      <c r="C1065">
        <v>63</v>
      </c>
      <c r="D1065" s="3" t="s">
        <v>59</v>
      </c>
      <c r="E1065" s="3" t="s">
        <v>48</v>
      </c>
      <c r="F1065" s="3" t="s">
        <v>155</v>
      </c>
      <c r="G1065" s="3" t="s">
        <v>131</v>
      </c>
      <c r="H1065" s="3" t="s">
        <v>51</v>
      </c>
      <c r="I1065" s="8">
        <v>44178</v>
      </c>
      <c r="J1065" s="8">
        <v>44182</v>
      </c>
      <c r="K1065" s="3">
        <v>4</v>
      </c>
      <c r="L1065" s="3" t="s">
        <v>102</v>
      </c>
      <c r="M1065" s="3" t="s">
        <v>28</v>
      </c>
      <c r="N1065" s="3" t="s">
        <v>147</v>
      </c>
      <c r="O1065" s="3" t="s">
        <v>3565</v>
      </c>
      <c r="P1065" s="30">
        <v>60383.23</v>
      </c>
      <c r="Q1065" s="3" t="s">
        <v>148</v>
      </c>
      <c r="R1065" s="3">
        <v>6</v>
      </c>
      <c r="S1065" s="3">
        <v>126</v>
      </c>
      <c r="T1065" s="3">
        <v>29.7</v>
      </c>
      <c r="U1065" s="3" t="s">
        <v>86</v>
      </c>
      <c r="V1065" s="18" t="s">
        <v>45</v>
      </c>
    </row>
    <row r="1066" spans="1:22" ht="15" customHeight="1" x14ac:dyDescent="0.25">
      <c r="A1066" s="15" t="s">
        <v>2066</v>
      </c>
      <c r="B1066" s="1" t="s">
        <v>2067</v>
      </c>
      <c r="C1066">
        <v>82</v>
      </c>
      <c r="D1066" s="1" t="s">
        <v>36</v>
      </c>
      <c r="E1066" s="1" t="s">
        <v>23</v>
      </c>
      <c r="F1066" s="1" t="s">
        <v>155</v>
      </c>
      <c r="G1066" s="1" t="s">
        <v>50</v>
      </c>
      <c r="H1066" s="1" t="s">
        <v>26</v>
      </c>
      <c r="I1066" s="7">
        <v>44080</v>
      </c>
      <c r="J1066" s="7">
        <v>44088</v>
      </c>
      <c r="K1066" s="1">
        <v>8</v>
      </c>
      <c r="L1066" s="1" t="s">
        <v>39</v>
      </c>
      <c r="M1066" s="1" t="s">
        <v>40</v>
      </c>
      <c r="N1066" s="1" t="s">
        <v>126</v>
      </c>
      <c r="O1066" s="1" t="s">
        <v>30</v>
      </c>
      <c r="P1066" s="29">
        <v>53878.16</v>
      </c>
      <c r="Q1066" s="1" t="s">
        <v>144</v>
      </c>
      <c r="R1066" s="1">
        <v>9</v>
      </c>
      <c r="S1066" s="1">
        <v>320</v>
      </c>
      <c r="T1066" s="1">
        <v>29</v>
      </c>
      <c r="U1066" s="1" t="s">
        <v>44</v>
      </c>
      <c r="V1066" s="17" t="s">
        <v>45</v>
      </c>
    </row>
    <row r="1067" spans="1:22" ht="15" customHeight="1" x14ac:dyDescent="0.25">
      <c r="A1067" s="16" t="s">
        <v>2068</v>
      </c>
      <c r="B1067" s="3" t="s">
        <v>2069</v>
      </c>
      <c r="C1067">
        <v>62</v>
      </c>
      <c r="D1067" s="3" t="s">
        <v>59</v>
      </c>
      <c r="E1067" s="3" t="s">
        <v>23</v>
      </c>
      <c r="F1067" s="3" t="s">
        <v>49</v>
      </c>
      <c r="G1067" s="3" t="s">
        <v>131</v>
      </c>
      <c r="H1067" s="3" t="s">
        <v>78</v>
      </c>
      <c r="I1067" s="8">
        <v>43797</v>
      </c>
      <c r="J1067" s="8">
        <v>43800</v>
      </c>
      <c r="K1067" s="3">
        <v>3</v>
      </c>
      <c r="L1067" s="3" t="s">
        <v>39</v>
      </c>
      <c r="M1067" s="3" t="s">
        <v>40</v>
      </c>
      <c r="N1067" s="3" t="s">
        <v>133</v>
      </c>
      <c r="O1067" s="3" t="s">
        <v>30</v>
      </c>
      <c r="P1067" s="30">
        <v>25954.93</v>
      </c>
      <c r="Q1067" s="3" t="s">
        <v>266</v>
      </c>
      <c r="R1067" s="3">
        <v>6</v>
      </c>
      <c r="S1067" s="3">
        <v>435</v>
      </c>
      <c r="T1067" s="3">
        <v>23</v>
      </c>
      <c r="U1067" s="3" t="s">
        <v>32</v>
      </c>
      <c r="V1067" s="18" t="s">
        <v>33</v>
      </c>
    </row>
    <row r="1068" spans="1:22" ht="15" customHeight="1" x14ac:dyDescent="0.25">
      <c r="A1068" s="15" t="s">
        <v>2070</v>
      </c>
      <c r="B1068" s="1" t="s">
        <v>2071</v>
      </c>
      <c r="C1068">
        <v>68</v>
      </c>
      <c r="D1068" s="1" t="s">
        <v>82</v>
      </c>
      <c r="E1068" s="1" t="s">
        <v>48</v>
      </c>
      <c r="F1068" s="1" t="s">
        <v>155</v>
      </c>
      <c r="G1068" s="1" t="s">
        <v>38</v>
      </c>
      <c r="H1068" s="1" t="s">
        <v>51</v>
      </c>
      <c r="I1068" s="7">
        <v>44183</v>
      </c>
      <c r="J1068" s="7">
        <v>44187</v>
      </c>
      <c r="K1068" s="1">
        <v>4</v>
      </c>
      <c r="L1068" s="1" t="s">
        <v>102</v>
      </c>
      <c r="M1068" s="1" t="s">
        <v>28</v>
      </c>
      <c r="N1068" s="1" t="s">
        <v>41</v>
      </c>
      <c r="O1068" s="1" t="s">
        <v>42</v>
      </c>
      <c r="P1068" s="29">
        <v>19870.43</v>
      </c>
      <c r="Q1068" s="1" t="s">
        <v>119</v>
      </c>
      <c r="R1068" s="1">
        <v>8</v>
      </c>
      <c r="S1068" s="1">
        <v>146</v>
      </c>
      <c r="T1068" s="1">
        <v>25.9</v>
      </c>
      <c r="U1068" s="1" t="s">
        <v>44</v>
      </c>
      <c r="V1068" s="17" t="s">
        <v>33</v>
      </c>
    </row>
    <row r="1069" spans="1:22" ht="15" customHeight="1" x14ac:dyDescent="0.25">
      <c r="A1069" s="16" t="s">
        <v>2072</v>
      </c>
      <c r="B1069" s="3" t="s">
        <v>776</v>
      </c>
      <c r="C1069">
        <v>67</v>
      </c>
      <c r="D1069" s="3" t="s">
        <v>82</v>
      </c>
      <c r="E1069" s="3" t="s">
        <v>48</v>
      </c>
      <c r="F1069" s="3" t="s">
        <v>70</v>
      </c>
      <c r="G1069" s="3" t="s">
        <v>163</v>
      </c>
      <c r="H1069" s="3" t="s">
        <v>51</v>
      </c>
      <c r="I1069" s="8">
        <v>43867</v>
      </c>
      <c r="J1069" s="8">
        <v>44014</v>
      </c>
      <c r="K1069" s="3">
        <v>1</v>
      </c>
      <c r="L1069" s="3" t="s">
        <v>132</v>
      </c>
      <c r="M1069" s="3" t="s">
        <v>53</v>
      </c>
      <c r="N1069" s="3" t="s">
        <v>213</v>
      </c>
      <c r="O1069" s="3" t="s">
        <v>66</v>
      </c>
      <c r="P1069" s="30">
        <v>76297</v>
      </c>
      <c r="Q1069" s="3" t="s">
        <v>382</v>
      </c>
      <c r="R1069" s="3">
        <v>3</v>
      </c>
      <c r="S1069" s="3">
        <v>179</v>
      </c>
      <c r="T1069" s="3">
        <v>30.2</v>
      </c>
      <c r="U1069" s="3" t="s">
        <v>32</v>
      </c>
      <c r="V1069" s="18" t="s">
        <v>45</v>
      </c>
    </row>
    <row r="1070" spans="1:22" ht="15" customHeight="1" x14ac:dyDescent="0.25">
      <c r="A1070" s="15" t="s">
        <v>2073</v>
      </c>
      <c r="B1070" s="1" t="s">
        <v>2074</v>
      </c>
      <c r="C1070">
        <v>74</v>
      </c>
      <c r="D1070" s="1" t="s">
        <v>82</v>
      </c>
      <c r="E1070" s="1" t="s">
        <v>48</v>
      </c>
      <c r="F1070" s="1" t="s">
        <v>70</v>
      </c>
      <c r="G1070" s="1" t="s">
        <v>131</v>
      </c>
      <c r="H1070" s="1" t="s">
        <v>26</v>
      </c>
      <c r="I1070" s="7">
        <v>44910</v>
      </c>
      <c r="J1070" s="7">
        <v>44916</v>
      </c>
      <c r="K1070" s="1">
        <v>6</v>
      </c>
      <c r="L1070" s="1" t="s">
        <v>112</v>
      </c>
      <c r="M1070" s="1" t="s">
        <v>40</v>
      </c>
      <c r="N1070" s="1" t="s">
        <v>157</v>
      </c>
      <c r="O1070" s="1" t="s">
        <v>55</v>
      </c>
      <c r="P1070" s="29">
        <v>61429.42</v>
      </c>
      <c r="Q1070" s="1" t="s">
        <v>266</v>
      </c>
      <c r="R1070" s="1">
        <v>7</v>
      </c>
      <c r="S1070" s="1">
        <v>383</v>
      </c>
      <c r="T1070" s="1">
        <v>36.1</v>
      </c>
      <c r="U1070" s="1" t="s">
        <v>44</v>
      </c>
      <c r="V1070" s="17" t="s">
        <v>33</v>
      </c>
    </row>
    <row r="1071" spans="1:22" ht="15" customHeight="1" x14ac:dyDescent="0.25">
      <c r="A1071" s="16" t="s">
        <v>2075</v>
      </c>
      <c r="B1071" s="3" t="s">
        <v>2076</v>
      </c>
      <c r="C1071">
        <v>6</v>
      </c>
      <c r="D1071" s="3" t="s">
        <v>22</v>
      </c>
      <c r="E1071" s="3" t="s">
        <v>48</v>
      </c>
      <c r="F1071" s="3" t="s">
        <v>24</v>
      </c>
      <c r="G1071" s="3" t="s">
        <v>163</v>
      </c>
      <c r="H1071" s="3" t="s">
        <v>26</v>
      </c>
      <c r="I1071" s="6">
        <v>44628</v>
      </c>
      <c r="J1071" s="8">
        <v>44780</v>
      </c>
      <c r="K1071" s="3">
        <v>4</v>
      </c>
      <c r="L1071" s="3" t="s">
        <v>231</v>
      </c>
      <c r="M1071" s="3" t="s">
        <v>53</v>
      </c>
      <c r="N1071" s="3" t="s">
        <v>346</v>
      </c>
      <c r="O1071" s="3" t="s">
        <v>42</v>
      </c>
      <c r="P1071" s="30">
        <v>32634.7</v>
      </c>
      <c r="Q1071" s="3" t="s">
        <v>382</v>
      </c>
      <c r="R1071" s="3">
        <v>6</v>
      </c>
      <c r="S1071" s="3">
        <v>304</v>
      </c>
      <c r="T1071" s="3">
        <v>28.5</v>
      </c>
      <c r="U1071" s="3" t="s">
        <v>32</v>
      </c>
      <c r="V1071" s="18" t="s">
        <v>33</v>
      </c>
    </row>
    <row r="1072" spans="1:22" ht="15" customHeight="1" x14ac:dyDescent="0.25">
      <c r="A1072" s="15" t="s">
        <v>2077</v>
      </c>
      <c r="B1072" s="1" t="s">
        <v>791</v>
      </c>
      <c r="C1072">
        <v>70</v>
      </c>
      <c r="D1072" s="1" t="s">
        <v>82</v>
      </c>
      <c r="E1072" s="1" t="s">
        <v>48</v>
      </c>
      <c r="F1072" s="1" t="s">
        <v>83</v>
      </c>
      <c r="G1072" s="1" t="s">
        <v>77</v>
      </c>
      <c r="H1072" s="1" t="s">
        <v>26</v>
      </c>
      <c r="I1072" s="7">
        <v>45166</v>
      </c>
      <c r="J1072" s="7">
        <v>45025</v>
      </c>
      <c r="K1072" s="1">
        <v>7</v>
      </c>
      <c r="L1072" s="1" t="s">
        <v>185</v>
      </c>
      <c r="M1072" s="1" t="s">
        <v>186</v>
      </c>
      <c r="N1072" s="1" t="s">
        <v>94</v>
      </c>
      <c r="O1072" s="1" t="s">
        <v>42</v>
      </c>
      <c r="P1072" s="29">
        <v>109474.29</v>
      </c>
      <c r="Q1072" s="1" t="s">
        <v>80</v>
      </c>
      <c r="R1072" s="1">
        <v>10</v>
      </c>
      <c r="S1072" s="1">
        <v>308</v>
      </c>
      <c r="T1072" s="1">
        <v>41.9</v>
      </c>
      <c r="U1072" s="1" t="s">
        <v>44</v>
      </c>
      <c r="V1072" s="17" t="s">
        <v>33</v>
      </c>
    </row>
    <row r="1073" spans="1:22" ht="15" customHeight="1" x14ac:dyDescent="0.25">
      <c r="A1073" s="16" t="s">
        <v>2078</v>
      </c>
      <c r="B1073" s="3" t="s">
        <v>1110</v>
      </c>
      <c r="C1073">
        <v>88</v>
      </c>
      <c r="D1073" s="3" t="s">
        <v>36</v>
      </c>
      <c r="E1073" s="3" t="s">
        <v>48</v>
      </c>
      <c r="F1073" s="3" t="s">
        <v>70</v>
      </c>
      <c r="G1073" s="3" t="s">
        <v>38</v>
      </c>
      <c r="H1073" s="3" t="s">
        <v>78</v>
      </c>
      <c r="I1073" s="8">
        <v>45527</v>
      </c>
      <c r="J1073" s="8">
        <v>45530</v>
      </c>
      <c r="K1073" s="3">
        <v>3</v>
      </c>
      <c r="L1073" s="3" t="s">
        <v>231</v>
      </c>
      <c r="M1073" s="3" t="s">
        <v>53</v>
      </c>
      <c r="N1073" s="3" t="s">
        <v>203</v>
      </c>
      <c r="O1073" s="3" t="s">
        <v>42</v>
      </c>
      <c r="P1073" s="30">
        <v>13403</v>
      </c>
      <c r="Q1073" s="3" t="s">
        <v>119</v>
      </c>
      <c r="R1073" s="3">
        <v>5</v>
      </c>
      <c r="S1073" s="3">
        <v>262</v>
      </c>
      <c r="T1073" s="3">
        <v>38</v>
      </c>
      <c r="U1073" s="3" t="s">
        <v>32</v>
      </c>
      <c r="V1073" s="18" t="s">
        <v>33</v>
      </c>
    </row>
    <row r="1074" spans="1:22" ht="15" customHeight="1" x14ac:dyDescent="0.25">
      <c r="A1074" s="15" t="s">
        <v>2079</v>
      </c>
      <c r="B1074" s="1" t="s">
        <v>770</v>
      </c>
      <c r="C1074">
        <v>64</v>
      </c>
      <c r="D1074" s="1" t="s">
        <v>59</v>
      </c>
      <c r="E1074" s="1" t="s">
        <v>23</v>
      </c>
      <c r="F1074" s="1" t="s">
        <v>76</v>
      </c>
      <c r="G1074" s="1" t="s">
        <v>870</v>
      </c>
      <c r="H1074" s="1" t="s">
        <v>78</v>
      </c>
      <c r="I1074" s="7">
        <v>43671</v>
      </c>
      <c r="J1074" s="7">
        <v>43676</v>
      </c>
      <c r="K1074" s="1">
        <v>5</v>
      </c>
      <c r="L1074" s="1" t="s">
        <v>27</v>
      </c>
      <c r="M1074" s="1" t="s">
        <v>28</v>
      </c>
      <c r="N1074" s="1" t="s">
        <v>133</v>
      </c>
      <c r="O1074" s="1" t="s">
        <v>42</v>
      </c>
      <c r="P1074" s="29">
        <v>17660</v>
      </c>
      <c r="Q1074" s="1" t="s">
        <v>152</v>
      </c>
      <c r="R1074" s="1">
        <v>7</v>
      </c>
      <c r="S1074" s="1">
        <v>451</v>
      </c>
      <c r="T1074" s="1">
        <v>30.4</v>
      </c>
      <c r="U1074" s="1" t="s">
        <v>32</v>
      </c>
      <c r="V1074" s="17" t="s">
        <v>33</v>
      </c>
    </row>
    <row r="1075" spans="1:22" ht="15" customHeight="1" x14ac:dyDescent="0.25">
      <c r="A1075" s="16" t="s">
        <v>2080</v>
      </c>
      <c r="B1075" s="3" t="s">
        <v>309</v>
      </c>
      <c r="C1075">
        <v>27</v>
      </c>
      <c r="D1075" s="3" t="s">
        <v>47</v>
      </c>
      <c r="E1075" s="3" t="s">
        <v>23</v>
      </c>
      <c r="F1075" s="3" t="s">
        <v>155</v>
      </c>
      <c r="G1075" s="3" t="s">
        <v>77</v>
      </c>
      <c r="H1075" s="3" t="s">
        <v>78</v>
      </c>
      <c r="I1075" s="6">
        <v>45312</v>
      </c>
      <c r="J1075" s="8">
        <v>45319</v>
      </c>
      <c r="K1075" s="3">
        <v>7</v>
      </c>
      <c r="L1075" s="3" t="s">
        <v>122</v>
      </c>
      <c r="M1075" s="3" t="s">
        <v>40</v>
      </c>
      <c r="N1075" s="3" t="s">
        <v>79</v>
      </c>
      <c r="O1075" s="3" t="s">
        <v>30</v>
      </c>
      <c r="P1075" s="30">
        <v>10634.07</v>
      </c>
      <c r="Q1075" s="3" t="s">
        <v>100</v>
      </c>
      <c r="R1075" s="3">
        <v>8</v>
      </c>
      <c r="S1075" s="3">
        <v>154</v>
      </c>
      <c r="T1075" s="3">
        <v>23.5</v>
      </c>
      <c r="U1075" s="3" t="s">
        <v>44</v>
      </c>
      <c r="V1075" s="18" t="s">
        <v>33</v>
      </c>
    </row>
    <row r="1076" spans="1:22" ht="15" customHeight="1" x14ac:dyDescent="0.25">
      <c r="A1076" s="15" t="s">
        <v>2081</v>
      </c>
      <c r="B1076" s="1" t="s">
        <v>2082</v>
      </c>
      <c r="C1076">
        <v>57</v>
      </c>
      <c r="D1076" s="1" t="s">
        <v>59</v>
      </c>
      <c r="E1076" s="1" t="s">
        <v>23</v>
      </c>
      <c r="F1076" s="1" t="s">
        <v>76</v>
      </c>
      <c r="G1076" s="1" t="s">
        <v>38</v>
      </c>
      <c r="H1076" s="1" t="s">
        <v>51</v>
      </c>
      <c r="I1076" s="7">
        <v>44934</v>
      </c>
      <c r="J1076" s="7">
        <v>44939</v>
      </c>
      <c r="K1076" s="1">
        <v>5</v>
      </c>
      <c r="L1076" s="1" t="s">
        <v>27</v>
      </c>
      <c r="M1076" s="1" t="s">
        <v>28</v>
      </c>
      <c r="N1076" s="1" t="s">
        <v>173</v>
      </c>
      <c r="O1076" s="1" t="s">
        <v>42</v>
      </c>
      <c r="P1076" s="29">
        <v>24361.15</v>
      </c>
      <c r="Q1076" s="1" t="s">
        <v>204</v>
      </c>
      <c r="R1076" s="1">
        <v>8</v>
      </c>
      <c r="S1076" s="1">
        <v>175</v>
      </c>
      <c r="T1076" s="1">
        <v>29.2</v>
      </c>
      <c r="U1076" s="1" t="s">
        <v>32</v>
      </c>
      <c r="V1076" s="17" t="s">
        <v>33</v>
      </c>
    </row>
    <row r="1077" spans="1:22" ht="15" customHeight="1" x14ac:dyDescent="0.25">
      <c r="A1077" s="16" t="s">
        <v>2083</v>
      </c>
      <c r="B1077" s="3" t="s">
        <v>2084</v>
      </c>
      <c r="C1077">
        <v>72</v>
      </c>
      <c r="D1077" s="3" t="s">
        <v>82</v>
      </c>
      <c r="E1077" s="3" t="s">
        <v>48</v>
      </c>
      <c r="F1077" s="3" t="s">
        <v>37</v>
      </c>
      <c r="G1077" s="3" t="s">
        <v>77</v>
      </c>
      <c r="H1077" s="3" t="s">
        <v>26</v>
      </c>
      <c r="I1077" s="6">
        <v>44659</v>
      </c>
      <c r="J1077" s="8">
        <v>44781</v>
      </c>
      <c r="K1077" s="3">
        <v>4</v>
      </c>
      <c r="L1077" s="3" t="s">
        <v>122</v>
      </c>
      <c r="M1077" s="3" t="s">
        <v>40</v>
      </c>
      <c r="N1077" s="3" t="s">
        <v>94</v>
      </c>
      <c r="O1077" s="3" t="s">
        <v>66</v>
      </c>
      <c r="P1077" s="30">
        <v>140750.15</v>
      </c>
      <c r="Q1077" s="3" t="s">
        <v>95</v>
      </c>
      <c r="R1077" s="3">
        <v>9</v>
      </c>
      <c r="S1077" s="3">
        <v>381</v>
      </c>
      <c r="T1077" s="3">
        <v>22</v>
      </c>
      <c r="U1077" s="3" t="s">
        <v>44</v>
      </c>
      <c r="V1077" s="18" t="s">
        <v>33</v>
      </c>
    </row>
    <row r="1078" spans="1:22" ht="15" customHeight="1" x14ac:dyDescent="0.25">
      <c r="A1078" s="15" t="s">
        <v>2085</v>
      </c>
      <c r="B1078" s="1" t="s">
        <v>2086</v>
      </c>
      <c r="C1078">
        <v>61</v>
      </c>
      <c r="D1078" s="1" t="s">
        <v>59</v>
      </c>
      <c r="E1078" s="1" t="s">
        <v>23</v>
      </c>
      <c r="F1078" s="1" t="s">
        <v>76</v>
      </c>
      <c r="G1078" s="1" t="s">
        <v>77</v>
      </c>
      <c r="H1078" s="1" t="s">
        <v>26</v>
      </c>
      <c r="I1078" s="7">
        <v>43741</v>
      </c>
      <c r="J1078" s="7">
        <v>43752</v>
      </c>
      <c r="K1078" s="1">
        <v>11</v>
      </c>
      <c r="L1078" s="1" t="s">
        <v>39</v>
      </c>
      <c r="M1078" s="1" t="s">
        <v>40</v>
      </c>
      <c r="N1078" s="1" t="s">
        <v>79</v>
      </c>
      <c r="O1078" s="1" t="s">
        <v>66</v>
      </c>
      <c r="P1078" s="29">
        <v>178233.21</v>
      </c>
      <c r="Q1078" s="1" t="s">
        <v>109</v>
      </c>
      <c r="R1078" s="1">
        <v>10</v>
      </c>
      <c r="S1078" s="1">
        <v>345</v>
      </c>
      <c r="T1078" s="1">
        <v>35.200000000000003</v>
      </c>
      <c r="U1078" s="1" t="s">
        <v>44</v>
      </c>
      <c r="V1078" s="17" t="s">
        <v>45</v>
      </c>
    </row>
    <row r="1079" spans="1:22" ht="15" customHeight="1" x14ac:dyDescent="0.25">
      <c r="A1079" s="16" t="s">
        <v>2087</v>
      </c>
      <c r="B1079" s="3" t="s">
        <v>1760</v>
      </c>
      <c r="C1079">
        <v>15</v>
      </c>
      <c r="D1079" s="3" t="s">
        <v>22</v>
      </c>
      <c r="E1079" s="3" t="s">
        <v>23</v>
      </c>
      <c r="F1079" s="3" t="s">
        <v>99</v>
      </c>
      <c r="G1079" s="3" t="s">
        <v>163</v>
      </c>
      <c r="H1079" s="3" t="s">
        <v>51</v>
      </c>
      <c r="I1079" s="6">
        <v>45399</v>
      </c>
      <c r="J1079" s="8">
        <v>45402</v>
      </c>
      <c r="K1079" s="3">
        <v>3</v>
      </c>
      <c r="L1079" s="3" t="s">
        <v>185</v>
      </c>
      <c r="M1079" s="3" t="s">
        <v>186</v>
      </c>
      <c r="N1079" s="3" t="s">
        <v>213</v>
      </c>
      <c r="O1079" s="3" t="s">
        <v>42</v>
      </c>
      <c r="P1079" s="30">
        <v>21779.54</v>
      </c>
      <c r="Q1079" s="3" t="s">
        <v>234</v>
      </c>
      <c r="R1079" s="3">
        <v>3</v>
      </c>
      <c r="S1079" s="3">
        <v>145</v>
      </c>
      <c r="T1079" s="3">
        <v>31.7</v>
      </c>
      <c r="U1079" s="3" t="s">
        <v>32</v>
      </c>
      <c r="V1079" s="18" t="s">
        <v>33</v>
      </c>
    </row>
    <row r="1080" spans="1:22" ht="15" customHeight="1" x14ac:dyDescent="0.25">
      <c r="A1080" s="15" t="s">
        <v>2088</v>
      </c>
      <c r="B1080" s="1" t="s">
        <v>678</v>
      </c>
      <c r="C1080">
        <v>63</v>
      </c>
      <c r="D1080" s="1" t="s">
        <v>59</v>
      </c>
      <c r="E1080" s="1" t="s">
        <v>23</v>
      </c>
      <c r="F1080" s="1" t="s">
        <v>155</v>
      </c>
      <c r="G1080" s="1" t="s">
        <v>209</v>
      </c>
      <c r="H1080" s="1" t="s">
        <v>78</v>
      </c>
      <c r="I1080" s="7">
        <v>44962</v>
      </c>
      <c r="J1080" s="7">
        <v>44967</v>
      </c>
      <c r="K1080" s="1">
        <v>5</v>
      </c>
      <c r="L1080" s="1" t="s">
        <v>52</v>
      </c>
      <c r="M1080" s="1" t="s">
        <v>53</v>
      </c>
      <c r="N1080" s="1" t="s">
        <v>103</v>
      </c>
      <c r="O1080" s="1" t="s">
        <v>42</v>
      </c>
      <c r="P1080" s="29">
        <v>22858.47</v>
      </c>
      <c r="Q1080" s="1" t="s">
        <v>137</v>
      </c>
      <c r="R1080" s="1">
        <v>6</v>
      </c>
      <c r="S1080" s="1">
        <v>203</v>
      </c>
      <c r="T1080" s="1">
        <v>21.3</v>
      </c>
      <c r="U1080" s="1" t="s">
        <v>32</v>
      </c>
      <c r="V1080" s="17" t="s">
        <v>45</v>
      </c>
    </row>
    <row r="1081" spans="1:22" ht="15" customHeight="1" x14ac:dyDescent="0.25">
      <c r="A1081" s="16" t="s">
        <v>2089</v>
      </c>
      <c r="B1081" s="3" t="s">
        <v>641</v>
      </c>
      <c r="C1081">
        <v>45</v>
      </c>
      <c r="D1081" s="3" t="s">
        <v>98</v>
      </c>
      <c r="E1081" s="3" t="s">
        <v>48</v>
      </c>
      <c r="F1081" s="3" t="s">
        <v>49</v>
      </c>
      <c r="G1081" s="3" t="s">
        <v>25</v>
      </c>
      <c r="H1081" s="3" t="s">
        <v>51</v>
      </c>
      <c r="I1081" s="8">
        <v>44845</v>
      </c>
      <c r="J1081" s="8">
        <v>44885</v>
      </c>
      <c r="K1081" s="3">
        <v>10</v>
      </c>
      <c r="L1081" s="3" t="s">
        <v>102</v>
      </c>
      <c r="M1081" s="3" t="s">
        <v>28</v>
      </c>
      <c r="N1081" s="3" t="s">
        <v>29</v>
      </c>
      <c r="O1081" s="3" t="s">
        <v>30</v>
      </c>
      <c r="P1081" s="30">
        <v>67730.25</v>
      </c>
      <c r="Q1081" s="3" t="s">
        <v>310</v>
      </c>
      <c r="R1081" s="3">
        <v>9</v>
      </c>
      <c r="S1081" s="3">
        <v>167</v>
      </c>
      <c r="T1081" s="4"/>
      <c r="U1081" s="3" t="s">
        <v>44</v>
      </c>
      <c r="V1081" s="18" t="s">
        <v>33</v>
      </c>
    </row>
    <row r="1082" spans="1:22" ht="15" customHeight="1" x14ac:dyDescent="0.25">
      <c r="A1082" s="15" t="s">
        <v>2090</v>
      </c>
      <c r="B1082" s="1" t="s">
        <v>2091</v>
      </c>
      <c r="C1082">
        <v>8</v>
      </c>
      <c r="D1082" s="1" t="s">
        <v>22</v>
      </c>
      <c r="E1082" s="1" t="s">
        <v>48</v>
      </c>
      <c r="F1082" s="1" t="s">
        <v>76</v>
      </c>
      <c r="G1082" s="1" t="s">
        <v>38</v>
      </c>
      <c r="H1082" s="1" t="s">
        <v>51</v>
      </c>
      <c r="I1082" s="6">
        <v>45062</v>
      </c>
      <c r="J1082" s="7">
        <v>45068</v>
      </c>
      <c r="K1082" s="1">
        <v>6</v>
      </c>
      <c r="L1082" s="1" t="s">
        <v>112</v>
      </c>
      <c r="M1082" s="1" t="s">
        <v>40</v>
      </c>
      <c r="N1082" s="1" t="s">
        <v>41</v>
      </c>
      <c r="O1082" s="1" t="s">
        <v>104</v>
      </c>
      <c r="P1082" s="29">
        <v>5418.84</v>
      </c>
      <c r="Q1082" s="1" t="s">
        <v>236</v>
      </c>
      <c r="R1082" s="1">
        <v>4</v>
      </c>
      <c r="S1082" s="1">
        <v>196</v>
      </c>
      <c r="T1082" s="1">
        <v>28.9</v>
      </c>
      <c r="U1082" s="1" t="s">
        <v>32</v>
      </c>
      <c r="V1082" s="17" t="s">
        <v>45</v>
      </c>
    </row>
    <row r="1083" spans="1:22" ht="15" customHeight="1" x14ac:dyDescent="0.25">
      <c r="A1083" s="16" t="s">
        <v>2092</v>
      </c>
      <c r="B1083" s="3" t="s">
        <v>2093</v>
      </c>
      <c r="C1083">
        <v>78</v>
      </c>
      <c r="D1083" s="3" t="s">
        <v>36</v>
      </c>
      <c r="E1083" s="3" t="s">
        <v>48</v>
      </c>
      <c r="F1083" s="3" t="s">
        <v>37</v>
      </c>
      <c r="G1083" s="3" t="s">
        <v>587</v>
      </c>
      <c r="H1083" s="3" t="s">
        <v>156</v>
      </c>
      <c r="I1083" s="8">
        <v>44379</v>
      </c>
      <c r="J1083" s="8">
        <v>44403</v>
      </c>
      <c r="K1083" s="3">
        <v>24</v>
      </c>
      <c r="L1083" s="3" t="s">
        <v>89</v>
      </c>
      <c r="M1083" s="3" t="s">
        <v>90</v>
      </c>
      <c r="N1083" s="3" t="s">
        <v>248</v>
      </c>
      <c r="O1083" s="3" t="s">
        <v>30</v>
      </c>
      <c r="P1083" s="30">
        <v>85842.28</v>
      </c>
      <c r="Q1083" s="3" t="s">
        <v>400</v>
      </c>
      <c r="R1083" s="3">
        <v>12</v>
      </c>
      <c r="S1083" s="3">
        <v>222</v>
      </c>
      <c r="T1083" s="3">
        <v>20</v>
      </c>
      <c r="U1083" s="3" t="s">
        <v>44</v>
      </c>
      <c r="V1083" s="18" t="s">
        <v>45</v>
      </c>
    </row>
    <row r="1084" spans="1:22" ht="15" customHeight="1" x14ac:dyDescent="0.25">
      <c r="A1084" s="15" t="s">
        <v>2094</v>
      </c>
      <c r="B1084" s="1" t="s">
        <v>2095</v>
      </c>
      <c r="C1084">
        <v>55</v>
      </c>
      <c r="D1084" s="1" t="s">
        <v>59</v>
      </c>
      <c r="E1084" s="1" t="s">
        <v>23</v>
      </c>
      <c r="F1084" s="1" t="s">
        <v>70</v>
      </c>
      <c r="G1084" s="1" t="s">
        <v>77</v>
      </c>
      <c r="H1084" s="1" t="s">
        <v>78</v>
      </c>
      <c r="I1084" s="7">
        <v>45257</v>
      </c>
      <c r="J1084" s="7">
        <v>45119</v>
      </c>
      <c r="K1084" s="1">
        <v>10</v>
      </c>
      <c r="L1084" s="1" t="s">
        <v>132</v>
      </c>
      <c r="M1084" s="1" t="s">
        <v>53</v>
      </c>
      <c r="N1084" s="1" t="s">
        <v>94</v>
      </c>
      <c r="O1084" s="1" t="s">
        <v>30</v>
      </c>
      <c r="P1084" s="29">
        <v>48356.55</v>
      </c>
      <c r="Q1084" s="1" t="s">
        <v>85</v>
      </c>
      <c r="R1084" s="1">
        <v>8</v>
      </c>
      <c r="S1084" s="1">
        <v>324</v>
      </c>
      <c r="T1084" s="1">
        <v>34.5</v>
      </c>
      <c r="U1084" s="1" t="s">
        <v>44</v>
      </c>
      <c r="V1084" s="17" t="s">
        <v>33</v>
      </c>
    </row>
    <row r="1085" spans="1:22" ht="15" customHeight="1" x14ac:dyDescent="0.25">
      <c r="A1085" s="16" t="s">
        <v>2096</v>
      </c>
      <c r="B1085" s="3" t="s">
        <v>2097</v>
      </c>
      <c r="C1085">
        <v>58</v>
      </c>
      <c r="D1085" s="3" t="s">
        <v>59</v>
      </c>
      <c r="E1085" s="3" t="s">
        <v>23</v>
      </c>
      <c r="F1085" s="3" t="s">
        <v>37</v>
      </c>
      <c r="G1085" s="3" t="s">
        <v>71</v>
      </c>
      <c r="H1085" s="3" t="s">
        <v>51</v>
      </c>
      <c r="I1085" s="8">
        <v>45113</v>
      </c>
      <c r="J1085" s="8">
        <v>45175</v>
      </c>
      <c r="K1085" s="3">
        <v>2</v>
      </c>
      <c r="L1085" s="3" t="s">
        <v>112</v>
      </c>
      <c r="M1085" s="3" t="s">
        <v>40</v>
      </c>
      <c r="N1085" s="3" t="s">
        <v>72</v>
      </c>
      <c r="O1085" s="3" t="s">
        <v>42</v>
      </c>
      <c r="P1085" s="30">
        <v>10712.96</v>
      </c>
      <c r="Q1085" s="3" t="s">
        <v>73</v>
      </c>
      <c r="R1085" s="3">
        <v>5</v>
      </c>
      <c r="S1085" s="3">
        <v>130</v>
      </c>
      <c r="T1085" s="3">
        <v>22.4</v>
      </c>
      <c r="U1085" s="3" t="s">
        <v>44</v>
      </c>
      <c r="V1085" s="18" t="s">
        <v>33</v>
      </c>
    </row>
    <row r="1086" spans="1:22" ht="15" customHeight="1" x14ac:dyDescent="0.25">
      <c r="A1086" s="15" t="s">
        <v>2098</v>
      </c>
      <c r="B1086" s="1" t="s">
        <v>2099</v>
      </c>
      <c r="C1086">
        <v>59</v>
      </c>
      <c r="D1086" s="1" t="s">
        <v>59</v>
      </c>
      <c r="E1086" s="1" t="s">
        <v>48</v>
      </c>
      <c r="F1086" s="1" t="s">
        <v>24</v>
      </c>
      <c r="G1086" s="1" t="s">
        <v>25</v>
      </c>
      <c r="H1086" s="1" t="s">
        <v>51</v>
      </c>
      <c r="I1086" s="6">
        <v>44377</v>
      </c>
      <c r="J1086" s="7">
        <v>44398</v>
      </c>
      <c r="K1086" s="1">
        <v>21</v>
      </c>
      <c r="L1086" s="1" t="s">
        <v>185</v>
      </c>
      <c r="M1086" s="1" t="s">
        <v>186</v>
      </c>
      <c r="N1086" s="1" t="s">
        <v>29</v>
      </c>
      <c r="O1086" s="1" t="s">
        <v>104</v>
      </c>
      <c r="P1086" s="29">
        <v>53957.66</v>
      </c>
      <c r="Q1086" s="1" t="s">
        <v>706</v>
      </c>
      <c r="R1086" s="1">
        <v>12</v>
      </c>
      <c r="S1086" s="1">
        <v>168</v>
      </c>
      <c r="T1086" s="1">
        <v>29</v>
      </c>
      <c r="U1086" s="1" t="s">
        <v>44</v>
      </c>
      <c r="V1086" s="17" t="s">
        <v>33</v>
      </c>
    </row>
    <row r="1087" spans="1:22" ht="15" customHeight="1" x14ac:dyDescent="0.25">
      <c r="A1087" s="16" t="s">
        <v>2100</v>
      </c>
      <c r="B1087" s="3" t="s">
        <v>2101</v>
      </c>
      <c r="C1087">
        <v>57</v>
      </c>
      <c r="D1087" s="3" t="s">
        <v>59</v>
      </c>
      <c r="E1087" s="3" t="s">
        <v>48</v>
      </c>
      <c r="F1087" s="3" t="s">
        <v>24</v>
      </c>
      <c r="G1087" s="3" t="s">
        <v>71</v>
      </c>
      <c r="H1087" s="3" t="s">
        <v>51</v>
      </c>
      <c r="I1087" s="8">
        <v>43792</v>
      </c>
      <c r="J1087" s="8">
        <v>43796</v>
      </c>
      <c r="K1087" s="3">
        <v>4</v>
      </c>
      <c r="L1087" s="3" t="s">
        <v>185</v>
      </c>
      <c r="M1087" s="3" t="s">
        <v>186</v>
      </c>
      <c r="N1087" s="3" t="s">
        <v>177</v>
      </c>
      <c r="O1087" s="3" t="s">
        <v>42</v>
      </c>
      <c r="P1087" s="30">
        <v>16998.259999999998</v>
      </c>
      <c r="Q1087" s="3" t="s">
        <v>73</v>
      </c>
      <c r="R1087" s="3">
        <v>5</v>
      </c>
      <c r="S1087" s="3">
        <v>179</v>
      </c>
      <c r="T1087" s="3">
        <v>26</v>
      </c>
      <c r="U1087" s="3" t="s">
        <v>32</v>
      </c>
      <c r="V1087" s="18" t="s">
        <v>33</v>
      </c>
    </row>
    <row r="1088" spans="1:22" ht="15" customHeight="1" x14ac:dyDescent="0.25">
      <c r="A1088" s="15" t="s">
        <v>2102</v>
      </c>
      <c r="B1088" s="1" t="s">
        <v>2103</v>
      </c>
      <c r="C1088">
        <v>83</v>
      </c>
      <c r="D1088" s="1" t="s">
        <v>36</v>
      </c>
      <c r="E1088" s="1" t="s">
        <v>23</v>
      </c>
      <c r="F1088" s="1" t="s">
        <v>49</v>
      </c>
      <c r="G1088" s="1" t="s">
        <v>50</v>
      </c>
      <c r="H1088" s="1" t="s">
        <v>78</v>
      </c>
      <c r="I1088" s="6">
        <v>44370</v>
      </c>
      <c r="J1088" s="7">
        <v>44234</v>
      </c>
      <c r="K1088" s="1">
        <v>9</v>
      </c>
      <c r="L1088" s="1" t="s">
        <v>132</v>
      </c>
      <c r="M1088" s="1" t="s">
        <v>53</v>
      </c>
      <c r="N1088" s="1" t="s">
        <v>126</v>
      </c>
      <c r="O1088" s="1" t="s">
        <v>42</v>
      </c>
      <c r="P1088" s="29">
        <v>85834.57</v>
      </c>
      <c r="Q1088" s="1" t="s">
        <v>144</v>
      </c>
      <c r="R1088" s="1">
        <v>9</v>
      </c>
      <c r="S1088" s="1">
        <v>107</v>
      </c>
      <c r="T1088" s="4"/>
      <c r="U1088" s="1" t="s">
        <v>44</v>
      </c>
      <c r="V1088" s="17" t="s">
        <v>33</v>
      </c>
    </row>
    <row r="1089" spans="1:22" ht="15" customHeight="1" x14ac:dyDescent="0.25">
      <c r="A1089" s="16" t="s">
        <v>2104</v>
      </c>
      <c r="B1089" s="3" t="s">
        <v>2105</v>
      </c>
      <c r="C1089">
        <v>35</v>
      </c>
      <c r="D1089" s="3" t="s">
        <v>98</v>
      </c>
      <c r="E1089" s="3" t="s">
        <v>48</v>
      </c>
      <c r="F1089" s="3" t="s">
        <v>37</v>
      </c>
      <c r="G1089" s="3" t="s">
        <v>131</v>
      </c>
      <c r="H1089" s="3" t="s">
        <v>78</v>
      </c>
      <c r="I1089" s="8">
        <v>43965</v>
      </c>
      <c r="J1089" s="8">
        <v>43971</v>
      </c>
      <c r="K1089" s="3">
        <v>6</v>
      </c>
      <c r="L1089" s="3" t="s">
        <v>185</v>
      </c>
      <c r="M1089" s="3" t="s">
        <v>186</v>
      </c>
      <c r="N1089" s="3" t="s">
        <v>133</v>
      </c>
      <c r="O1089" s="3" t="s">
        <v>30</v>
      </c>
      <c r="P1089" s="30">
        <v>19253.439999999999</v>
      </c>
      <c r="Q1089" s="3" t="s">
        <v>158</v>
      </c>
      <c r="R1089" s="3">
        <v>7</v>
      </c>
      <c r="S1089" s="3">
        <v>359</v>
      </c>
      <c r="T1089" s="3">
        <v>31.2</v>
      </c>
      <c r="U1089" s="3" t="s">
        <v>86</v>
      </c>
      <c r="V1089" s="18" t="s">
        <v>33</v>
      </c>
    </row>
    <row r="1090" spans="1:22" ht="15" customHeight="1" x14ac:dyDescent="0.25">
      <c r="A1090" s="15" t="s">
        <v>2106</v>
      </c>
      <c r="B1090" s="1" t="s">
        <v>1163</v>
      </c>
      <c r="C1090">
        <v>51</v>
      </c>
      <c r="D1090" s="1" t="s">
        <v>98</v>
      </c>
      <c r="E1090" s="1" t="s">
        <v>48</v>
      </c>
      <c r="F1090" s="1" t="s">
        <v>37</v>
      </c>
      <c r="G1090" s="1" t="s">
        <v>50</v>
      </c>
      <c r="H1090" s="1" t="s">
        <v>26</v>
      </c>
      <c r="I1090" s="6">
        <v>44053</v>
      </c>
      <c r="J1090" s="7">
        <v>44120</v>
      </c>
      <c r="K1090" s="1">
        <v>8</v>
      </c>
      <c r="L1090" s="1" t="s">
        <v>132</v>
      </c>
      <c r="M1090" s="1" t="s">
        <v>53</v>
      </c>
      <c r="N1090" s="1" t="s">
        <v>126</v>
      </c>
      <c r="O1090" s="1" t="s">
        <v>55</v>
      </c>
      <c r="P1090" s="29">
        <v>89354.41</v>
      </c>
      <c r="Q1090" s="1" t="s">
        <v>127</v>
      </c>
      <c r="R1090" s="1">
        <v>9</v>
      </c>
      <c r="S1090" s="1">
        <v>350</v>
      </c>
      <c r="T1090" s="1">
        <v>35.200000000000003</v>
      </c>
      <c r="U1090" s="1" t="s">
        <v>44</v>
      </c>
      <c r="V1090" s="17" t="s">
        <v>33</v>
      </c>
    </row>
    <row r="1091" spans="1:22" ht="15" customHeight="1" x14ac:dyDescent="0.25">
      <c r="A1091" s="16" t="s">
        <v>2107</v>
      </c>
      <c r="B1091" s="3" t="s">
        <v>2108</v>
      </c>
      <c r="C1091">
        <v>84</v>
      </c>
      <c r="D1091" s="3" t="s">
        <v>36</v>
      </c>
      <c r="E1091" s="3" t="s">
        <v>23</v>
      </c>
      <c r="F1091" s="3" t="s">
        <v>155</v>
      </c>
      <c r="G1091" s="3" t="s">
        <v>77</v>
      </c>
      <c r="H1091" s="3" t="s">
        <v>51</v>
      </c>
      <c r="I1091" s="8">
        <v>45285</v>
      </c>
      <c r="J1091" s="8">
        <v>45292</v>
      </c>
      <c r="K1091" s="3">
        <v>7</v>
      </c>
      <c r="L1091" s="3" t="s">
        <v>39</v>
      </c>
      <c r="M1091" s="3" t="s">
        <v>40</v>
      </c>
      <c r="N1091" s="3" t="s">
        <v>84</v>
      </c>
      <c r="O1091" s="3" t="s">
        <v>30</v>
      </c>
      <c r="P1091" s="30">
        <v>82011.350000000006</v>
      </c>
      <c r="Q1091" s="3" t="s">
        <v>91</v>
      </c>
      <c r="R1091" s="3">
        <v>9</v>
      </c>
      <c r="S1091" s="3">
        <v>134</v>
      </c>
      <c r="T1091" s="3">
        <v>32.299999999999997</v>
      </c>
      <c r="U1091" s="3" t="s">
        <v>44</v>
      </c>
      <c r="V1091" s="18" t="s">
        <v>45</v>
      </c>
    </row>
    <row r="1092" spans="1:22" ht="15" customHeight="1" x14ac:dyDescent="0.25">
      <c r="A1092" s="15" t="s">
        <v>2109</v>
      </c>
      <c r="B1092" s="1" t="s">
        <v>281</v>
      </c>
      <c r="C1092">
        <v>70</v>
      </c>
      <c r="D1092" s="1" t="s">
        <v>82</v>
      </c>
      <c r="E1092" s="1" t="s">
        <v>23</v>
      </c>
      <c r="F1092" s="1" t="s">
        <v>83</v>
      </c>
      <c r="G1092" s="1" t="s">
        <v>77</v>
      </c>
      <c r="H1092" s="1" t="s">
        <v>26</v>
      </c>
      <c r="I1092" s="7">
        <v>45253</v>
      </c>
      <c r="J1092" s="7">
        <v>45265</v>
      </c>
      <c r="K1092" s="1">
        <v>12</v>
      </c>
      <c r="L1092" s="1" t="s">
        <v>112</v>
      </c>
      <c r="M1092" s="1" t="s">
        <v>40</v>
      </c>
      <c r="N1092" s="1" t="s">
        <v>79</v>
      </c>
      <c r="O1092" s="1" t="s">
        <v>30</v>
      </c>
      <c r="P1092" s="29">
        <v>60133.98</v>
      </c>
      <c r="Q1092" s="1" t="s">
        <v>109</v>
      </c>
      <c r="R1092" s="1">
        <v>10</v>
      </c>
      <c r="S1092" s="1">
        <v>351</v>
      </c>
      <c r="T1092" s="1">
        <v>24.4</v>
      </c>
      <c r="U1092" s="1" t="s">
        <v>44</v>
      </c>
      <c r="V1092" s="17" t="s">
        <v>33</v>
      </c>
    </row>
    <row r="1093" spans="1:22" ht="15" customHeight="1" x14ac:dyDescent="0.25">
      <c r="A1093" s="16" t="s">
        <v>2110</v>
      </c>
      <c r="B1093" s="2" t="s">
        <v>3648</v>
      </c>
      <c r="C1093">
        <v>69</v>
      </c>
      <c r="D1093" s="3" t="s">
        <v>82</v>
      </c>
      <c r="E1093" s="3" t="s">
        <v>48</v>
      </c>
      <c r="F1093" s="3" t="s">
        <v>155</v>
      </c>
      <c r="G1093" s="3" t="s">
        <v>131</v>
      </c>
      <c r="H1093" s="3" t="s">
        <v>26</v>
      </c>
      <c r="I1093" s="6">
        <v>44329</v>
      </c>
      <c r="J1093" s="8">
        <v>44335</v>
      </c>
      <c r="K1093" s="3">
        <v>6</v>
      </c>
      <c r="L1093" s="3" t="s">
        <v>122</v>
      </c>
      <c r="M1093" s="3" t="s">
        <v>40</v>
      </c>
      <c r="N1093" s="3" t="s">
        <v>157</v>
      </c>
      <c r="O1093" s="3" t="s">
        <v>42</v>
      </c>
      <c r="P1093" s="30">
        <v>26065.81</v>
      </c>
      <c r="Q1093" s="3" t="s">
        <v>266</v>
      </c>
      <c r="R1093" s="3">
        <v>7</v>
      </c>
      <c r="S1093" s="3">
        <v>399</v>
      </c>
      <c r="T1093" s="3">
        <v>27</v>
      </c>
      <c r="U1093" s="3" t="s">
        <v>32</v>
      </c>
      <c r="V1093" s="18" t="s">
        <v>33</v>
      </c>
    </row>
    <row r="1094" spans="1:22" ht="15" customHeight="1" x14ac:dyDescent="0.25">
      <c r="A1094" s="15" t="s">
        <v>2111</v>
      </c>
      <c r="B1094" s="1" t="s">
        <v>2112</v>
      </c>
      <c r="C1094">
        <v>88</v>
      </c>
      <c r="D1094" s="1" t="s">
        <v>36</v>
      </c>
      <c r="E1094" s="1" t="s">
        <v>23</v>
      </c>
      <c r="F1094" s="1" t="s">
        <v>24</v>
      </c>
      <c r="G1094" s="1" t="s">
        <v>77</v>
      </c>
      <c r="H1094" s="1" t="s">
        <v>26</v>
      </c>
      <c r="I1094" s="6">
        <v>44078</v>
      </c>
      <c r="J1094" s="7">
        <v>44086</v>
      </c>
      <c r="K1094" s="1">
        <v>8</v>
      </c>
      <c r="L1094" s="1" t="s">
        <v>185</v>
      </c>
      <c r="M1094" s="1" t="s">
        <v>186</v>
      </c>
      <c r="N1094" s="1" t="s">
        <v>79</v>
      </c>
      <c r="O1094" s="1" t="s">
        <v>104</v>
      </c>
      <c r="P1094" s="29">
        <v>107483</v>
      </c>
      <c r="Q1094" s="1" t="s">
        <v>109</v>
      </c>
      <c r="R1094" s="1">
        <v>10</v>
      </c>
      <c r="S1094" s="1">
        <v>389</v>
      </c>
      <c r="T1094" s="1">
        <v>45.4</v>
      </c>
      <c r="U1094" s="1" t="s">
        <v>44</v>
      </c>
      <c r="V1094" s="17" t="s">
        <v>33</v>
      </c>
    </row>
    <row r="1095" spans="1:22" ht="15" customHeight="1" x14ac:dyDescent="0.25">
      <c r="A1095" s="16" t="s">
        <v>2113</v>
      </c>
      <c r="B1095" s="3" t="s">
        <v>2114</v>
      </c>
      <c r="C1095">
        <v>57</v>
      </c>
      <c r="D1095" s="3" t="s">
        <v>59</v>
      </c>
      <c r="E1095" s="3" t="s">
        <v>48</v>
      </c>
      <c r="F1095" s="3" t="s">
        <v>70</v>
      </c>
      <c r="G1095" s="3" t="s">
        <v>38</v>
      </c>
      <c r="H1095" s="3" t="s">
        <v>78</v>
      </c>
      <c r="I1095" s="8">
        <v>45468</v>
      </c>
      <c r="J1095" s="8">
        <v>45475</v>
      </c>
      <c r="K1095" s="3">
        <v>7</v>
      </c>
      <c r="L1095" s="3" t="s">
        <v>122</v>
      </c>
      <c r="M1095" s="3" t="s">
        <v>40</v>
      </c>
      <c r="N1095" s="3" t="s">
        <v>203</v>
      </c>
      <c r="O1095" s="3" t="s">
        <v>30</v>
      </c>
      <c r="P1095" s="30">
        <v>11420.98</v>
      </c>
      <c r="Q1095" s="3" t="s">
        <v>204</v>
      </c>
      <c r="R1095" s="3">
        <v>6</v>
      </c>
      <c r="S1095" s="3">
        <v>408</v>
      </c>
      <c r="T1095" s="3">
        <v>20.399999999999999</v>
      </c>
      <c r="U1095" s="3" t="s">
        <v>44</v>
      </c>
      <c r="V1095" s="18" t="s">
        <v>33</v>
      </c>
    </row>
    <row r="1096" spans="1:22" ht="15" customHeight="1" x14ac:dyDescent="0.25">
      <c r="A1096" s="15" t="s">
        <v>2115</v>
      </c>
      <c r="B1096" s="1" t="s">
        <v>2116</v>
      </c>
      <c r="C1096">
        <v>72</v>
      </c>
      <c r="D1096" s="1" t="s">
        <v>82</v>
      </c>
      <c r="E1096" s="1" t="s">
        <v>23</v>
      </c>
      <c r="F1096" s="1" t="s">
        <v>37</v>
      </c>
      <c r="G1096" s="1" t="s">
        <v>71</v>
      </c>
      <c r="H1096" s="1" t="s">
        <v>26</v>
      </c>
      <c r="I1096" s="6">
        <v>44723</v>
      </c>
      <c r="J1096" s="7">
        <v>44873</v>
      </c>
      <c r="K1096" s="1">
        <v>2</v>
      </c>
      <c r="L1096" s="1" t="s">
        <v>122</v>
      </c>
      <c r="M1096" s="1" t="s">
        <v>40</v>
      </c>
      <c r="N1096" s="1" t="s">
        <v>177</v>
      </c>
      <c r="O1096" s="1" t="s">
        <v>42</v>
      </c>
      <c r="P1096" s="29">
        <v>53718.02</v>
      </c>
      <c r="Q1096" s="1" t="s">
        <v>374</v>
      </c>
      <c r="R1096" s="1">
        <v>5</v>
      </c>
      <c r="S1096" s="1">
        <v>357</v>
      </c>
      <c r="T1096" s="1">
        <v>26</v>
      </c>
      <c r="U1096" s="1" t="s">
        <v>32</v>
      </c>
      <c r="V1096" s="17" t="s">
        <v>33</v>
      </c>
    </row>
    <row r="1097" spans="1:22" ht="15" customHeight="1" x14ac:dyDescent="0.25">
      <c r="A1097" s="16" t="s">
        <v>2117</v>
      </c>
      <c r="B1097" s="3" t="s">
        <v>2118</v>
      </c>
      <c r="C1097">
        <v>71</v>
      </c>
      <c r="D1097" s="3" t="s">
        <v>82</v>
      </c>
      <c r="E1097" s="3" t="s">
        <v>48</v>
      </c>
      <c r="F1097" s="3" t="s">
        <v>49</v>
      </c>
      <c r="G1097" s="3" t="s">
        <v>50</v>
      </c>
      <c r="H1097" s="3" t="s">
        <v>26</v>
      </c>
      <c r="I1097" s="6">
        <v>43753</v>
      </c>
      <c r="J1097" s="8">
        <v>43761</v>
      </c>
      <c r="K1097" s="3">
        <v>8</v>
      </c>
      <c r="L1097" s="3" t="s">
        <v>132</v>
      </c>
      <c r="M1097" s="3" t="s">
        <v>53</v>
      </c>
      <c r="N1097" s="3" t="s">
        <v>54</v>
      </c>
      <c r="O1097" s="3" t="s">
        <v>30</v>
      </c>
      <c r="P1097" s="30">
        <v>56378.21</v>
      </c>
      <c r="Q1097" s="3" t="s">
        <v>85</v>
      </c>
      <c r="R1097" s="3">
        <v>5</v>
      </c>
      <c r="S1097" s="3">
        <v>398</v>
      </c>
      <c r="T1097" s="3">
        <v>29.3</v>
      </c>
      <c r="U1097" s="3" t="s">
        <v>44</v>
      </c>
      <c r="V1097" s="18" t="s">
        <v>33</v>
      </c>
    </row>
    <row r="1098" spans="1:22" ht="15" customHeight="1" x14ac:dyDescent="0.25">
      <c r="A1098" s="15" t="s">
        <v>2119</v>
      </c>
      <c r="B1098" s="1" t="s">
        <v>611</v>
      </c>
      <c r="C1098">
        <v>73</v>
      </c>
      <c r="D1098" s="1" t="s">
        <v>82</v>
      </c>
      <c r="E1098" s="1" t="s">
        <v>23</v>
      </c>
      <c r="F1098" s="1" t="s">
        <v>24</v>
      </c>
      <c r="G1098" s="1" t="s">
        <v>163</v>
      </c>
      <c r="H1098" s="1" t="s">
        <v>26</v>
      </c>
      <c r="I1098" s="7">
        <v>45636</v>
      </c>
      <c r="J1098" s="7">
        <v>45639</v>
      </c>
      <c r="K1098" s="1">
        <v>3</v>
      </c>
      <c r="L1098" s="1" t="s">
        <v>52</v>
      </c>
      <c r="M1098" s="1" t="s">
        <v>53</v>
      </c>
      <c r="N1098" s="1" t="s">
        <v>213</v>
      </c>
      <c r="O1098" s="1" t="s">
        <v>30</v>
      </c>
      <c r="P1098" s="29">
        <v>58195.19</v>
      </c>
      <c r="Q1098" s="1" t="s">
        <v>382</v>
      </c>
      <c r="R1098" s="1">
        <v>6</v>
      </c>
      <c r="S1098" s="1">
        <v>352</v>
      </c>
      <c r="T1098" s="1">
        <v>21.3</v>
      </c>
      <c r="U1098" s="1" t="s">
        <v>32</v>
      </c>
      <c r="V1098" s="17" t="s">
        <v>33</v>
      </c>
    </row>
    <row r="1099" spans="1:22" ht="15" customHeight="1" x14ac:dyDescent="0.25">
      <c r="A1099" s="16" t="s">
        <v>2120</v>
      </c>
      <c r="B1099" s="3" t="s">
        <v>2121</v>
      </c>
      <c r="C1099">
        <v>52</v>
      </c>
      <c r="D1099" s="3" t="s">
        <v>98</v>
      </c>
      <c r="E1099" s="3" t="s">
        <v>48</v>
      </c>
      <c r="F1099" s="3" t="s">
        <v>70</v>
      </c>
      <c r="G1099" s="3" t="s">
        <v>25</v>
      </c>
      <c r="H1099" s="3" t="s">
        <v>51</v>
      </c>
      <c r="I1099" s="8">
        <v>45286</v>
      </c>
      <c r="J1099" s="8">
        <v>45297</v>
      </c>
      <c r="K1099" s="3">
        <v>11</v>
      </c>
      <c r="L1099" s="3" t="s">
        <v>122</v>
      </c>
      <c r="M1099" s="3" t="s">
        <v>40</v>
      </c>
      <c r="N1099" s="3" t="s">
        <v>65</v>
      </c>
      <c r="O1099" s="3" t="s">
        <v>30</v>
      </c>
      <c r="P1099" s="30">
        <v>55516.82</v>
      </c>
      <c r="Q1099" s="3" t="s">
        <v>484</v>
      </c>
      <c r="R1099" s="3">
        <v>11</v>
      </c>
      <c r="S1099" s="3">
        <v>171</v>
      </c>
      <c r="T1099" s="3">
        <v>30.9</v>
      </c>
      <c r="U1099" s="3" t="s">
        <v>32</v>
      </c>
      <c r="V1099" s="18" t="s">
        <v>33</v>
      </c>
    </row>
    <row r="1100" spans="1:22" ht="15" customHeight="1" x14ac:dyDescent="0.25">
      <c r="A1100" s="15" t="s">
        <v>2122</v>
      </c>
      <c r="B1100" s="1" t="s">
        <v>2076</v>
      </c>
      <c r="C1100">
        <v>58</v>
      </c>
      <c r="D1100" s="1" t="s">
        <v>59</v>
      </c>
      <c r="E1100" s="1" t="s">
        <v>48</v>
      </c>
      <c r="F1100" s="1" t="s">
        <v>76</v>
      </c>
      <c r="G1100" s="1" t="s">
        <v>131</v>
      </c>
      <c r="H1100" s="1" t="s">
        <v>78</v>
      </c>
      <c r="I1100" s="7">
        <v>45433</v>
      </c>
      <c r="J1100" s="7">
        <v>45441</v>
      </c>
      <c r="K1100" s="1">
        <v>8</v>
      </c>
      <c r="L1100" s="1" t="s">
        <v>52</v>
      </c>
      <c r="M1100" s="1" t="s">
        <v>53</v>
      </c>
      <c r="N1100" s="1" t="s">
        <v>133</v>
      </c>
      <c r="O1100" s="1" t="s">
        <v>55</v>
      </c>
      <c r="P1100" s="29">
        <v>13109.43</v>
      </c>
      <c r="Q1100" s="1" t="s">
        <v>158</v>
      </c>
      <c r="R1100" s="1">
        <v>7</v>
      </c>
      <c r="S1100" s="1">
        <v>458</v>
      </c>
      <c r="T1100" s="1">
        <v>36.700000000000003</v>
      </c>
      <c r="U1100" s="1" t="s">
        <v>32</v>
      </c>
      <c r="V1100" s="17" t="s">
        <v>33</v>
      </c>
    </row>
    <row r="1101" spans="1:22" ht="15" customHeight="1" x14ac:dyDescent="0.25">
      <c r="A1101" s="16" t="s">
        <v>2123</v>
      </c>
      <c r="B1101" s="3" t="s">
        <v>999</v>
      </c>
      <c r="C1101">
        <v>74</v>
      </c>
      <c r="D1101" s="3" t="s">
        <v>82</v>
      </c>
      <c r="E1101" s="3" t="s">
        <v>23</v>
      </c>
      <c r="F1101" s="3" t="s">
        <v>155</v>
      </c>
      <c r="G1101" s="3" t="s">
        <v>77</v>
      </c>
      <c r="H1101" s="3" t="s">
        <v>51</v>
      </c>
      <c r="I1101" s="8">
        <v>43815</v>
      </c>
      <c r="J1101" s="10"/>
      <c r="K1101" s="3"/>
      <c r="L1101" s="3" t="s">
        <v>132</v>
      </c>
      <c r="M1101" s="3" t="s">
        <v>53</v>
      </c>
      <c r="N1101" s="3" t="s">
        <v>84</v>
      </c>
      <c r="O1101" s="3" t="s">
        <v>30</v>
      </c>
      <c r="P1101" s="30">
        <v>28080.86</v>
      </c>
      <c r="Q1101" s="3" t="s">
        <v>80</v>
      </c>
      <c r="R1101" s="3">
        <v>10</v>
      </c>
      <c r="S1101" s="3">
        <v>173</v>
      </c>
      <c r="T1101" s="3">
        <v>35.4</v>
      </c>
      <c r="U1101" s="3" t="s">
        <v>44</v>
      </c>
      <c r="V1101" s="18" t="s">
        <v>45</v>
      </c>
    </row>
    <row r="1102" spans="1:22" ht="15" customHeight="1" x14ac:dyDescent="0.25">
      <c r="A1102" s="15" t="s">
        <v>2124</v>
      </c>
      <c r="B1102" s="1" t="s">
        <v>2125</v>
      </c>
      <c r="C1102">
        <v>58</v>
      </c>
      <c r="D1102" s="1" t="s">
        <v>59</v>
      </c>
      <c r="E1102" s="1" t="s">
        <v>48</v>
      </c>
      <c r="F1102" s="1" t="s">
        <v>49</v>
      </c>
      <c r="G1102" s="1" t="s">
        <v>38</v>
      </c>
      <c r="H1102" s="1" t="s">
        <v>26</v>
      </c>
      <c r="I1102" s="7">
        <v>43562</v>
      </c>
      <c r="J1102" s="7">
        <v>43570</v>
      </c>
      <c r="K1102" s="1">
        <v>8</v>
      </c>
      <c r="L1102" s="1" t="s">
        <v>89</v>
      </c>
      <c r="M1102" s="1" t="s">
        <v>90</v>
      </c>
      <c r="N1102" s="1" t="s">
        <v>203</v>
      </c>
      <c r="O1102" s="1" t="s">
        <v>30</v>
      </c>
      <c r="P1102" s="29">
        <v>21393.4</v>
      </c>
      <c r="Q1102" s="1" t="s">
        <v>567</v>
      </c>
      <c r="R1102" s="1">
        <v>8</v>
      </c>
      <c r="S1102" s="1">
        <v>394</v>
      </c>
      <c r="T1102" s="1">
        <v>35.299999999999997</v>
      </c>
      <c r="U1102" s="1" t="s">
        <v>86</v>
      </c>
      <c r="V1102" s="17" t="s">
        <v>33</v>
      </c>
    </row>
    <row r="1103" spans="1:22" ht="15" customHeight="1" x14ac:dyDescent="0.25">
      <c r="A1103" s="16" t="s">
        <v>2126</v>
      </c>
      <c r="B1103" s="3" t="s">
        <v>2127</v>
      </c>
      <c r="C1103">
        <v>60</v>
      </c>
      <c r="D1103" s="3" t="s">
        <v>59</v>
      </c>
      <c r="E1103" s="3" t="s">
        <v>23</v>
      </c>
      <c r="F1103" s="3" t="s">
        <v>76</v>
      </c>
      <c r="G1103" s="3" t="s">
        <v>131</v>
      </c>
      <c r="H1103" s="3" t="s">
        <v>51</v>
      </c>
      <c r="I1103" s="6">
        <v>43553</v>
      </c>
      <c r="J1103" s="8">
        <v>43469</v>
      </c>
      <c r="K1103" s="3">
        <v>3</v>
      </c>
      <c r="L1103" s="3" t="s">
        <v>27</v>
      </c>
      <c r="M1103" s="3" t="s">
        <v>28</v>
      </c>
      <c r="N1103" s="3" t="s">
        <v>133</v>
      </c>
      <c r="O1103" s="3" t="s">
        <v>30</v>
      </c>
      <c r="P1103" s="30">
        <v>20170.28</v>
      </c>
      <c r="Q1103" s="3" t="s">
        <v>266</v>
      </c>
      <c r="R1103" s="3">
        <v>7</v>
      </c>
      <c r="S1103" s="3">
        <v>119</v>
      </c>
      <c r="T1103" s="3">
        <v>39.9</v>
      </c>
      <c r="U1103" s="3" t="s">
        <v>44</v>
      </c>
      <c r="V1103" s="18" t="s">
        <v>33</v>
      </c>
    </row>
    <row r="1104" spans="1:22" ht="15" customHeight="1" x14ac:dyDescent="0.25">
      <c r="A1104" s="15" t="s">
        <v>2128</v>
      </c>
      <c r="B1104" s="1" t="s">
        <v>804</v>
      </c>
      <c r="C1104">
        <v>61</v>
      </c>
      <c r="D1104" s="1" t="s">
        <v>59</v>
      </c>
      <c r="E1104" s="1" t="s">
        <v>23</v>
      </c>
      <c r="F1104" s="1" t="s">
        <v>49</v>
      </c>
      <c r="G1104" s="1" t="s">
        <v>163</v>
      </c>
      <c r="H1104" s="1" t="s">
        <v>51</v>
      </c>
      <c r="I1104" s="6">
        <v>44139</v>
      </c>
      <c r="J1104" s="7">
        <v>43937</v>
      </c>
      <c r="K1104" s="1">
        <v>5</v>
      </c>
      <c r="L1104" s="1" t="s">
        <v>39</v>
      </c>
      <c r="M1104" s="1" t="s">
        <v>40</v>
      </c>
      <c r="N1104" s="1" t="s">
        <v>213</v>
      </c>
      <c r="O1104" s="1" t="s">
        <v>30</v>
      </c>
      <c r="P1104" s="29">
        <v>20364.900000000001</v>
      </c>
      <c r="Q1104" s="1" t="s">
        <v>382</v>
      </c>
      <c r="R1104" s="1">
        <v>4</v>
      </c>
      <c r="S1104" s="1">
        <v>171</v>
      </c>
      <c r="T1104" s="1">
        <v>32.4</v>
      </c>
      <c r="U1104" s="1" t="s">
        <v>44</v>
      </c>
      <c r="V1104" s="17" t="s">
        <v>33</v>
      </c>
    </row>
    <row r="1105" spans="1:22" ht="15" customHeight="1" x14ac:dyDescent="0.25">
      <c r="A1105" s="16" t="s">
        <v>2129</v>
      </c>
      <c r="B1105" s="3" t="s">
        <v>483</v>
      </c>
      <c r="C1105">
        <v>60</v>
      </c>
      <c r="D1105" s="3" t="s">
        <v>59</v>
      </c>
      <c r="E1105" s="3" t="s">
        <v>23</v>
      </c>
      <c r="F1105" s="3" t="s">
        <v>70</v>
      </c>
      <c r="G1105" s="3" t="s">
        <v>131</v>
      </c>
      <c r="H1105" s="3" t="s">
        <v>51</v>
      </c>
      <c r="I1105" s="8">
        <v>43500</v>
      </c>
      <c r="J1105" s="8">
        <v>43507</v>
      </c>
      <c r="K1105" s="3">
        <v>7</v>
      </c>
      <c r="L1105" s="3" t="s">
        <v>132</v>
      </c>
      <c r="M1105" s="3" t="s">
        <v>53</v>
      </c>
      <c r="N1105" s="3" t="s">
        <v>147</v>
      </c>
      <c r="O1105" s="3" t="s">
        <v>30</v>
      </c>
      <c r="P1105" s="30">
        <v>18128.79</v>
      </c>
      <c r="Q1105" s="3" t="s">
        <v>134</v>
      </c>
      <c r="R1105" s="3">
        <v>7</v>
      </c>
      <c r="S1105" s="3">
        <v>171</v>
      </c>
      <c r="T1105" s="3">
        <v>33.700000000000003</v>
      </c>
      <c r="U1105" s="3" t="s">
        <v>86</v>
      </c>
      <c r="V1105" s="18" t="s">
        <v>33</v>
      </c>
    </row>
    <row r="1106" spans="1:22" ht="15" customHeight="1" x14ac:dyDescent="0.25">
      <c r="A1106" s="15" t="s">
        <v>2130</v>
      </c>
      <c r="B1106" s="1" t="s">
        <v>2131</v>
      </c>
      <c r="C1106">
        <v>14</v>
      </c>
      <c r="D1106" s="1" t="s">
        <v>22</v>
      </c>
      <c r="E1106" s="1" t="s">
        <v>48</v>
      </c>
      <c r="F1106" s="1" t="s">
        <v>155</v>
      </c>
      <c r="G1106" s="1" t="s">
        <v>131</v>
      </c>
      <c r="H1106" s="1" t="s">
        <v>156</v>
      </c>
      <c r="I1106" s="7">
        <v>45295</v>
      </c>
      <c r="J1106" s="7">
        <v>45303</v>
      </c>
      <c r="K1106" s="1">
        <v>8</v>
      </c>
      <c r="L1106" s="1" t="s">
        <v>39</v>
      </c>
      <c r="M1106" s="1" t="s">
        <v>40</v>
      </c>
      <c r="N1106" s="1" t="s">
        <v>157</v>
      </c>
      <c r="O1106" s="1" t="s">
        <v>30</v>
      </c>
      <c r="P1106" s="29">
        <v>8481</v>
      </c>
      <c r="Q1106" s="1" t="s">
        <v>266</v>
      </c>
      <c r="R1106" s="1">
        <v>6</v>
      </c>
      <c r="S1106" s="1">
        <v>352</v>
      </c>
      <c r="T1106" s="1">
        <v>28.6</v>
      </c>
      <c r="U1106" s="1" t="s">
        <v>44</v>
      </c>
      <c r="V1106" s="17" t="s">
        <v>33</v>
      </c>
    </row>
    <row r="1107" spans="1:22" ht="15" customHeight="1" x14ac:dyDescent="0.25">
      <c r="A1107" s="16" t="s">
        <v>2132</v>
      </c>
      <c r="B1107" s="3" t="s">
        <v>2133</v>
      </c>
      <c r="C1107">
        <v>71</v>
      </c>
      <c r="D1107" s="3" t="s">
        <v>82</v>
      </c>
      <c r="E1107" s="3" t="s">
        <v>23</v>
      </c>
      <c r="F1107" s="3" t="s">
        <v>99</v>
      </c>
      <c r="G1107" s="3" t="s">
        <v>131</v>
      </c>
      <c r="H1107" s="3" t="s">
        <v>78</v>
      </c>
      <c r="I1107" s="6">
        <v>44555</v>
      </c>
      <c r="J1107" s="8">
        <v>44558</v>
      </c>
      <c r="K1107" s="3">
        <v>3</v>
      </c>
      <c r="L1107" s="3" t="s">
        <v>102</v>
      </c>
      <c r="M1107" s="3" t="s">
        <v>28</v>
      </c>
      <c r="N1107" s="3" t="s">
        <v>147</v>
      </c>
      <c r="O1107" s="3" t="s">
        <v>42</v>
      </c>
      <c r="P1107" s="30">
        <v>16941.25</v>
      </c>
      <c r="Q1107" s="3" t="s">
        <v>152</v>
      </c>
      <c r="R1107" s="3">
        <v>7</v>
      </c>
      <c r="S1107" s="3">
        <v>383</v>
      </c>
      <c r="T1107" s="3">
        <v>25.1</v>
      </c>
      <c r="U1107" s="3" t="s">
        <v>44</v>
      </c>
      <c r="V1107" s="18" t="s">
        <v>45</v>
      </c>
    </row>
    <row r="1108" spans="1:22" ht="15" customHeight="1" x14ac:dyDescent="0.25">
      <c r="A1108" s="15" t="s">
        <v>2134</v>
      </c>
      <c r="B1108" s="1" t="s">
        <v>1520</v>
      </c>
      <c r="C1108">
        <v>79</v>
      </c>
      <c r="D1108" s="1" t="s">
        <v>36</v>
      </c>
      <c r="E1108" s="1" t="s">
        <v>48</v>
      </c>
      <c r="F1108" s="1" t="s">
        <v>70</v>
      </c>
      <c r="G1108" s="1" t="s">
        <v>50</v>
      </c>
      <c r="H1108" s="1" t="s">
        <v>51</v>
      </c>
      <c r="I1108" s="7">
        <v>43540</v>
      </c>
      <c r="J1108" s="7">
        <v>43545</v>
      </c>
      <c r="K1108" s="1">
        <v>5</v>
      </c>
      <c r="L1108" s="1" t="s">
        <v>52</v>
      </c>
      <c r="M1108" s="1" t="s">
        <v>53</v>
      </c>
      <c r="N1108" s="1" t="s">
        <v>126</v>
      </c>
      <c r="O1108" s="1" t="s">
        <v>30</v>
      </c>
      <c r="P1108" s="29">
        <v>65939.740000000005</v>
      </c>
      <c r="Q1108" s="1" t="s">
        <v>194</v>
      </c>
      <c r="R1108" s="1">
        <v>7</v>
      </c>
      <c r="S1108" s="1">
        <v>175</v>
      </c>
      <c r="T1108" s="1">
        <v>28</v>
      </c>
      <c r="U1108" s="1" t="s">
        <v>44</v>
      </c>
      <c r="V1108" s="17" t="s">
        <v>33</v>
      </c>
    </row>
    <row r="1109" spans="1:22" ht="15" customHeight="1" x14ac:dyDescent="0.25">
      <c r="A1109" s="16" t="s">
        <v>2135</v>
      </c>
      <c r="B1109" s="2" t="s">
        <v>3649</v>
      </c>
      <c r="C1109">
        <v>31</v>
      </c>
      <c r="D1109" s="3" t="s">
        <v>47</v>
      </c>
      <c r="E1109" s="3" t="s">
        <v>48</v>
      </c>
      <c r="F1109" s="3" t="s">
        <v>99</v>
      </c>
      <c r="G1109" s="3" t="s">
        <v>188</v>
      </c>
      <c r="H1109" s="3" t="s">
        <v>78</v>
      </c>
      <c r="I1109" s="8">
        <v>45194</v>
      </c>
      <c r="J1109" s="8">
        <v>45202</v>
      </c>
      <c r="K1109" s="3">
        <v>8</v>
      </c>
      <c r="L1109" s="3" t="s">
        <v>112</v>
      </c>
      <c r="M1109" s="3" t="s">
        <v>40</v>
      </c>
      <c r="N1109" s="3" t="s">
        <v>94</v>
      </c>
      <c r="O1109" s="3" t="s">
        <v>66</v>
      </c>
      <c r="P1109" s="30">
        <v>72243.31</v>
      </c>
      <c r="Q1109" s="3" t="s">
        <v>91</v>
      </c>
      <c r="R1109" s="3">
        <v>9</v>
      </c>
      <c r="S1109" s="3">
        <v>406</v>
      </c>
      <c r="T1109" s="3">
        <v>30.2</v>
      </c>
      <c r="U1109" s="3" t="s">
        <v>44</v>
      </c>
      <c r="V1109" s="18" t="s">
        <v>33</v>
      </c>
    </row>
    <row r="1110" spans="1:22" ht="15" customHeight="1" x14ac:dyDescent="0.25">
      <c r="A1110" s="15" t="s">
        <v>2136</v>
      </c>
      <c r="B1110" s="1" t="s">
        <v>2137</v>
      </c>
      <c r="C1110">
        <v>9</v>
      </c>
      <c r="D1110" s="1" t="s">
        <v>22</v>
      </c>
      <c r="E1110" s="1" t="s">
        <v>23</v>
      </c>
      <c r="F1110" s="1" t="s">
        <v>155</v>
      </c>
      <c r="G1110" s="1" t="s">
        <v>25</v>
      </c>
      <c r="H1110" s="1" t="s">
        <v>26</v>
      </c>
      <c r="I1110" s="7">
        <v>45184</v>
      </c>
      <c r="J1110" s="7">
        <v>45197</v>
      </c>
      <c r="K1110" s="1">
        <v>13</v>
      </c>
      <c r="L1110" s="1" t="s">
        <v>39</v>
      </c>
      <c r="M1110" s="1" t="s">
        <v>40</v>
      </c>
      <c r="N1110" s="1" t="s">
        <v>65</v>
      </c>
      <c r="O1110" s="1" t="s">
        <v>104</v>
      </c>
      <c r="P1110" s="29">
        <v>91491.81</v>
      </c>
      <c r="Q1110" s="1" t="s">
        <v>198</v>
      </c>
      <c r="R1110" s="1">
        <v>10</v>
      </c>
      <c r="S1110" s="1">
        <v>461</v>
      </c>
      <c r="T1110" s="1">
        <v>22.5</v>
      </c>
      <c r="U1110" s="1" t="s">
        <v>44</v>
      </c>
      <c r="V1110" s="17" t="s">
        <v>33</v>
      </c>
    </row>
    <row r="1111" spans="1:22" ht="15" customHeight="1" x14ac:dyDescent="0.25">
      <c r="A1111" s="16" t="s">
        <v>2138</v>
      </c>
      <c r="B1111" s="3" t="s">
        <v>2139</v>
      </c>
      <c r="C1111">
        <v>68</v>
      </c>
      <c r="D1111" s="3" t="s">
        <v>82</v>
      </c>
      <c r="E1111" s="3" t="s">
        <v>23</v>
      </c>
      <c r="F1111" s="3" t="s">
        <v>24</v>
      </c>
      <c r="G1111" s="3" t="s">
        <v>2140</v>
      </c>
      <c r="H1111" s="3" t="s">
        <v>26</v>
      </c>
      <c r="I1111" s="8">
        <v>44229</v>
      </c>
      <c r="J1111" s="8">
        <v>44230</v>
      </c>
      <c r="K1111" s="3">
        <v>1</v>
      </c>
      <c r="L1111" s="3" t="s">
        <v>27</v>
      </c>
      <c r="M1111" s="3" t="s">
        <v>28</v>
      </c>
      <c r="N1111" s="3" t="s">
        <v>72</v>
      </c>
      <c r="O1111" s="3" t="s">
        <v>66</v>
      </c>
      <c r="P1111" s="30">
        <v>46020.65</v>
      </c>
      <c r="Q1111" s="3" t="s">
        <v>503</v>
      </c>
      <c r="R1111" s="3">
        <v>4</v>
      </c>
      <c r="S1111" s="3">
        <v>395</v>
      </c>
      <c r="T1111" s="4"/>
      <c r="U1111" s="3" t="s">
        <v>32</v>
      </c>
      <c r="V1111" s="18" t="s">
        <v>33</v>
      </c>
    </row>
    <row r="1112" spans="1:22" ht="15" customHeight="1" x14ac:dyDescent="0.25">
      <c r="A1112" s="15" t="s">
        <v>2141</v>
      </c>
      <c r="B1112" s="1" t="s">
        <v>1845</v>
      </c>
      <c r="C1112">
        <v>43</v>
      </c>
      <c r="D1112" s="1" t="s">
        <v>98</v>
      </c>
      <c r="E1112" s="1" t="s">
        <v>48</v>
      </c>
      <c r="F1112" s="1" t="s">
        <v>99</v>
      </c>
      <c r="G1112" s="1" t="s">
        <v>77</v>
      </c>
      <c r="H1112" s="1" t="s">
        <v>51</v>
      </c>
      <c r="I1112" s="6">
        <v>44907</v>
      </c>
      <c r="J1112" s="7">
        <v>44912</v>
      </c>
      <c r="K1112" s="1">
        <v>5</v>
      </c>
      <c r="L1112" s="1" t="s">
        <v>52</v>
      </c>
      <c r="M1112" s="1" t="s">
        <v>53</v>
      </c>
      <c r="N1112" s="1" t="s">
        <v>84</v>
      </c>
      <c r="O1112" s="1" t="s">
        <v>42</v>
      </c>
      <c r="P1112" s="29">
        <v>26105.64</v>
      </c>
      <c r="Q1112" s="1" t="s">
        <v>91</v>
      </c>
      <c r="R1112" s="1">
        <v>10</v>
      </c>
      <c r="S1112" s="1">
        <v>177</v>
      </c>
      <c r="T1112" s="1">
        <v>34.1</v>
      </c>
      <c r="U1112" s="1" t="s">
        <v>44</v>
      </c>
      <c r="V1112" s="17" t="s">
        <v>33</v>
      </c>
    </row>
    <row r="1113" spans="1:22" ht="15" customHeight="1" x14ac:dyDescent="0.25">
      <c r="A1113" s="16" t="s">
        <v>2142</v>
      </c>
      <c r="B1113" s="3" t="s">
        <v>778</v>
      </c>
      <c r="C1113">
        <v>63</v>
      </c>
      <c r="D1113" s="3" t="s">
        <v>59</v>
      </c>
      <c r="E1113" s="3" t="s">
        <v>48</v>
      </c>
      <c r="F1113" s="3" t="s">
        <v>99</v>
      </c>
      <c r="G1113" s="3" t="s">
        <v>25</v>
      </c>
      <c r="H1113" s="3" t="s">
        <v>51</v>
      </c>
      <c r="I1113" s="8">
        <v>43575</v>
      </c>
      <c r="J1113" s="8">
        <v>43583</v>
      </c>
      <c r="K1113" s="3">
        <v>8</v>
      </c>
      <c r="L1113" s="3" t="s">
        <v>112</v>
      </c>
      <c r="M1113" s="3" t="s">
        <v>40</v>
      </c>
      <c r="N1113" s="3" t="s">
        <v>248</v>
      </c>
      <c r="O1113" s="3" t="s">
        <v>55</v>
      </c>
      <c r="P1113" s="30">
        <v>40501.94</v>
      </c>
      <c r="Q1113" s="3" t="s">
        <v>67</v>
      </c>
      <c r="R1113" s="3">
        <v>9</v>
      </c>
      <c r="S1113" s="3">
        <v>109</v>
      </c>
      <c r="T1113" s="3">
        <v>25.5</v>
      </c>
      <c r="U1113" s="3" t="s">
        <v>44</v>
      </c>
      <c r="V1113" s="18" t="s">
        <v>45</v>
      </c>
    </row>
    <row r="1114" spans="1:22" ht="15" customHeight="1" x14ac:dyDescent="0.25">
      <c r="A1114" s="15" t="s">
        <v>2143</v>
      </c>
      <c r="B1114" s="1" t="s">
        <v>2144</v>
      </c>
      <c r="C1114">
        <v>51</v>
      </c>
      <c r="D1114" s="1" t="s">
        <v>98</v>
      </c>
      <c r="E1114" s="1" t="s">
        <v>23</v>
      </c>
      <c r="F1114" s="1" t="s">
        <v>76</v>
      </c>
      <c r="G1114" s="1" t="s">
        <v>163</v>
      </c>
      <c r="H1114" s="1" t="s">
        <v>51</v>
      </c>
      <c r="I1114" s="6">
        <v>44518</v>
      </c>
      <c r="J1114" s="7">
        <v>44521</v>
      </c>
      <c r="K1114" s="1">
        <v>3</v>
      </c>
      <c r="L1114" s="1" t="s">
        <v>122</v>
      </c>
      <c r="M1114" s="1" t="s">
        <v>40</v>
      </c>
      <c r="N1114" s="1" t="s">
        <v>213</v>
      </c>
      <c r="O1114" s="1" t="s">
        <v>55</v>
      </c>
      <c r="P1114" s="29">
        <v>18224.77</v>
      </c>
      <c r="Q1114" s="1" t="s">
        <v>257</v>
      </c>
      <c r="R1114" s="1">
        <v>5</v>
      </c>
      <c r="S1114" s="1">
        <v>179</v>
      </c>
      <c r="T1114" s="1">
        <v>28.1</v>
      </c>
      <c r="U1114" s="1" t="s">
        <v>32</v>
      </c>
      <c r="V1114" s="17" t="s">
        <v>33</v>
      </c>
    </row>
    <row r="1115" spans="1:22" ht="15" customHeight="1" x14ac:dyDescent="0.25">
      <c r="A1115" s="16" t="s">
        <v>2145</v>
      </c>
      <c r="B1115" s="3" t="s">
        <v>1305</v>
      </c>
      <c r="C1115">
        <v>79</v>
      </c>
      <c r="D1115" s="3" t="s">
        <v>36</v>
      </c>
      <c r="E1115" s="3" t="s">
        <v>23</v>
      </c>
      <c r="F1115" s="3" t="s">
        <v>99</v>
      </c>
      <c r="G1115" s="3" t="s">
        <v>60</v>
      </c>
      <c r="H1115" s="3" t="s">
        <v>51</v>
      </c>
      <c r="I1115" s="8">
        <v>45483</v>
      </c>
      <c r="J1115" s="8">
        <v>45488</v>
      </c>
      <c r="K1115" s="3">
        <v>5</v>
      </c>
      <c r="L1115" s="3" t="s">
        <v>52</v>
      </c>
      <c r="M1115" s="3" t="s">
        <v>53</v>
      </c>
      <c r="N1115" s="3" t="s">
        <v>210</v>
      </c>
      <c r="O1115" s="3" t="s">
        <v>30</v>
      </c>
      <c r="P1115" s="30">
        <v>23600.34</v>
      </c>
      <c r="Q1115" s="3" t="s">
        <v>105</v>
      </c>
      <c r="R1115" s="3">
        <v>6</v>
      </c>
      <c r="S1115" s="3">
        <v>104</v>
      </c>
      <c r="T1115" s="3">
        <v>28.4</v>
      </c>
      <c r="U1115" s="3" t="s">
        <v>32</v>
      </c>
      <c r="V1115" s="18" t="s">
        <v>33</v>
      </c>
    </row>
    <row r="1116" spans="1:22" ht="15" customHeight="1" x14ac:dyDescent="0.25">
      <c r="A1116" s="15" t="s">
        <v>2146</v>
      </c>
      <c r="B1116" s="1" t="s">
        <v>2147</v>
      </c>
      <c r="C1116">
        <v>63</v>
      </c>
      <c r="D1116" s="1" t="s">
        <v>59</v>
      </c>
      <c r="E1116" s="1" t="s">
        <v>48</v>
      </c>
      <c r="F1116" s="1" t="s">
        <v>37</v>
      </c>
      <c r="G1116" s="1" t="s">
        <v>25</v>
      </c>
      <c r="H1116" s="1" t="s">
        <v>51</v>
      </c>
      <c r="I1116" s="7">
        <v>44822</v>
      </c>
      <c r="J1116" s="7">
        <v>44722</v>
      </c>
      <c r="K1116" s="1">
        <v>18</v>
      </c>
      <c r="L1116" s="1" t="s">
        <v>122</v>
      </c>
      <c r="M1116" s="1" t="s">
        <v>40</v>
      </c>
      <c r="N1116" s="1" t="s">
        <v>65</v>
      </c>
      <c r="O1116" s="1" t="s">
        <v>42</v>
      </c>
      <c r="P1116" s="29">
        <v>116507.89</v>
      </c>
      <c r="Q1116" s="1" t="s">
        <v>484</v>
      </c>
      <c r="R1116" s="1">
        <v>10</v>
      </c>
      <c r="S1116" s="1">
        <v>181</v>
      </c>
      <c r="T1116" s="1">
        <v>20.7</v>
      </c>
      <c r="U1116" s="1" t="s">
        <v>44</v>
      </c>
      <c r="V1116" s="17" t="s">
        <v>33</v>
      </c>
    </row>
    <row r="1117" spans="1:22" ht="15" customHeight="1" x14ac:dyDescent="0.25">
      <c r="A1117" s="16" t="s">
        <v>2148</v>
      </c>
      <c r="B1117" s="3" t="s">
        <v>2149</v>
      </c>
      <c r="C1117">
        <v>31</v>
      </c>
      <c r="D1117" s="3" t="s">
        <v>47</v>
      </c>
      <c r="E1117" s="3" t="s">
        <v>48</v>
      </c>
      <c r="F1117" s="3" t="s">
        <v>24</v>
      </c>
      <c r="G1117" s="3" t="s">
        <v>131</v>
      </c>
      <c r="H1117" s="3" t="s">
        <v>51</v>
      </c>
      <c r="I1117" s="6">
        <v>43656</v>
      </c>
      <c r="J1117" s="8">
        <v>43748</v>
      </c>
      <c r="K1117" s="3">
        <v>3</v>
      </c>
      <c r="L1117" s="3" t="s">
        <v>102</v>
      </c>
      <c r="M1117" s="3" t="s">
        <v>28</v>
      </c>
      <c r="N1117" s="3" t="s">
        <v>157</v>
      </c>
      <c r="O1117" s="3" t="s">
        <v>42</v>
      </c>
      <c r="P1117" s="30">
        <v>10503.13</v>
      </c>
      <c r="Q1117" s="3" t="s">
        <v>152</v>
      </c>
      <c r="R1117" s="3">
        <v>7</v>
      </c>
      <c r="S1117" s="3">
        <v>117</v>
      </c>
      <c r="T1117" s="3">
        <v>30.2</v>
      </c>
      <c r="U1117" s="3" t="s">
        <v>44</v>
      </c>
      <c r="V1117" s="18" t="s">
        <v>33</v>
      </c>
    </row>
    <row r="1118" spans="1:22" ht="15" customHeight="1" x14ac:dyDescent="0.25">
      <c r="A1118" s="15" t="s">
        <v>2150</v>
      </c>
      <c r="B1118" s="2" t="s">
        <v>3034</v>
      </c>
      <c r="C1118">
        <v>58</v>
      </c>
      <c r="D1118" s="1" t="s">
        <v>59</v>
      </c>
      <c r="E1118" s="1" t="s">
        <v>48</v>
      </c>
      <c r="F1118" s="2" t="s">
        <v>155</v>
      </c>
      <c r="G1118" s="1" t="s">
        <v>131</v>
      </c>
      <c r="H1118" s="1" t="s">
        <v>51</v>
      </c>
      <c r="I1118" s="7">
        <v>45108</v>
      </c>
      <c r="J1118" s="7">
        <v>45115</v>
      </c>
      <c r="K1118" s="1">
        <v>7</v>
      </c>
      <c r="L1118" s="1" t="s">
        <v>52</v>
      </c>
      <c r="M1118" s="1" t="s">
        <v>53</v>
      </c>
      <c r="N1118" s="1" t="s">
        <v>133</v>
      </c>
      <c r="O1118" s="1" t="s">
        <v>30</v>
      </c>
      <c r="P1118" s="29">
        <v>19681.52</v>
      </c>
      <c r="Q1118" s="1" t="s">
        <v>152</v>
      </c>
      <c r="R1118" s="1">
        <v>5</v>
      </c>
      <c r="S1118" s="1">
        <v>195</v>
      </c>
      <c r="T1118" s="4"/>
      <c r="U1118" s="1" t="s">
        <v>32</v>
      </c>
      <c r="V1118" s="17" t="s">
        <v>45</v>
      </c>
    </row>
    <row r="1119" spans="1:22" ht="15" customHeight="1" x14ac:dyDescent="0.25">
      <c r="A1119" s="16" t="s">
        <v>2151</v>
      </c>
      <c r="B1119" s="3" t="s">
        <v>2152</v>
      </c>
      <c r="C1119">
        <v>23</v>
      </c>
      <c r="D1119" s="3" t="s">
        <v>47</v>
      </c>
      <c r="E1119" s="3" t="s">
        <v>23</v>
      </c>
      <c r="F1119" s="3" t="s">
        <v>37</v>
      </c>
      <c r="G1119" s="3" t="s">
        <v>38</v>
      </c>
      <c r="H1119" s="3" t="s">
        <v>78</v>
      </c>
      <c r="I1119" s="8">
        <v>43641</v>
      </c>
      <c r="J1119" s="8">
        <v>43472</v>
      </c>
      <c r="K1119" s="3">
        <v>6</v>
      </c>
      <c r="L1119" s="3" t="s">
        <v>39</v>
      </c>
      <c r="M1119" s="3" t="s">
        <v>40</v>
      </c>
      <c r="N1119" s="3" t="s">
        <v>173</v>
      </c>
      <c r="O1119" s="3" t="s">
        <v>30</v>
      </c>
      <c r="P1119" s="30">
        <v>12818.07</v>
      </c>
      <c r="Q1119" s="3" t="s">
        <v>305</v>
      </c>
      <c r="R1119" s="3">
        <v>8</v>
      </c>
      <c r="S1119" s="3">
        <v>189</v>
      </c>
      <c r="T1119" s="3">
        <v>30.7</v>
      </c>
      <c r="U1119" s="3" t="s">
        <v>32</v>
      </c>
      <c r="V1119" s="18" t="s">
        <v>33</v>
      </c>
    </row>
    <row r="1120" spans="1:22" ht="15" customHeight="1" x14ac:dyDescent="0.25">
      <c r="A1120" s="15" t="s">
        <v>2153</v>
      </c>
      <c r="B1120" s="1" t="s">
        <v>2154</v>
      </c>
      <c r="C1120">
        <v>74</v>
      </c>
      <c r="D1120" s="1" t="s">
        <v>82</v>
      </c>
      <c r="E1120" s="1" t="s">
        <v>48</v>
      </c>
      <c r="F1120" s="1" t="s">
        <v>76</v>
      </c>
      <c r="G1120" s="1" t="s">
        <v>71</v>
      </c>
      <c r="H1120" s="1" t="s">
        <v>26</v>
      </c>
      <c r="I1120" s="7">
        <v>43649</v>
      </c>
      <c r="J1120" s="7">
        <v>43653</v>
      </c>
      <c r="K1120" s="1">
        <v>4</v>
      </c>
      <c r="L1120" s="1" t="s">
        <v>112</v>
      </c>
      <c r="M1120" s="1" t="s">
        <v>40</v>
      </c>
      <c r="N1120" s="1" t="s">
        <v>312</v>
      </c>
      <c r="O1120" s="1" t="s">
        <v>42</v>
      </c>
      <c r="P1120" s="29">
        <v>26813.06</v>
      </c>
      <c r="Q1120" s="1" t="s">
        <v>374</v>
      </c>
      <c r="R1120" s="1">
        <v>5</v>
      </c>
      <c r="S1120" s="1">
        <v>327</v>
      </c>
      <c r="T1120" s="1">
        <v>19.3</v>
      </c>
      <c r="U1120" s="1" t="s">
        <v>44</v>
      </c>
      <c r="V1120" s="17" t="s">
        <v>33</v>
      </c>
    </row>
    <row r="1121" spans="1:22" ht="15" customHeight="1" x14ac:dyDescent="0.25">
      <c r="A1121" s="16" t="s">
        <v>2155</v>
      </c>
      <c r="B1121" s="2" t="s">
        <v>3650</v>
      </c>
      <c r="C1121">
        <v>70</v>
      </c>
      <c r="D1121" s="3" t="s">
        <v>82</v>
      </c>
      <c r="E1121" s="3" t="s">
        <v>23</v>
      </c>
      <c r="F1121" s="3" t="s">
        <v>70</v>
      </c>
      <c r="G1121" s="3" t="s">
        <v>77</v>
      </c>
      <c r="H1121" s="3" t="s">
        <v>51</v>
      </c>
      <c r="I1121" s="8">
        <v>44517</v>
      </c>
      <c r="J1121" s="10"/>
      <c r="K1121" s="3"/>
      <c r="L1121" s="3" t="s">
        <v>185</v>
      </c>
      <c r="M1121" s="3" t="s">
        <v>186</v>
      </c>
      <c r="N1121" s="3" t="s">
        <v>79</v>
      </c>
      <c r="O1121" s="3" t="s">
        <v>30</v>
      </c>
      <c r="P1121" s="30">
        <v>53781.46</v>
      </c>
      <c r="Q1121" s="3" t="s">
        <v>100</v>
      </c>
      <c r="R1121" s="3">
        <v>10</v>
      </c>
      <c r="S1121" s="3">
        <v>134</v>
      </c>
      <c r="T1121" s="3">
        <v>29.1</v>
      </c>
      <c r="U1121" s="3" t="s">
        <v>86</v>
      </c>
      <c r="V1121" s="18" t="s">
        <v>33</v>
      </c>
    </row>
    <row r="1122" spans="1:22" ht="15" customHeight="1" x14ac:dyDescent="0.25">
      <c r="A1122" s="15" t="s">
        <v>2156</v>
      </c>
      <c r="B1122" s="1" t="s">
        <v>688</v>
      </c>
      <c r="C1122">
        <v>72</v>
      </c>
      <c r="D1122" s="1" t="s">
        <v>82</v>
      </c>
      <c r="E1122" s="1" t="s">
        <v>23</v>
      </c>
      <c r="F1122" s="1" t="s">
        <v>155</v>
      </c>
      <c r="G1122" s="1" t="s">
        <v>71</v>
      </c>
      <c r="H1122" s="1" t="s">
        <v>78</v>
      </c>
      <c r="I1122" s="7">
        <v>43672</v>
      </c>
      <c r="J1122" s="7">
        <v>43674</v>
      </c>
      <c r="K1122" s="1">
        <v>2</v>
      </c>
      <c r="L1122" s="1" t="s">
        <v>39</v>
      </c>
      <c r="M1122" s="1" t="s">
        <v>40</v>
      </c>
      <c r="N1122" s="1" t="s">
        <v>177</v>
      </c>
      <c r="O1122" s="1" t="s">
        <v>104</v>
      </c>
      <c r="P1122" s="29">
        <v>14877.95</v>
      </c>
      <c r="Q1122" s="1" t="s">
        <v>374</v>
      </c>
      <c r="R1122" s="1">
        <v>5</v>
      </c>
      <c r="S1122" s="1">
        <v>488</v>
      </c>
      <c r="T1122" s="1">
        <v>29.6</v>
      </c>
      <c r="U1122" s="1" t="s">
        <v>32</v>
      </c>
      <c r="V1122" s="17" t="s">
        <v>33</v>
      </c>
    </row>
    <row r="1123" spans="1:22" ht="15" customHeight="1" x14ac:dyDescent="0.25">
      <c r="A1123" s="16" t="s">
        <v>2157</v>
      </c>
      <c r="B1123" s="3" t="s">
        <v>2054</v>
      </c>
      <c r="C1123">
        <v>54</v>
      </c>
      <c r="D1123" s="3" t="s">
        <v>98</v>
      </c>
      <c r="E1123" s="3" t="s">
        <v>23</v>
      </c>
      <c r="F1123" s="3" t="s">
        <v>70</v>
      </c>
      <c r="G1123" s="3" t="s">
        <v>38</v>
      </c>
      <c r="H1123" s="3" t="s">
        <v>26</v>
      </c>
      <c r="I1123" s="6">
        <v>44930</v>
      </c>
      <c r="J1123" s="8">
        <v>45020</v>
      </c>
      <c r="K1123" s="3">
        <v>3</v>
      </c>
      <c r="L1123" s="3" t="s">
        <v>102</v>
      </c>
      <c r="M1123" s="3" t="s">
        <v>28</v>
      </c>
      <c r="N1123" s="3" t="s">
        <v>41</v>
      </c>
      <c r="O1123" s="3" t="s">
        <v>42</v>
      </c>
      <c r="P1123" s="30">
        <v>31318.74</v>
      </c>
      <c r="Q1123" s="3" t="s">
        <v>437</v>
      </c>
      <c r="R1123" s="3">
        <v>8</v>
      </c>
      <c r="S1123" s="3">
        <v>214</v>
      </c>
      <c r="T1123" s="3">
        <v>43</v>
      </c>
      <c r="U1123" s="3" t="s">
        <v>44</v>
      </c>
      <c r="V1123" s="18" t="s">
        <v>33</v>
      </c>
    </row>
    <row r="1124" spans="1:22" ht="15" customHeight="1" x14ac:dyDescent="0.25">
      <c r="A1124" s="15" t="s">
        <v>2158</v>
      </c>
      <c r="B1124" s="1" t="s">
        <v>657</v>
      </c>
      <c r="C1124">
        <v>70</v>
      </c>
      <c r="D1124" s="1" t="s">
        <v>82</v>
      </c>
      <c r="E1124" s="1" t="s">
        <v>23</v>
      </c>
      <c r="F1124" s="1" t="s">
        <v>83</v>
      </c>
      <c r="G1124" s="1" t="s">
        <v>77</v>
      </c>
      <c r="H1124" s="1" t="s">
        <v>26</v>
      </c>
      <c r="I1124" s="6">
        <v>43716</v>
      </c>
      <c r="J1124" s="7">
        <v>43694</v>
      </c>
      <c r="K1124" s="1">
        <v>8</v>
      </c>
      <c r="L1124" s="1" t="s">
        <v>122</v>
      </c>
      <c r="M1124" s="1" t="s">
        <v>40</v>
      </c>
      <c r="N1124" s="1" t="s">
        <v>94</v>
      </c>
      <c r="O1124" s="1" t="s">
        <v>42</v>
      </c>
      <c r="P1124" s="29">
        <v>158624.20000000001</v>
      </c>
      <c r="Q1124" s="1" t="s">
        <v>109</v>
      </c>
      <c r="R1124" s="1">
        <v>10</v>
      </c>
      <c r="S1124" s="1">
        <v>395</v>
      </c>
      <c r="T1124" s="1">
        <v>23.9</v>
      </c>
      <c r="U1124" s="1" t="s">
        <v>44</v>
      </c>
      <c r="V1124" s="17" t="s">
        <v>45</v>
      </c>
    </row>
    <row r="1125" spans="1:22" ht="15" customHeight="1" x14ac:dyDescent="0.25">
      <c r="A1125" s="16" t="s">
        <v>2159</v>
      </c>
      <c r="B1125" s="3" t="s">
        <v>667</v>
      </c>
      <c r="C1125">
        <v>90</v>
      </c>
      <c r="D1125" s="3" t="s">
        <v>36</v>
      </c>
      <c r="E1125" s="3" t="s">
        <v>48</v>
      </c>
      <c r="F1125" s="3" t="s">
        <v>99</v>
      </c>
      <c r="G1125" s="3" t="s">
        <v>38</v>
      </c>
      <c r="H1125" s="3" t="s">
        <v>51</v>
      </c>
      <c r="I1125" s="8">
        <v>44836</v>
      </c>
      <c r="J1125" s="8">
        <v>44691</v>
      </c>
      <c r="K1125" s="3">
        <v>3</v>
      </c>
      <c r="L1125" s="3" t="s">
        <v>27</v>
      </c>
      <c r="M1125" s="3" t="s">
        <v>28</v>
      </c>
      <c r="N1125" s="3" t="s">
        <v>203</v>
      </c>
      <c r="O1125" s="3" t="s">
        <v>104</v>
      </c>
      <c r="P1125" s="30">
        <v>19815.05</v>
      </c>
      <c r="Q1125" s="3" t="s">
        <v>437</v>
      </c>
      <c r="R1125" s="3">
        <v>7</v>
      </c>
      <c r="S1125" s="3">
        <v>161</v>
      </c>
      <c r="T1125" s="3">
        <v>16.100000000000001</v>
      </c>
      <c r="U1125" s="3" t="s">
        <v>44</v>
      </c>
      <c r="V1125" s="18" t="s">
        <v>33</v>
      </c>
    </row>
    <row r="1126" spans="1:22" ht="15" customHeight="1" x14ac:dyDescent="0.25">
      <c r="A1126" s="15" t="s">
        <v>2160</v>
      </c>
      <c r="B1126" s="1" t="s">
        <v>2161</v>
      </c>
      <c r="C1126">
        <v>66</v>
      </c>
      <c r="D1126" s="1" t="s">
        <v>82</v>
      </c>
      <c r="E1126" s="1" t="s">
        <v>23</v>
      </c>
      <c r="F1126" s="1" t="s">
        <v>24</v>
      </c>
      <c r="G1126" s="1" t="s">
        <v>77</v>
      </c>
      <c r="H1126" s="1" t="s">
        <v>26</v>
      </c>
      <c r="I1126" s="6">
        <v>45258</v>
      </c>
      <c r="J1126" s="7">
        <v>45269</v>
      </c>
      <c r="K1126" s="1">
        <v>11</v>
      </c>
      <c r="L1126" s="1" t="s">
        <v>231</v>
      </c>
      <c r="M1126" s="1" t="s">
        <v>53</v>
      </c>
      <c r="N1126" s="1" t="s">
        <v>94</v>
      </c>
      <c r="O1126" s="1" t="s">
        <v>104</v>
      </c>
      <c r="P1126" s="29">
        <v>76983.06</v>
      </c>
      <c r="Q1126" s="1" t="s">
        <v>85</v>
      </c>
      <c r="R1126" s="1">
        <v>10</v>
      </c>
      <c r="S1126" s="1">
        <v>328</v>
      </c>
      <c r="T1126" s="1">
        <v>32.9</v>
      </c>
      <c r="U1126" s="1" t="s">
        <v>44</v>
      </c>
      <c r="V1126" s="17" t="s">
        <v>33</v>
      </c>
    </row>
    <row r="1127" spans="1:22" ht="15" customHeight="1" x14ac:dyDescent="0.25">
      <c r="A1127" s="16" t="s">
        <v>2162</v>
      </c>
      <c r="B1127" s="2" t="s">
        <v>3651</v>
      </c>
      <c r="C1127">
        <v>65</v>
      </c>
      <c r="D1127" s="3" t="s">
        <v>82</v>
      </c>
      <c r="E1127" s="3" t="s">
        <v>48</v>
      </c>
      <c r="F1127" s="3" t="s">
        <v>70</v>
      </c>
      <c r="G1127" s="3" t="s">
        <v>25</v>
      </c>
      <c r="H1127" s="3" t="s">
        <v>78</v>
      </c>
      <c r="I1127" s="8">
        <v>44192</v>
      </c>
      <c r="J1127" s="8">
        <v>44317</v>
      </c>
      <c r="K1127" s="3">
        <v>9</v>
      </c>
      <c r="L1127" s="3" t="s">
        <v>112</v>
      </c>
      <c r="M1127" s="3" t="s">
        <v>40</v>
      </c>
      <c r="N1127" s="3" t="s">
        <v>65</v>
      </c>
      <c r="O1127" s="3" t="s">
        <v>42</v>
      </c>
      <c r="P1127" s="30">
        <v>186645.69</v>
      </c>
      <c r="Q1127" s="3" t="s">
        <v>322</v>
      </c>
      <c r="R1127" s="3">
        <v>11</v>
      </c>
      <c r="S1127" s="3">
        <v>440</v>
      </c>
      <c r="T1127" s="3">
        <v>21.6</v>
      </c>
      <c r="U1127" s="3" t="s">
        <v>86</v>
      </c>
      <c r="V1127" s="18" t="s">
        <v>33</v>
      </c>
    </row>
    <row r="1128" spans="1:22" ht="15" customHeight="1" x14ac:dyDescent="0.25">
      <c r="A1128" s="15" t="s">
        <v>2163</v>
      </c>
      <c r="B1128" s="1" t="s">
        <v>1490</v>
      </c>
      <c r="C1128">
        <v>55</v>
      </c>
      <c r="D1128" s="1" t="s">
        <v>59</v>
      </c>
      <c r="E1128" s="1" t="s">
        <v>23</v>
      </c>
      <c r="F1128" s="1" t="s">
        <v>70</v>
      </c>
      <c r="G1128" s="1" t="s">
        <v>131</v>
      </c>
      <c r="H1128" s="1" t="s">
        <v>51</v>
      </c>
      <c r="I1128" s="7">
        <v>43667</v>
      </c>
      <c r="J1128" s="7">
        <v>43669</v>
      </c>
      <c r="K1128" s="1">
        <v>2</v>
      </c>
      <c r="L1128" s="1" t="s">
        <v>122</v>
      </c>
      <c r="M1128" s="1" t="s">
        <v>40</v>
      </c>
      <c r="N1128" s="1" t="s">
        <v>147</v>
      </c>
      <c r="O1128" s="1" t="s">
        <v>66</v>
      </c>
      <c r="P1128" s="29">
        <v>46448.25</v>
      </c>
      <c r="Q1128" s="1" t="s">
        <v>148</v>
      </c>
      <c r="R1128" s="1">
        <v>7</v>
      </c>
      <c r="S1128" s="1">
        <v>133</v>
      </c>
      <c r="T1128" s="1">
        <v>28.5</v>
      </c>
      <c r="U1128" s="1" t="s">
        <v>32</v>
      </c>
      <c r="V1128" s="17" t="s">
        <v>33</v>
      </c>
    </row>
    <row r="1129" spans="1:22" ht="15" customHeight="1" x14ac:dyDescent="0.25">
      <c r="A1129" s="16" t="s">
        <v>2164</v>
      </c>
      <c r="B1129" s="3" t="s">
        <v>2165</v>
      </c>
      <c r="C1129">
        <v>92</v>
      </c>
      <c r="D1129" s="3" t="s">
        <v>36</v>
      </c>
      <c r="E1129" s="3" t="s">
        <v>48</v>
      </c>
      <c r="F1129" s="3" t="s">
        <v>49</v>
      </c>
      <c r="G1129" s="3" t="s">
        <v>38</v>
      </c>
      <c r="H1129" s="3" t="s">
        <v>156</v>
      </c>
      <c r="I1129" s="8">
        <v>44424</v>
      </c>
      <c r="J1129" s="8">
        <v>44428</v>
      </c>
      <c r="K1129" s="3">
        <v>4</v>
      </c>
      <c r="L1129" s="3" t="s">
        <v>89</v>
      </c>
      <c r="M1129" s="3" t="s">
        <v>90</v>
      </c>
      <c r="N1129" s="3" t="s">
        <v>203</v>
      </c>
      <c r="O1129" s="3" t="s">
        <v>104</v>
      </c>
      <c r="P1129" s="30">
        <v>12180.14</v>
      </c>
      <c r="Q1129" s="3" t="s">
        <v>437</v>
      </c>
      <c r="R1129" s="3">
        <v>8</v>
      </c>
      <c r="S1129" s="3">
        <v>211</v>
      </c>
      <c r="T1129" s="3">
        <v>40.1</v>
      </c>
      <c r="U1129" s="3" t="s">
        <v>86</v>
      </c>
      <c r="V1129" s="18" t="s">
        <v>45</v>
      </c>
    </row>
    <row r="1130" spans="1:22" ht="15" customHeight="1" x14ac:dyDescent="0.25">
      <c r="A1130" s="15" t="s">
        <v>2166</v>
      </c>
      <c r="B1130" s="1" t="s">
        <v>1538</v>
      </c>
      <c r="C1130">
        <v>60</v>
      </c>
      <c r="D1130" s="1" t="s">
        <v>59</v>
      </c>
      <c r="E1130" s="1" t="s">
        <v>23</v>
      </c>
      <c r="F1130" s="1" t="s">
        <v>49</v>
      </c>
      <c r="G1130" s="1" t="s">
        <v>38</v>
      </c>
      <c r="H1130" s="1" t="s">
        <v>26</v>
      </c>
      <c r="I1130" s="7">
        <v>44000</v>
      </c>
      <c r="J1130" s="7">
        <v>44006</v>
      </c>
      <c r="K1130" s="1">
        <v>6</v>
      </c>
      <c r="L1130" s="1" t="s">
        <v>122</v>
      </c>
      <c r="M1130" s="1" t="s">
        <v>40</v>
      </c>
      <c r="N1130" s="1" t="s">
        <v>41</v>
      </c>
      <c r="O1130" s="1" t="s">
        <v>30</v>
      </c>
      <c r="P1130" s="29">
        <v>19077.310000000001</v>
      </c>
      <c r="Q1130" s="1" t="s">
        <v>437</v>
      </c>
      <c r="R1130" s="1">
        <v>8</v>
      </c>
      <c r="S1130" s="1">
        <v>348</v>
      </c>
      <c r="T1130" s="1">
        <v>31.5</v>
      </c>
      <c r="U1130" s="1" t="s">
        <v>44</v>
      </c>
      <c r="V1130" s="17" t="s">
        <v>33</v>
      </c>
    </row>
    <row r="1131" spans="1:22" ht="15" customHeight="1" x14ac:dyDescent="0.25">
      <c r="A1131" s="16" t="s">
        <v>2167</v>
      </c>
      <c r="B1131" s="3" t="s">
        <v>2168</v>
      </c>
      <c r="C1131">
        <v>63</v>
      </c>
      <c r="D1131" s="3" t="s">
        <v>59</v>
      </c>
      <c r="E1131" s="3" t="s">
        <v>23</v>
      </c>
      <c r="F1131" s="3" t="s">
        <v>24</v>
      </c>
      <c r="G1131" s="3" t="s">
        <v>77</v>
      </c>
      <c r="H1131" s="3" t="s">
        <v>26</v>
      </c>
      <c r="I1131" s="8">
        <v>44949</v>
      </c>
      <c r="J1131" s="8">
        <v>44956</v>
      </c>
      <c r="K1131" s="3">
        <v>7</v>
      </c>
      <c r="L1131" s="3" t="s">
        <v>27</v>
      </c>
      <c r="M1131" s="3" t="s">
        <v>28</v>
      </c>
      <c r="N1131" s="3" t="s">
        <v>79</v>
      </c>
      <c r="O1131" s="3" t="s">
        <v>42</v>
      </c>
      <c r="P1131" s="30">
        <v>99158.38</v>
      </c>
      <c r="Q1131" s="3" t="s">
        <v>181</v>
      </c>
      <c r="R1131" s="3">
        <v>10</v>
      </c>
      <c r="S1131" s="3">
        <v>361</v>
      </c>
      <c r="T1131" s="3">
        <v>28.2</v>
      </c>
      <c r="U1131" s="3" t="s">
        <v>44</v>
      </c>
      <c r="V1131" s="18" t="s">
        <v>33</v>
      </c>
    </row>
    <row r="1132" spans="1:22" ht="15" customHeight="1" x14ac:dyDescent="0.25">
      <c r="A1132" s="15" t="s">
        <v>2169</v>
      </c>
      <c r="B1132" s="1" t="s">
        <v>2170</v>
      </c>
      <c r="C1132">
        <v>43</v>
      </c>
      <c r="D1132" s="1" t="s">
        <v>98</v>
      </c>
      <c r="E1132" s="1" t="s">
        <v>23</v>
      </c>
      <c r="F1132" s="1" t="s">
        <v>24</v>
      </c>
      <c r="G1132" s="1" t="s">
        <v>77</v>
      </c>
      <c r="H1132" s="1" t="s">
        <v>26</v>
      </c>
      <c r="I1132" s="6">
        <v>45592</v>
      </c>
      <c r="J1132" s="7">
        <v>45601</v>
      </c>
      <c r="K1132" s="1">
        <v>9</v>
      </c>
      <c r="L1132" s="1" t="s">
        <v>185</v>
      </c>
      <c r="M1132" s="1" t="s">
        <v>186</v>
      </c>
      <c r="N1132" s="1" t="s">
        <v>79</v>
      </c>
      <c r="O1132" s="1" t="s">
        <v>55</v>
      </c>
      <c r="P1132" s="29">
        <v>35541.65</v>
      </c>
      <c r="Q1132" s="1" t="s">
        <v>95</v>
      </c>
      <c r="R1132" s="1">
        <v>9</v>
      </c>
      <c r="S1132" s="1">
        <v>341</v>
      </c>
      <c r="T1132" s="1">
        <v>38.5</v>
      </c>
      <c r="U1132" s="1" t="s">
        <v>32</v>
      </c>
      <c r="V1132" s="17" t="s">
        <v>45</v>
      </c>
    </row>
    <row r="1133" spans="1:22" ht="15" customHeight="1" x14ac:dyDescent="0.25">
      <c r="A1133" s="16" t="s">
        <v>2171</v>
      </c>
      <c r="B1133" s="3" t="s">
        <v>2172</v>
      </c>
      <c r="C1133">
        <v>69</v>
      </c>
      <c r="D1133" s="3" t="s">
        <v>82</v>
      </c>
      <c r="E1133" s="3" t="s">
        <v>23</v>
      </c>
      <c r="F1133" s="3" t="s">
        <v>37</v>
      </c>
      <c r="G1133" s="3" t="s">
        <v>1161</v>
      </c>
      <c r="H1133" s="3" t="s">
        <v>51</v>
      </c>
      <c r="I1133" s="8">
        <v>44477</v>
      </c>
      <c r="J1133" s="8">
        <v>44503</v>
      </c>
      <c r="K1133" s="3">
        <v>26</v>
      </c>
      <c r="L1133" s="3" t="s">
        <v>132</v>
      </c>
      <c r="M1133" s="3" t="s">
        <v>53</v>
      </c>
      <c r="N1133" s="3" t="s">
        <v>248</v>
      </c>
      <c r="O1133" s="3" t="s">
        <v>30</v>
      </c>
      <c r="P1133" s="30">
        <v>23122.22</v>
      </c>
      <c r="Q1133" s="3" t="s">
        <v>269</v>
      </c>
      <c r="R1133" s="3">
        <v>8</v>
      </c>
      <c r="S1133" s="3">
        <v>190</v>
      </c>
      <c r="T1133" s="3">
        <v>24.4</v>
      </c>
      <c r="U1133" s="3" t="s">
        <v>44</v>
      </c>
      <c r="V1133" s="18" t="s">
        <v>45</v>
      </c>
    </row>
    <row r="1134" spans="1:22" ht="15" customHeight="1" x14ac:dyDescent="0.25">
      <c r="A1134" s="15" t="s">
        <v>2173</v>
      </c>
      <c r="B1134" s="1" t="s">
        <v>2174</v>
      </c>
      <c r="C1134">
        <v>60</v>
      </c>
      <c r="D1134" s="1" t="s">
        <v>59</v>
      </c>
      <c r="E1134" s="1" t="s">
        <v>48</v>
      </c>
      <c r="F1134" s="1" t="s">
        <v>24</v>
      </c>
      <c r="G1134" s="1" t="s">
        <v>38</v>
      </c>
      <c r="H1134" s="1" t="s">
        <v>156</v>
      </c>
      <c r="I1134" s="7">
        <v>45370</v>
      </c>
      <c r="J1134" s="7">
        <v>45376</v>
      </c>
      <c r="K1134" s="1">
        <v>6</v>
      </c>
      <c r="L1134" s="1" t="s">
        <v>112</v>
      </c>
      <c r="M1134" s="1" t="s">
        <v>40</v>
      </c>
      <c r="N1134" s="1" t="s">
        <v>203</v>
      </c>
      <c r="O1134" s="1" t="s">
        <v>42</v>
      </c>
      <c r="P1134" s="29">
        <v>25093.73</v>
      </c>
      <c r="Q1134" s="1" t="s">
        <v>437</v>
      </c>
      <c r="R1134" s="1">
        <v>8</v>
      </c>
      <c r="S1134" s="1">
        <v>486</v>
      </c>
      <c r="T1134" s="1">
        <v>22.4</v>
      </c>
      <c r="U1134" s="1" t="s">
        <v>86</v>
      </c>
      <c r="V1134" s="17" t="s">
        <v>33</v>
      </c>
    </row>
    <row r="1135" spans="1:22" ht="15" customHeight="1" x14ac:dyDescent="0.25">
      <c r="A1135" s="16" t="s">
        <v>2175</v>
      </c>
      <c r="B1135" s="3" t="s">
        <v>556</v>
      </c>
      <c r="C1135">
        <v>22</v>
      </c>
      <c r="D1135" s="3" t="s">
        <v>47</v>
      </c>
      <c r="E1135" s="3" t="s">
        <v>48</v>
      </c>
      <c r="F1135" s="3" t="s">
        <v>76</v>
      </c>
      <c r="G1135" s="3" t="s">
        <v>131</v>
      </c>
      <c r="H1135" s="3" t="s">
        <v>51</v>
      </c>
      <c r="I1135" s="6">
        <v>44070</v>
      </c>
      <c r="J1135" s="8">
        <v>44073</v>
      </c>
      <c r="K1135" s="3">
        <v>3</v>
      </c>
      <c r="L1135" s="3" t="s">
        <v>122</v>
      </c>
      <c r="M1135" s="3" t="s">
        <v>40</v>
      </c>
      <c r="N1135" s="3" t="s">
        <v>157</v>
      </c>
      <c r="O1135" s="3" t="s">
        <v>42</v>
      </c>
      <c r="P1135" s="30">
        <v>10375</v>
      </c>
      <c r="Q1135" s="3" t="s">
        <v>291</v>
      </c>
      <c r="R1135" s="3">
        <v>5</v>
      </c>
      <c r="S1135" s="3">
        <v>170</v>
      </c>
      <c r="T1135" s="4"/>
      <c r="U1135" s="3" t="s">
        <v>44</v>
      </c>
      <c r="V1135" s="18" t="s">
        <v>33</v>
      </c>
    </row>
    <row r="1136" spans="1:22" ht="15" customHeight="1" x14ac:dyDescent="0.25">
      <c r="A1136" s="15" t="s">
        <v>2176</v>
      </c>
      <c r="B1136" s="2" t="s">
        <v>3652</v>
      </c>
      <c r="C1136">
        <v>45</v>
      </c>
      <c r="D1136" s="1" t="s">
        <v>98</v>
      </c>
      <c r="E1136" s="1" t="s">
        <v>48</v>
      </c>
      <c r="F1136" s="1" t="s">
        <v>155</v>
      </c>
      <c r="G1136" s="1" t="s">
        <v>38</v>
      </c>
      <c r="H1136" s="1" t="s">
        <v>51</v>
      </c>
      <c r="I1136" s="7">
        <v>44757</v>
      </c>
      <c r="J1136" s="7">
        <v>44762</v>
      </c>
      <c r="K1136" s="1">
        <v>5</v>
      </c>
      <c r="L1136" s="1" t="s">
        <v>27</v>
      </c>
      <c r="M1136" s="1" t="s">
        <v>28</v>
      </c>
      <c r="N1136" s="1" t="s">
        <v>203</v>
      </c>
      <c r="O1136" s="1" t="s">
        <v>42</v>
      </c>
      <c r="P1136" s="29">
        <v>11041.85</v>
      </c>
      <c r="Q1136" s="1" t="s">
        <v>236</v>
      </c>
      <c r="R1136" s="1">
        <v>6</v>
      </c>
      <c r="S1136" s="1">
        <v>105</v>
      </c>
      <c r="T1136" s="1">
        <v>38.700000000000003</v>
      </c>
      <c r="U1136" s="1" t="s">
        <v>86</v>
      </c>
      <c r="V1136" s="17" t="s">
        <v>33</v>
      </c>
    </row>
    <row r="1137" spans="1:22" ht="15" customHeight="1" x14ac:dyDescent="0.25">
      <c r="A1137" s="16" t="s">
        <v>2177</v>
      </c>
      <c r="B1137" s="3" t="s">
        <v>2178</v>
      </c>
      <c r="C1137">
        <v>60</v>
      </c>
      <c r="D1137" s="3" t="s">
        <v>59</v>
      </c>
      <c r="E1137" s="3" t="s">
        <v>23</v>
      </c>
      <c r="F1137" s="2" t="s">
        <v>99</v>
      </c>
      <c r="G1137" s="3" t="s">
        <v>50</v>
      </c>
      <c r="H1137" s="3" t="s">
        <v>78</v>
      </c>
      <c r="I1137" s="6">
        <v>45333</v>
      </c>
      <c r="J1137" s="8">
        <v>45607</v>
      </c>
      <c r="K1137" s="3">
        <v>9</v>
      </c>
      <c r="L1137" s="3" t="s">
        <v>122</v>
      </c>
      <c r="M1137" s="3" t="s">
        <v>40</v>
      </c>
      <c r="N1137" s="3" t="s">
        <v>126</v>
      </c>
      <c r="O1137" s="3" t="s">
        <v>55</v>
      </c>
      <c r="P1137" s="30">
        <v>114394</v>
      </c>
      <c r="Q1137" s="3" t="s">
        <v>85</v>
      </c>
      <c r="R1137" s="3">
        <v>9</v>
      </c>
      <c r="S1137" s="3">
        <v>198</v>
      </c>
      <c r="T1137" s="3">
        <v>25.2</v>
      </c>
      <c r="U1137" s="3" t="s">
        <v>44</v>
      </c>
      <c r="V1137" s="18" t="s">
        <v>33</v>
      </c>
    </row>
    <row r="1138" spans="1:22" ht="15" customHeight="1" x14ac:dyDescent="0.25">
      <c r="A1138" s="15" t="s">
        <v>2179</v>
      </c>
      <c r="B1138" s="1" t="s">
        <v>2180</v>
      </c>
      <c r="C1138">
        <v>26</v>
      </c>
      <c r="D1138" s="1" t="s">
        <v>47</v>
      </c>
      <c r="E1138" s="1" t="s">
        <v>48</v>
      </c>
      <c r="F1138" s="1" t="s">
        <v>99</v>
      </c>
      <c r="G1138" s="1" t="s">
        <v>38</v>
      </c>
      <c r="H1138" s="1" t="s">
        <v>156</v>
      </c>
      <c r="I1138" s="7">
        <v>44936</v>
      </c>
      <c r="J1138" s="7">
        <v>45056</v>
      </c>
      <c r="K1138" s="1">
        <v>4</v>
      </c>
      <c r="L1138" s="1" t="s">
        <v>102</v>
      </c>
      <c r="M1138" s="1" t="s">
        <v>28</v>
      </c>
      <c r="N1138" s="1" t="s">
        <v>203</v>
      </c>
      <c r="O1138" s="1" t="s">
        <v>42</v>
      </c>
      <c r="P1138" s="29">
        <v>19262.669999999998</v>
      </c>
      <c r="Q1138" s="1" t="s">
        <v>174</v>
      </c>
      <c r="R1138" s="1">
        <v>8</v>
      </c>
      <c r="S1138" s="1">
        <v>263</v>
      </c>
      <c r="T1138" s="1">
        <v>32</v>
      </c>
      <c r="U1138" s="1" t="s">
        <v>32</v>
      </c>
      <c r="V1138" s="17" t="s">
        <v>33</v>
      </c>
    </row>
    <row r="1139" spans="1:22" ht="15" customHeight="1" x14ac:dyDescent="0.25">
      <c r="A1139" s="16" t="s">
        <v>2181</v>
      </c>
      <c r="B1139" s="2" t="s">
        <v>3653</v>
      </c>
      <c r="C1139">
        <v>79</v>
      </c>
      <c r="D1139" s="3" t="s">
        <v>36</v>
      </c>
      <c r="E1139" s="3" t="s">
        <v>23</v>
      </c>
      <c r="F1139" s="3" t="s">
        <v>155</v>
      </c>
      <c r="G1139" s="3" t="s">
        <v>38</v>
      </c>
      <c r="H1139" s="3" t="s">
        <v>51</v>
      </c>
      <c r="I1139" s="8">
        <v>45522</v>
      </c>
      <c r="J1139" s="8">
        <v>45527</v>
      </c>
      <c r="K1139" s="3">
        <v>5</v>
      </c>
      <c r="L1139" s="3" t="s">
        <v>39</v>
      </c>
      <c r="M1139" s="3" t="s">
        <v>40</v>
      </c>
      <c r="N1139" s="3" t="s">
        <v>203</v>
      </c>
      <c r="O1139" s="3" t="s">
        <v>42</v>
      </c>
      <c r="P1139" s="30">
        <v>18483.060000000001</v>
      </c>
      <c r="Q1139" s="3" t="s">
        <v>305</v>
      </c>
      <c r="R1139" s="3">
        <v>8</v>
      </c>
      <c r="S1139" s="3">
        <v>136</v>
      </c>
      <c r="T1139" s="3">
        <v>38.1</v>
      </c>
      <c r="U1139" s="3" t="s">
        <v>32</v>
      </c>
      <c r="V1139" s="18" t="s">
        <v>33</v>
      </c>
    </row>
    <row r="1140" spans="1:22" ht="15" customHeight="1" x14ac:dyDescent="0.25">
      <c r="A1140" s="15" t="s">
        <v>2182</v>
      </c>
      <c r="B1140" s="1" t="s">
        <v>2183</v>
      </c>
      <c r="C1140">
        <v>69</v>
      </c>
      <c r="D1140" s="1" t="s">
        <v>82</v>
      </c>
      <c r="E1140" s="1" t="s">
        <v>48</v>
      </c>
      <c r="F1140" s="2" t="s">
        <v>3714</v>
      </c>
      <c r="G1140" s="1" t="s">
        <v>131</v>
      </c>
      <c r="H1140" s="1" t="s">
        <v>51</v>
      </c>
      <c r="I1140" s="6">
        <v>45637</v>
      </c>
      <c r="J1140" s="7">
        <v>45610</v>
      </c>
      <c r="K1140" s="1">
        <v>2</v>
      </c>
      <c r="L1140" s="1" t="s">
        <v>27</v>
      </c>
      <c r="M1140" s="1" t="s">
        <v>28</v>
      </c>
      <c r="N1140" s="1" t="s">
        <v>157</v>
      </c>
      <c r="O1140" s="1" t="s">
        <v>42</v>
      </c>
      <c r="P1140" s="29">
        <v>21196.22</v>
      </c>
      <c r="Q1140" s="1" t="s">
        <v>134</v>
      </c>
      <c r="R1140" s="1">
        <v>7</v>
      </c>
      <c r="S1140" s="1">
        <v>179</v>
      </c>
      <c r="T1140" s="1">
        <v>34.299999999999997</v>
      </c>
      <c r="U1140" s="1" t="s">
        <v>44</v>
      </c>
      <c r="V1140" s="17" t="s">
        <v>33</v>
      </c>
    </row>
    <row r="1141" spans="1:22" ht="15" customHeight="1" x14ac:dyDescent="0.25">
      <c r="A1141" s="16" t="s">
        <v>2184</v>
      </c>
      <c r="B1141" s="3" t="s">
        <v>651</v>
      </c>
      <c r="C1141">
        <v>58</v>
      </c>
      <c r="D1141" s="3" t="s">
        <v>59</v>
      </c>
      <c r="E1141" s="3" t="s">
        <v>23</v>
      </c>
      <c r="F1141" s="3" t="s">
        <v>24</v>
      </c>
      <c r="G1141" s="3" t="s">
        <v>25</v>
      </c>
      <c r="H1141" s="3" t="s">
        <v>51</v>
      </c>
      <c r="I1141" s="8">
        <v>45078</v>
      </c>
      <c r="J1141" s="8">
        <v>45083</v>
      </c>
      <c r="K1141" s="3">
        <v>5</v>
      </c>
      <c r="L1141" s="3" t="s">
        <v>27</v>
      </c>
      <c r="M1141" s="3" t="s">
        <v>28</v>
      </c>
      <c r="N1141" s="3" t="s">
        <v>29</v>
      </c>
      <c r="O1141" s="3" t="s">
        <v>66</v>
      </c>
      <c r="P1141" s="30">
        <v>54412.49</v>
      </c>
      <c r="Q1141" s="3" t="s">
        <v>515</v>
      </c>
      <c r="R1141" s="3">
        <v>12</v>
      </c>
      <c r="S1141" s="3">
        <v>185</v>
      </c>
      <c r="T1141" s="3">
        <v>14</v>
      </c>
      <c r="U1141" s="3" t="s">
        <v>44</v>
      </c>
      <c r="V1141" s="18" t="s">
        <v>33</v>
      </c>
    </row>
    <row r="1142" spans="1:22" ht="15" customHeight="1" x14ac:dyDescent="0.25">
      <c r="A1142" s="15" t="s">
        <v>2185</v>
      </c>
      <c r="B1142" s="1" t="s">
        <v>2186</v>
      </c>
      <c r="C1142">
        <v>71</v>
      </c>
      <c r="D1142" s="1" t="s">
        <v>82</v>
      </c>
      <c r="E1142" s="1" t="s">
        <v>23</v>
      </c>
      <c r="F1142" s="1" t="s">
        <v>76</v>
      </c>
      <c r="G1142" s="1" t="s">
        <v>50</v>
      </c>
      <c r="H1142" s="1" t="s">
        <v>26</v>
      </c>
      <c r="I1142" s="7">
        <v>43540</v>
      </c>
      <c r="J1142" s="7">
        <v>43554</v>
      </c>
      <c r="K1142" s="1">
        <v>14</v>
      </c>
      <c r="L1142" s="1" t="s">
        <v>122</v>
      </c>
      <c r="M1142" s="1" t="s">
        <v>40</v>
      </c>
      <c r="N1142" s="1" t="s">
        <v>116</v>
      </c>
      <c r="O1142" s="1" t="s">
        <v>42</v>
      </c>
      <c r="P1142" s="29">
        <v>149608</v>
      </c>
      <c r="Q1142" s="1" t="s">
        <v>279</v>
      </c>
      <c r="R1142" s="1">
        <v>6</v>
      </c>
      <c r="S1142" s="1">
        <v>301</v>
      </c>
      <c r="T1142" s="1">
        <v>25.5</v>
      </c>
      <c r="U1142" s="1" t="s">
        <v>32</v>
      </c>
      <c r="V1142" s="17" t="s">
        <v>33</v>
      </c>
    </row>
    <row r="1143" spans="1:22" ht="15" customHeight="1" x14ac:dyDescent="0.25">
      <c r="A1143" s="16" t="s">
        <v>2187</v>
      </c>
      <c r="B1143" s="3" t="s">
        <v>2188</v>
      </c>
      <c r="C1143">
        <v>63</v>
      </c>
      <c r="D1143" s="3" t="s">
        <v>59</v>
      </c>
      <c r="E1143" s="3" t="s">
        <v>48</v>
      </c>
      <c r="F1143" s="3" t="s">
        <v>76</v>
      </c>
      <c r="G1143" s="3" t="s">
        <v>131</v>
      </c>
      <c r="H1143" s="3" t="s">
        <v>26</v>
      </c>
      <c r="I1143" s="8">
        <v>45203</v>
      </c>
      <c r="J1143" s="8">
        <v>45179</v>
      </c>
      <c r="K1143" s="3">
        <v>5</v>
      </c>
      <c r="L1143" s="3" t="s">
        <v>231</v>
      </c>
      <c r="M1143" s="3" t="s">
        <v>53</v>
      </c>
      <c r="N1143" s="3" t="s">
        <v>157</v>
      </c>
      <c r="O1143" s="3" t="s">
        <v>55</v>
      </c>
      <c r="P1143" s="30">
        <v>27237.33</v>
      </c>
      <c r="Q1143" s="3" t="s">
        <v>266</v>
      </c>
      <c r="R1143" s="3">
        <v>6</v>
      </c>
      <c r="S1143" s="3">
        <v>357</v>
      </c>
      <c r="T1143" s="3">
        <v>31.3</v>
      </c>
      <c r="U1143" s="3" t="s">
        <v>86</v>
      </c>
      <c r="V1143" s="18" t="s">
        <v>33</v>
      </c>
    </row>
    <row r="1144" spans="1:22" ht="15" customHeight="1" x14ac:dyDescent="0.25">
      <c r="A1144" s="15" t="s">
        <v>2189</v>
      </c>
      <c r="B1144" s="1" t="s">
        <v>1271</v>
      </c>
      <c r="C1144">
        <v>86</v>
      </c>
      <c r="D1144" s="1" t="s">
        <v>36</v>
      </c>
      <c r="E1144" s="1" t="s">
        <v>48</v>
      </c>
      <c r="F1144" s="1" t="s">
        <v>155</v>
      </c>
      <c r="G1144" s="1" t="s">
        <v>163</v>
      </c>
      <c r="H1144" s="1" t="s">
        <v>51</v>
      </c>
      <c r="I1144" s="7">
        <v>45314</v>
      </c>
      <c r="J1144" s="7">
        <v>45317</v>
      </c>
      <c r="K1144" s="1">
        <v>3</v>
      </c>
      <c r="L1144" s="1" t="s">
        <v>122</v>
      </c>
      <c r="M1144" s="1" t="s">
        <v>40</v>
      </c>
      <c r="N1144" s="1" t="s">
        <v>213</v>
      </c>
      <c r="O1144" s="1" t="s">
        <v>42</v>
      </c>
      <c r="P1144" s="29">
        <v>26288.52</v>
      </c>
      <c r="Q1144" s="1" t="s">
        <v>382</v>
      </c>
      <c r="R1144" s="1">
        <v>6</v>
      </c>
      <c r="S1144" s="1">
        <v>198</v>
      </c>
      <c r="T1144" s="1">
        <v>26.7</v>
      </c>
      <c r="U1144" s="1" t="s">
        <v>44</v>
      </c>
      <c r="V1144" s="17" t="s">
        <v>33</v>
      </c>
    </row>
    <row r="1145" spans="1:22" ht="15" customHeight="1" x14ac:dyDescent="0.25">
      <c r="A1145" s="16" t="s">
        <v>2190</v>
      </c>
      <c r="B1145" s="3" t="s">
        <v>2191</v>
      </c>
      <c r="C1145">
        <v>73</v>
      </c>
      <c r="D1145" s="3" t="s">
        <v>82</v>
      </c>
      <c r="E1145" s="3" t="s">
        <v>48</v>
      </c>
      <c r="F1145" s="3" t="s">
        <v>83</v>
      </c>
      <c r="G1145" s="3" t="s">
        <v>60</v>
      </c>
      <c r="H1145" s="3" t="s">
        <v>156</v>
      </c>
      <c r="I1145" s="8">
        <v>44518</v>
      </c>
      <c r="J1145" s="8">
        <v>44525</v>
      </c>
      <c r="K1145" s="3">
        <v>7</v>
      </c>
      <c r="L1145" s="3" t="s">
        <v>102</v>
      </c>
      <c r="M1145" s="3" t="s">
        <v>28</v>
      </c>
      <c r="N1145" s="3" t="s">
        <v>210</v>
      </c>
      <c r="O1145" s="3" t="s">
        <v>42</v>
      </c>
      <c r="P1145" s="30">
        <v>44880.42</v>
      </c>
      <c r="Q1145" s="3" t="s">
        <v>105</v>
      </c>
      <c r="R1145" s="3">
        <v>6</v>
      </c>
      <c r="S1145" s="3">
        <v>476</v>
      </c>
      <c r="T1145" s="3">
        <v>23.4</v>
      </c>
      <c r="U1145" s="3" t="s">
        <v>44</v>
      </c>
      <c r="V1145" s="18" t="s">
        <v>33</v>
      </c>
    </row>
    <row r="1146" spans="1:22" ht="15" customHeight="1" x14ac:dyDescent="0.25">
      <c r="A1146" s="15" t="s">
        <v>2192</v>
      </c>
      <c r="B1146" s="1" t="s">
        <v>2193</v>
      </c>
      <c r="C1146">
        <v>17</v>
      </c>
      <c r="D1146" s="1" t="s">
        <v>22</v>
      </c>
      <c r="E1146" s="1" t="s">
        <v>23</v>
      </c>
      <c r="F1146" s="1" t="s">
        <v>24</v>
      </c>
      <c r="G1146" s="1" t="s">
        <v>163</v>
      </c>
      <c r="H1146" s="1" t="s">
        <v>51</v>
      </c>
      <c r="I1146" s="7">
        <v>44245</v>
      </c>
      <c r="J1146" s="7">
        <v>44249</v>
      </c>
      <c r="K1146" s="1">
        <v>4</v>
      </c>
      <c r="L1146" s="1" t="s">
        <v>89</v>
      </c>
      <c r="M1146" s="1" t="s">
        <v>90</v>
      </c>
      <c r="N1146" s="1" t="s">
        <v>164</v>
      </c>
      <c r="O1146" s="1" t="s">
        <v>30</v>
      </c>
      <c r="P1146" s="29">
        <v>12541</v>
      </c>
      <c r="Q1146" s="1" t="s">
        <v>165</v>
      </c>
      <c r="R1146" s="1">
        <v>6</v>
      </c>
      <c r="S1146" s="1">
        <v>180</v>
      </c>
      <c r="T1146" s="1">
        <v>25.7</v>
      </c>
      <c r="U1146" s="1" t="s">
        <v>32</v>
      </c>
      <c r="V1146" s="17" t="s">
        <v>33</v>
      </c>
    </row>
    <row r="1147" spans="1:22" ht="15" customHeight="1" x14ac:dyDescent="0.25">
      <c r="A1147" s="16" t="s">
        <v>2194</v>
      </c>
      <c r="B1147" s="3" t="s">
        <v>2195</v>
      </c>
      <c r="C1147">
        <v>63</v>
      </c>
      <c r="D1147" s="3" t="s">
        <v>59</v>
      </c>
      <c r="E1147" s="3" t="s">
        <v>23</v>
      </c>
      <c r="F1147" s="3" t="s">
        <v>83</v>
      </c>
      <c r="G1147" s="3" t="s">
        <v>77</v>
      </c>
      <c r="H1147" s="3" t="s">
        <v>26</v>
      </c>
      <c r="I1147" s="8">
        <v>44144</v>
      </c>
      <c r="J1147" s="8">
        <v>44091</v>
      </c>
      <c r="K1147" s="3">
        <v>6</v>
      </c>
      <c r="L1147" s="3" t="s">
        <v>27</v>
      </c>
      <c r="M1147" s="3" t="s">
        <v>28</v>
      </c>
      <c r="N1147" s="3" t="s">
        <v>79</v>
      </c>
      <c r="O1147" s="3" t="s">
        <v>66</v>
      </c>
      <c r="P1147" s="30">
        <v>155433.53</v>
      </c>
      <c r="Q1147" s="3" t="s">
        <v>592</v>
      </c>
      <c r="R1147" s="3">
        <v>9</v>
      </c>
      <c r="S1147" s="3">
        <v>357</v>
      </c>
      <c r="T1147" s="3">
        <v>30.3</v>
      </c>
      <c r="U1147" s="3" t="s">
        <v>44</v>
      </c>
      <c r="V1147" s="18" t="s">
        <v>33</v>
      </c>
    </row>
    <row r="1148" spans="1:22" ht="15" customHeight="1" x14ac:dyDescent="0.25">
      <c r="A1148" s="15" t="s">
        <v>2196</v>
      </c>
      <c r="B1148" s="1" t="s">
        <v>2197</v>
      </c>
      <c r="C1148">
        <v>63</v>
      </c>
      <c r="D1148" s="1" t="s">
        <v>59</v>
      </c>
      <c r="E1148" s="1" t="s">
        <v>48</v>
      </c>
      <c r="F1148" s="1" t="s">
        <v>70</v>
      </c>
      <c r="G1148" s="1" t="s">
        <v>2140</v>
      </c>
      <c r="H1148" s="1" t="s">
        <v>51</v>
      </c>
      <c r="I1148" s="6">
        <v>45341</v>
      </c>
      <c r="J1148" s="7">
        <v>45344</v>
      </c>
      <c r="K1148" s="1">
        <v>3</v>
      </c>
      <c r="L1148" s="1" t="s">
        <v>89</v>
      </c>
      <c r="M1148" s="1" t="s">
        <v>90</v>
      </c>
      <c r="N1148" s="1" t="s">
        <v>312</v>
      </c>
      <c r="O1148" s="1" t="s">
        <v>42</v>
      </c>
      <c r="P1148" s="29">
        <v>18615.21</v>
      </c>
      <c r="Q1148" s="1" t="s">
        <v>178</v>
      </c>
      <c r="R1148" s="1">
        <v>5</v>
      </c>
      <c r="S1148" s="1">
        <v>190</v>
      </c>
      <c r="T1148" s="1">
        <v>31.4</v>
      </c>
      <c r="U1148" s="1" t="s">
        <v>32</v>
      </c>
      <c r="V1148" s="17" t="s">
        <v>33</v>
      </c>
    </row>
    <row r="1149" spans="1:22" ht="15" customHeight="1" x14ac:dyDescent="0.25">
      <c r="A1149" s="16" t="s">
        <v>2198</v>
      </c>
      <c r="B1149" s="3" t="s">
        <v>2180</v>
      </c>
      <c r="C1149">
        <v>48</v>
      </c>
      <c r="D1149" s="3" t="s">
        <v>98</v>
      </c>
      <c r="E1149" s="3" t="s">
        <v>48</v>
      </c>
      <c r="F1149" s="3" t="s">
        <v>49</v>
      </c>
      <c r="G1149" s="3" t="s">
        <v>256</v>
      </c>
      <c r="H1149" s="3" t="s">
        <v>78</v>
      </c>
      <c r="I1149" s="8">
        <v>44311</v>
      </c>
      <c r="J1149" s="8">
        <v>44260</v>
      </c>
      <c r="K1149" s="3">
        <v>8</v>
      </c>
      <c r="L1149" s="3" t="s">
        <v>122</v>
      </c>
      <c r="M1149" s="3" t="s">
        <v>40</v>
      </c>
      <c r="N1149" s="3" t="s">
        <v>164</v>
      </c>
      <c r="O1149" s="3" t="s">
        <v>30</v>
      </c>
      <c r="P1149" s="30">
        <v>18828.580000000002</v>
      </c>
      <c r="Q1149" s="3" t="s">
        <v>257</v>
      </c>
      <c r="R1149" s="3">
        <v>3</v>
      </c>
      <c r="S1149" s="3">
        <v>303</v>
      </c>
      <c r="T1149" s="3">
        <v>25.3</v>
      </c>
      <c r="U1149" s="3" t="s">
        <v>44</v>
      </c>
      <c r="V1149" s="18" t="s">
        <v>33</v>
      </c>
    </row>
    <row r="1150" spans="1:22" ht="15" customHeight="1" x14ac:dyDescent="0.25">
      <c r="A1150" s="15" t="s">
        <v>2199</v>
      </c>
      <c r="B1150" s="1" t="s">
        <v>2200</v>
      </c>
      <c r="C1150">
        <v>36</v>
      </c>
      <c r="D1150" s="1" t="s">
        <v>98</v>
      </c>
      <c r="E1150" s="1" t="s">
        <v>48</v>
      </c>
      <c r="F1150" s="1" t="s">
        <v>70</v>
      </c>
      <c r="G1150" s="1" t="s">
        <v>131</v>
      </c>
      <c r="H1150" s="1" t="s">
        <v>26</v>
      </c>
      <c r="I1150" s="7">
        <v>45604</v>
      </c>
      <c r="J1150" s="7">
        <v>45611</v>
      </c>
      <c r="K1150" s="1">
        <v>7</v>
      </c>
      <c r="L1150" s="1" t="s">
        <v>52</v>
      </c>
      <c r="M1150" s="1" t="s">
        <v>53</v>
      </c>
      <c r="N1150" s="1" t="s">
        <v>147</v>
      </c>
      <c r="O1150" s="1" t="s">
        <v>42</v>
      </c>
      <c r="P1150" s="29">
        <v>21175.72</v>
      </c>
      <c r="Q1150" s="1" t="s">
        <v>148</v>
      </c>
      <c r="R1150" s="1">
        <v>7</v>
      </c>
      <c r="S1150" s="1">
        <v>350</v>
      </c>
      <c r="T1150" s="1">
        <v>34.200000000000003</v>
      </c>
      <c r="U1150" s="1" t="s">
        <v>32</v>
      </c>
      <c r="V1150" s="17" t="s">
        <v>33</v>
      </c>
    </row>
    <row r="1151" spans="1:22" ht="15" customHeight="1" x14ac:dyDescent="0.25">
      <c r="A1151" s="16" t="s">
        <v>2201</v>
      </c>
      <c r="B1151" s="3" t="s">
        <v>2202</v>
      </c>
      <c r="C1151">
        <v>69</v>
      </c>
      <c r="D1151" s="3" t="s">
        <v>82</v>
      </c>
      <c r="E1151" s="3" t="s">
        <v>48</v>
      </c>
      <c r="F1151" s="3" t="s">
        <v>155</v>
      </c>
      <c r="G1151" s="3" t="s">
        <v>25</v>
      </c>
      <c r="H1151" s="3" t="s">
        <v>51</v>
      </c>
      <c r="I1151" s="6">
        <v>44065</v>
      </c>
      <c r="J1151" s="8">
        <v>44080</v>
      </c>
      <c r="K1151" s="3">
        <v>15</v>
      </c>
      <c r="L1151" s="3" t="s">
        <v>112</v>
      </c>
      <c r="M1151" s="3" t="s">
        <v>40</v>
      </c>
      <c r="N1151" s="3" t="s">
        <v>248</v>
      </c>
      <c r="O1151" s="3" t="s">
        <v>30</v>
      </c>
      <c r="P1151" s="30">
        <v>50998.03</v>
      </c>
      <c r="Q1151" s="3" t="s">
        <v>484</v>
      </c>
      <c r="R1151" s="3">
        <v>12</v>
      </c>
      <c r="S1151" s="3">
        <v>178</v>
      </c>
      <c r="T1151" s="3">
        <v>23.3</v>
      </c>
      <c r="U1151" s="3" t="s">
        <v>86</v>
      </c>
      <c r="V1151" s="18" t="s">
        <v>33</v>
      </c>
    </row>
    <row r="1152" spans="1:22" ht="15" customHeight="1" x14ac:dyDescent="0.25">
      <c r="A1152" s="15" t="s">
        <v>2203</v>
      </c>
      <c r="B1152" s="1" t="s">
        <v>404</v>
      </c>
      <c r="C1152">
        <v>67</v>
      </c>
      <c r="D1152" s="1" t="s">
        <v>82</v>
      </c>
      <c r="E1152" s="1" t="s">
        <v>48</v>
      </c>
      <c r="F1152" s="2" t="s">
        <v>155</v>
      </c>
      <c r="G1152" s="1" t="s">
        <v>25</v>
      </c>
      <c r="H1152" s="1" t="s">
        <v>51</v>
      </c>
      <c r="I1152" s="6">
        <v>43846</v>
      </c>
      <c r="J1152" s="7">
        <v>43865</v>
      </c>
      <c r="K1152" s="1">
        <v>19</v>
      </c>
      <c r="L1152" s="1" t="s">
        <v>39</v>
      </c>
      <c r="M1152" s="1" t="s">
        <v>40</v>
      </c>
      <c r="N1152" s="1" t="s">
        <v>29</v>
      </c>
      <c r="O1152" s="1" t="s">
        <v>30</v>
      </c>
      <c r="P1152" s="29">
        <v>53280.77</v>
      </c>
      <c r="Q1152" s="1" t="s">
        <v>484</v>
      </c>
      <c r="R1152" s="1">
        <v>8</v>
      </c>
      <c r="S1152" s="1">
        <v>194</v>
      </c>
      <c r="T1152" s="1">
        <v>22.7</v>
      </c>
      <c r="U1152" s="1" t="s">
        <v>44</v>
      </c>
      <c r="V1152" s="17" t="s">
        <v>33</v>
      </c>
    </row>
    <row r="1153" spans="1:22" ht="15" customHeight="1" x14ac:dyDescent="0.25">
      <c r="A1153" s="16" t="s">
        <v>2204</v>
      </c>
      <c r="B1153" s="3" t="s">
        <v>2205</v>
      </c>
      <c r="C1153">
        <v>69</v>
      </c>
      <c r="D1153" s="3" t="s">
        <v>82</v>
      </c>
      <c r="E1153" s="3" t="s">
        <v>23</v>
      </c>
      <c r="F1153" s="3" t="s">
        <v>99</v>
      </c>
      <c r="G1153" s="3" t="s">
        <v>38</v>
      </c>
      <c r="H1153" s="3" t="s">
        <v>78</v>
      </c>
      <c r="I1153" s="6">
        <v>43933</v>
      </c>
      <c r="J1153" s="8">
        <v>44024</v>
      </c>
      <c r="K1153" s="3">
        <v>3</v>
      </c>
      <c r="L1153" s="3" t="s">
        <v>132</v>
      </c>
      <c r="M1153" s="3" t="s">
        <v>53</v>
      </c>
      <c r="N1153" s="3" t="s">
        <v>173</v>
      </c>
      <c r="O1153" s="3" t="s">
        <v>42</v>
      </c>
      <c r="P1153" s="30">
        <v>14239.53</v>
      </c>
      <c r="Q1153" s="3" t="s">
        <v>567</v>
      </c>
      <c r="R1153" s="3">
        <v>8</v>
      </c>
      <c r="S1153" s="3">
        <v>227</v>
      </c>
      <c r="T1153" s="4"/>
      <c r="U1153" s="3" t="s">
        <v>86</v>
      </c>
      <c r="V1153" s="18" t="s">
        <v>33</v>
      </c>
    </row>
    <row r="1154" spans="1:22" ht="15" customHeight="1" x14ac:dyDescent="0.25">
      <c r="A1154" s="15" t="s">
        <v>2206</v>
      </c>
      <c r="B1154" s="1" t="s">
        <v>2207</v>
      </c>
      <c r="C1154">
        <v>84</v>
      </c>
      <c r="D1154" s="1" t="s">
        <v>36</v>
      </c>
      <c r="E1154" s="1" t="s">
        <v>23</v>
      </c>
      <c r="F1154" s="1" t="s">
        <v>99</v>
      </c>
      <c r="G1154" s="1" t="s">
        <v>417</v>
      </c>
      <c r="H1154" s="1" t="s">
        <v>51</v>
      </c>
      <c r="I1154" s="7">
        <v>43701</v>
      </c>
      <c r="J1154" s="7">
        <v>43705</v>
      </c>
      <c r="K1154" s="1">
        <v>4</v>
      </c>
      <c r="L1154" s="1" t="s">
        <v>89</v>
      </c>
      <c r="M1154" s="1" t="s">
        <v>90</v>
      </c>
      <c r="N1154" s="1" t="s">
        <v>41</v>
      </c>
      <c r="O1154" s="1" t="s">
        <v>104</v>
      </c>
      <c r="P1154" s="29">
        <v>17732.37</v>
      </c>
      <c r="Q1154" s="1" t="s">
        <v>236</v>
      </c>
      <c r="R1154" s="1">
        <v>7</v>
      </c>
      <c r="S1154" s="1">
        <v>169</v>
      </c>
      <c r="T1154" s="1">
        <v>40.200000000000003</v>
      </c>
      <c r="U1154" s="1" t="s">
        <v>44</v>
      </c>
      <c r="V1154" s="17" t="s">
        <v>33</v>
      </c>
    </row>
    <row r="1155" spans="1:22" ht="15" customHeight="1" x14ac:dyDescent="0.25">
      <c r="A1155" s="16" t="s">
        <v>2208</v>
      </c>
      <c r="B1155" s="3" t="s">
        <v>2209</v>
      </c>
      <c r="C1155">
        <v>62</v>
      </c>
      <c r="D1155" s="3" t="s">
        <v>59</v>
      </c>
      <c r="E1155" s="3" t="s">
        <v>48</v>
      </c>
      <c r="F1155" s="3" t="s">
        <v>83</v>
      </c>
      <c r="G1155" s="3" t="s">
        <v>71</v>
      </c>
      <c r="H1155" s="3" t="s">
        <v>78</v>
      </c>
      <c r="I1155" s="8">
        <v>44951</v>
      </c>
      <c r="J1155" s="8">
        <v>44953</v>
      </c>
      <c r="K1155" s="3">
        <v>2</v>
      </c>
      <c r="L1155" s="3" t="s">
        <v>112</v>
      </c>
      <c r="M1155" s="3" t="s">
        <v>40</v>
      </c>
      <c r="N1155" s="3" t="s">
        <v>72</v>
      </c>
      <c r="O1155" s="3" t="s">
        <v>30</v>
      </c>
      <c r="P1155" s="30">
        <v>11450</v>
      </c>
      <c r="Q1155" s="3" t="s">
        <v>73</v>
      </c>
      <c r="R1155" s="3">
        <v>5</v>
      </c>
      <c r="S1155" s="3">
        <v>322</v>
      </c>
      <c r="T1155" s="3">
        <v>27.1</v>
      </c>
      <c r="U1155" s="3" t="s">
        <v>44</v>
      </c>
      <c r="V1155" s="18" t="s">
        <v>33</v>
      </c>
    </row>
    <row r="1156" spans="1:22" ht="15" customHeight="1" x14ac:dyDescent="0.25">
      <c r="A1156" s="15" t="s">
        <v>2210</v>
      </c>
      <c r="B1156" s="1" t="s">
        <v>2211</v>
      </c>
      <c r="C1156">
        <v>66</v>
      </c>
      <c r="D1156" s="1" t="s">
        <v>82</v>
      </c>
      <c r="E1156" s="1" t="s">
        <v>48</v>
      </c>
      <c r="F1156" s="2" t="s">
        <v>3714</v>
      </c>
      <c r="G1156" s="1" t="s">
        <v>77</v>
      </c>
      <c r="H1156" s="1" t="s">
        <v>26</v>
      </c>
      <c r="I1156" s="6">
        <v>45056</v>
      </c>
      <c r="J1156" s="7">
        <v>45214</v>
      </c>
      <c r="K1156" s="1">
        <v>10</v>
      </c>
      <c r="L1156" s="1" t="s">
        <v>102</v>
      </c>
      <c r="M1156" s="1" t="s">
        <v>28</v>
      </c>
      <c r="N1156" s="1" t="s">
        <v>79</v>
      </c>
      <c r="O1156" s="1" t="s">
        <v>55</v>
      </c>
      <c r="P1156" s="29">
        <v>91511</v>
      </c>
      <c r="Q1156" s="1" t="s">
        <v>123</v>
      </c>
      <c r="R1156" s="1">
        <v>10</v>
      </c>
      <c r="S1156" s="1">
        <v>356</v>
      </c>
      <c r="T1156" s="1">
        <v>24.8</v>
      </c>
      <c r="U1156" s="1" t="s">
        <v>44</v>
      </c>
      <c r="V1156" s="17" t="s">
        <v>33</v>
      </c>
    </row>
    <row r="1157" spans="1:22" ht="15" customHeight="1" x14ac:dyDescent="0.25">
      <c r="A1157" s="16" t="s">
        <v>2212</v>
      </c>
      <c r="B1157" s="3" t="s">
        <v>2213</v>
      </c>
      <c r="C1157">
        <v>86</v>
      </c>
      <c r="D1157" s="3" t="s">
        <v>36</v>
      </c>
      <c r="E1157" s="3" t="s">
        <v>48</v>
      </c>
      <c r="F1157" s="3" t="s">
        <v>37</v>
      </c>
      <c r="G1157" s="3" t="s">
        <v>50</v>
      </c>
      <c r="H1157" s="3" t="s">
        <v>26</v>
      </c>
      <c r="I1157" s="8">
        <v>43581</v>
      </c>
      <c r="J1157" s="8">
        <v>43589</v>
      </c>
      <c r="K1157" s="3">
        <v>8</v>
      </c>
      <c r="L1157" s="3" t="s">
        <v>231</v>
      </c>
      <c r="M1157" s="3" t="s">
        <v>53</v>
      </c>
      <c r="N1157" s="3" t="s">
        <v>116</v>
      </c>
      <c r="O1157" s="3" t="s">
        <v>104</v>
      </c>
      <c r="P1157" s="30">
        <v>66455.89</v>
      </c>
      <c r="Q1157" s="3" t="s">
        <v>194</v>
      </c>
      <c r="R1157" s="3">
        <v>9</v>
      </c>
      <c r="S1157" s="3">
        <v>357</v>
      </c>
      <c r="T1157" s="3">
        <v>28.7</v>
      </c>
      <c r="U1157" s="3" t="s">
        <v>32</v>
      </c>
      <c r="V1157" s="18" t="s">
        <v>45</v>
      </c>
    </row>
    <row r="1158" spans="1:22" ht="15" customHeight="1" x14ac:dyDescent="0.25">
      <c r="A1158" s="15" t="s">
        <v>2214</v>
      </c>
      <c r="B1158" s="1" t="s">
        <v>2215</v>
      </c>
      <c r="C1158">
        <v>56</v>
      </c>
      <c r="D1158" s="1" t="s">
        <v>59</v>
      </c>
      <c r="E1158" s="1" t="s">
        <v>48</v>
      </c>
      <c r="F1158" s="1" t="s">
        <v>83</v>
      </c>
      <c r="G1158" s="1" t="s">
        <v>25</v>
      </c>
      <c r="H1158" s="1" t="s">
        <v>51</v>
      </c>
      <c r="I1158" s="7">
        <v>45486</v>
      </c>
      <c r="J1158" s="7">
        <v>45499</v>
      </c>
      <c r="K1158" s="1">
        <v>13</v>
      </c>
      <c r="L1158" s="1" t="s">
        <v>132</v>
      </c>
      <c r="M1158" s="1" t="s">
        <v>53</v>
      </c>
      <c r="N1158" s="1" t="s">
        <v>65</v>
      </c>
      <c r="O1158" s="1" t="s">
        <v>55</v>
      </c>
      <c r="P1158" s="29">
        <v>87406.62</v>
      </c>
      <c r="Q1158" s="1" t="s">
        <v>322</v>
      </c>
      <c r="R1158" s="1">
        <v>12</v>
      </c>
      <c r="S1158" s="1">
        <v>114</v>
      </c>
      <c r="T1158" s="1">
        <v>16.7</v>
      </c>
      <c r="U1158" s="1" t="s">
        <v>86</v>
      </c>
      <c r="V1158" s="17" t="s">
        <v>33</v>
      </c>
    </row>
    <row r="1159" spans="1:22" ht="15" customHeight="1" x14ac:dyDescent="0.25">
      <c r="A1159" s="16" t="s">
        <v>2216</v>
      </c>
      <c r="B1159" s="3" t="s">
        <v>2217</v>
      </c>
      <c r="C1159">
        <v>63</v>
      </c>
      <c r="D1159" s="3" t="s">
        <v>59</v>
      </c>
      <c r="E1159" s="3" t="s">
        <v>23</v>
      </c>
      <c r="F1159" s="3" t="s">
        <v>83</v>
      </c>
      <c r="G1159" s="3" t="s">
        <v>77</v>
      </c>
      <c r="H1159" s="3" t="s">
        <v>78</v>
      </c>
      <c r="I1159" s="8">
        <v>45508</v>
      </c>
      <c r="J1159" s="8">
        <v>45397</v>
      </c>
      <c r="K1159" s="3">
        <v>7</v>
      </c>
      <c r="L1159" s="3" t="s">
        <v>132</v>
      </c>
      <c r="M1159" s="3" t="s">
        <v>53</v>
      </c>
      <c r="N1159" s="3" t="s">
        <v>84</v>
      </c>
      <c r="O1159" s="3" t="s">
        <v>30</v>
      </c>
      <c r="P1159" s="30">
        <v>53095.57</v>
      </c>
      <c r="Q1159" s="3" t="s">
        <v>95</v>
      </c>
      <c r="R1159" s="3">
        <v>10</v>
      </c>
      <c r="S1159" s="3">
        <v>146</v>
      </c>
      <c r="T1159" s="3">
        <v>27.7</v>
      </c>
      <c r="U1159" s="3" t="s">
        <v>44</v>
      </c>
      <c r="V1159" s="18" t="s">
        <v>33</v>
      </c>
    </row>
    <row r="1160" spans="1:22" ht="15" customHeight="1" x14ac:dyDescent="0.25">
      <c r="A1160" s="15" t="s">
        <v>2218</v>
      </c>
      <c r="B1160" s="2" t="s">
        <v>3654</v>
      </c>
      <c r="C1160">
        <v>58</v>
      </c>
      <c r="D1160" s="1" t="s">
        <v>59</v>
      </c>
      <c r="E1160" s="1" t="s">
        <v>48</v>
      </c>
      <c r="F1160" s="1" t="s">
        <v>24</v>
      </c>
      <c r="G1160" s="1" t="s">
        <v>38</v>
      </c>
      <c r="H1160" s="1" t="s">
        <v>78</v>
      </c>
      <c r="I1160" s="7">
        <v>45605</v>
      </c>
      <c r="J1160" s="7">
        <v>45611</v>
      </c>
      <c r="K1160" s="1">
        <v>6</v>
      </c>
      <c r="L1160" s="1" t="s">
        <v>112</v>
      </c>
      <c r="M1160" s="1" t="s">
        <v>40</v>
      </c>
      <c r="N1160" s="1" t="s">
        <v>203</v>
      </c>
      <c r="O1160" s="1" t="s">
        <v>104</v>
      </c>
      <c r="P1160" s="29">
        <v>10247.77</v>
      </c>
      <c r="Q1160" s="1" t="s">
        <v>437</v>
      </c>
      <c r="R1160" s="1">
        <v>8</v>
      </c>
      <c r="S1160" s="1">
        <v>499</v>
      </c>
      <c r="T1160" s="1">
        <v>22.3</v>
      </c>
      <c r="U1160" s="1" t="s">
        <v>44</v>
      </c>
      <c r="V1160" s="17" t="s">
        <v>45</v>
      </c>
    </row>
    <row r="1161" spans="1:22" ht="15" customHeight="1" x14ac:dyDescent="0.25">
      <c r="A1161" s="16" t="s">
        <v>2219</v>
      </c>
      <c r="B1161" s="3" t="s">
        <v>2220</v>
      </c>
      <c r="C1161">
        <v>79</v>
      </c>
      <c r="D1161" s="3" t="s">
        <v>36</v>
      </c>
      <c r="E1161" s="3" t="s">
        <v>48</v>
      </c>
      <c r="F1161" s="3" t="s">
        <v>70</v>
      </c>
      <c r="G1161" s="3" t="s">
        <v>38</v>
      </c>
      <c r="H1161" s="3" t="s">
        <v>26</v>
      </c>
      <c r="I1161" s="6">
        <v>43751</v>
      </c>
      <c r="J1161" s="8">
        <v>43760</v>
      </c>
      <c r="K1161" s="3">
        <v>9</v>
      </c>
      <c r="L1161" s="3" t="s">
        <v>89</v>
      </c>
      <c r="M1161" s="3" t="s">
        <v>90</v>
      </c>
      <c r="N1161" s="3" t="s">
        <v>41</v>
      </c>
      <c r="O1161" s="3" t="s">
        <v>30</v>
      </c>
      <c r="P1161" s="30">
        <v>25933.77</v>
      </c>
      <c r="Q1161" s="3" t="s">
        <v>567</v>
      </c>
      <c r="R1161" s="3">
        <v>7</v>
      </c>
      <c r="S1161" s="3">
        <v>164</v>
      </c>
      <c r="T1161" s="4"/>
      <c r="U1161" s="3" t="s">
        <v>44</v>
      </c>
      <c r="V1161" s="18" t="s">
        <v>33</v>
      </c>
    </row>
    <row r="1162" spans="1:22" ht="15" customHeight="1" x14ac:dyDescent="0.25">
      <c r="A1162" s="15" t="s">
        <v>2221</v>
      </c>
      <c r="B1162" s="1" t="s">
        <v>2222</v>
      </c>
      <c r="C1162">
        <v>58</v>
      </c>
      <c r="D1162" s="1" t="s">
        <v>59</v>
      </c>
      <c r="E1162" s="1" t="s">
        <v>23</v>
      </c>
      <c r="F1162" s="1" t="s">
        <v>24</v>
      </c>
      <c r="G1162" s="1" t="s">
        <v>38</v>
      </c>
      <c r="H1162" s="1" t="s">
        <v>78</v>
      </c>
      <c r="I1162" s="7">
        <v>45196</v>
      </c>
      <c r="J1162" s="7">
        <v>45200</v>
      </c>
      <c r="K1162" s="1">
        <v>4</v>
      </c>
      <c r="L1162" s="1" t="s">
        <v>39</v>
      </c>
      <c r="M1162" s="1" t="s">
        <v>40</v>
      </c>
      <c r="N1162" s="1" t="s">
        <v>41</v>
      </c>
      <c r="O1162" s="1" t="s">
        <v>42</v>
      </c>
      <c r="P1162" s="29">
        <v>12703.44</v>
      </c>
      <c r="Q1162" s="1" t="s">
        <v>437</v>
      </c>
      <c r="R1162" s="1">
        <v>6</v>
      </c>
      <c r="S1162" s="1">
        <v>152</v>
      </c>
      <c r="T1162" s="4"/>
      <c r="U1162" s="1" t="s">
        <v>32</v>
      </c>
      <c r="V1162" s="17" t="s">
        <v>33</v>
      </c>
    </row>
    <row r="1163" spans="1:22" ht="15" customHeight="1" x14ac:dyDescent="0.25">
      <c r="A1163" s="16" t="s">
        <v>2223</v>
      </c>
      <c r="B1163" s="3" t="s">
        <v>576</v>
      </c>
      <c r="C1163">
        <v>68</v>
      </c>
      <c r="D1163" s="3" t="s">
        <v>82</v>
      </c>
      <c r="E1163" s="3" t="s">
        <v>48</v>
      </c>
      <c r="F1163" s="3" t="s">
        <v>83</v>
      </c>
      <c r="G1163" s="3" t="s">
        <v>60</v>
      </c>
      <c r="H1163" s="3" t="s">
        <v>26</v>
      </c>
      <c r="I1163" s="6">
        <v>45499</v>
      </c>
      <c r="J1163" s="8">
        <v>45506</v>
      </c>
      <c r="K1163" s="3">
        <v>7</v>
      </c>
      <c r="L1163" s="3" t="s">
        <v>231</v>
      </c>
      <c r="M1163" s="3" t="s">
        <v>53</v>
      </c>
      <c r="N1163" s="3" t="s">
        <v>210</v>
      </c>
      <c r="O1163" s="3" t="s">
        <v>42</v>
      </c>
      <c r="P1163" s="30">
        <v>66542.039999999994</v>
      </c>
      <c r="Q1163" s="3" t="s">
        <v>137</v>
      </c>
      <c r="R1163" s="3">
        <v>6</v>
      </c>
      <c r="S1163" s="3">
        <v>154</v>
      </c>
      <c r="T1163" s="3">
        <v>19.899999999999999</v>
      </c>
      <c r="U1163" s="3" t="s">
        <v>44</v>
      </c>
      <c r="V1163" s="18" t="s">
        <v>33</v>
      </c>
    </row>
    <row r="1164" spans="1:22" ht="15" customHeight="1" x14ac:dyDescent="0.25">
      <c r="A1164" s="15" t="s">
        <v>2224</v>
      </c>
      <c r="B1164" s="1" t="s">
        <v>2225</v>
      </c>
      <c r="C1164">
        <v>59</v>
      </c>
      <c r="D1164" s="1" t="s">
        <v>59</v>
      </c>
      <c r="E1164" s="1" t="s">
        <v>48</v>
      </c>
      <c r="F1164" s="1" t="s">
        <v>99</v>
      </c>
      <c r="G1164" s="1" t="s">
        <v>131</v>
      </c>
      <c r="H1164" s="1" t="s">
        <v>51</v>
      </c>
      <c r="I1164" s="7">
        <v>44484</v>
      </c>
      <c r="J1164" s="7">
        <v>44488</v>
      </c>
      <c r="K1164" s="1">
        <v>4</v>
      </c>
      <c r="L1164" s="1" t="s">
        <v>231</v>
      </c>
      <c r="M1164" s="1" t="s">
        <v>53</v>
      </c>
      <c r="N1164" s="1" t="s">
        <v>157</v>
      </c>
      <c r="O1164" s="1" t="s">
        <v>104</v>
      </c>
      <c r="P1164" s="29">
        <v>7916.1</v>
      </c>
      <c r="Q1164" s="1" t="s">
        <v>266</v>
      </c>
      <c r="R1164" s="1">
        <v>7</v>
      </c>
      <c r="S1164" s="1">
        <v>127</v>
      </c>
      <c r="T1164" s="1">
        <v>25.1</v>
      </c>
      <c r="U1164" s="1" t="s">
        <v>44</v>
      </c>
      <c r="V1164" s="17" t="s">
        <v>33</v>
      </c>
    </row>
    <row r="1165" spans="1:22" ht="15" customHeight="1" x14ac:dyDescent="0.25">
      <c r="A1165" s="16" t="s">
        <v>2226</v>
      </c>
      <c r="B1165" s="3" t="s">
        <v>578</v>
      </c>
      <c r="C1165">
        <v>73</v>
      </c>
      <c r="D1165" s="3" t="s">
        <v>82</v>
      </c>
      <c r="E1165" s="3" t="s">
        <v>48</v>
      </c>
      <c r="F1165" s="3" t="s">
        <v>37</v>
      </c>
      <c r="G1165" s="3" t="s">
        <v>38</v>
      </c>
      <c r="H1165" s="3" t="s">
        <v>51</v>
      </c>
      <c r="I1165" s="8">
        <v>44917</v>
      </c>
      <c r="J1165" s="8">
        <v>44919</v>
      </c>
      <c r="K1165" s="3">
        <v>2</v>
      </c>
      <c r="L1165" s="3" t="s">
        <v>52</v>
      </c>
      <c r="M1165" s="3" t="s">
        <v>53</v>
      </c>
      <c r="N1165" s="3" t="s">
        <v>41</v>
      </c>
      <c r="O1165" s="3" t="s">
        <v>104</v>
      </c>
      <c r="P1165" s="30">
        <v>8058.24</v>
      </c>
      <c r="Q1165" s="3" t="s">
        <v>236</v>
      </c>
      <c r="R1165" s="3">
        <v>6</v>
      </c>
      <c r="S1165" s="3">
        <v>181</v>
      </c>
      <c r="T1165" s="3">
        <v>30.2</v>
      </c>
      <c r="U1165" s="3" t="s">
        <v>32</v>
      </c>
      <c r="V1165" s="18" t="s">
        <v>33</v>
      </c>
    </row>
    <row r="1166" spans="1:22" ht="15" customHeight="1" x14ac:dyDescent="0.25">
      <c r="A1166" s="15" t="s">
        <v>2227</v>
      </c>
      <c r="B1166" s="1" t="s">
        <v>2228</v>
      </c>
      <c r="C1166">
        <v>71</v>
      </c>
      <c r="D1166" s="1" t="s">
        <v>82</v>
      </c>
      <c r="E1166" s="1" t="s">
        <v>23</v>
      </c>
      <c r="F1166" s="1" t="s">
        <v>49</v>
      </c>
      <c r="G1166" s="1" t="s">
        <v>77</v>
      </c>
      <c r="H1166" s="1" t="s">
        <v>78</v>
      </c>
      <c r="I1166" s="7">
        <v>43686</v>
      </c>
      <c r="J1166" s="7">
        <v>43694</v>
      </c>
      <c r="K1166" s="1">
        <v>8</v>
      </c>
      <c r="L1166" s="1" t="s">
        <v>52</v>
      </c>
      <c r="M1166" s="1" t="s">
        <v>53</v>
      </c>
      <c r="N1166" s="1" t="s">
        <v>79</v>
      </c>
      <c r="O1166" s="1" t="s">
        <v>30</v>
      </c>
      <c r="P1166" s="29">
        <v>75931.8</v>
      </c>
      <c r="Q1166" s="1" t="s">
        <v>223</v>
      </c>
      <c r="R1166" s="1">
        <v>10</v>
      </c>
      <c r="S1166" s="1">
        <v>170</v>
      </c>
      <c r="T1166" s="1">
        <v>32.200000000000003</v>
      </c>
      <c r="U1166" s="1" t="s">
        <v>44</v>
      </c>
      <c r="V1166" s="17" t="s">
        <v>33</v>
      </c>
    </row>
    <row r="1167" spans="1:22" ht="15" customHeight="1" x14ac:dyDescent="0.25">
      <c r="A1167" s="16" t="s">
        <v>2229</v>
      </c>
      <c r="B1167" s="3" t="s">
        <v>2230</v>
      </c>
      <c r="C1167">
        <v>88</v>
      </c>
      <c r="D1167" s="3" t="s">
        <v>36</v>
      </c>
      <c r="E1167" s="3" t="s">
        <v>23</v>
      </c>
      <c r="F1167" s="3" t="s">
        <v>99</v>
      </c>
      <c r="G1167" s="3" t="s">
        <v>77</v>
      </c>
      <c r="H1167" s="3" t="s">
        <v>26</v>
      </c>
      <c r="I1167" s="8">
        <v>45500</v>
      </c>
      <c r="J1167" s="8">
        <v>45507</v>
      </c>
      <c r="K1167" s="3">
        <v>7</v>
      </c>
      <c r="L1167" s="3" t="s">
        <v>185</v>
      </c>
      <c r="M1167" s="3" t="s">
        <v>186</v>
      </c>
      <c r="N1167" s="3" t="s">
        <v>79</v>
      </c>
      <c r="O1167" s="3" t="s">
        <v>66</v>
      </c>
      <c r="P1167" s="30">
        <v>111975.18</v>
      </c>
      <c r="Q1167" s="3" t="s">
        <v>123</v>
      </c>
      <c r="R1167" s="3">
        <v>10</v>
      </c>
      <c r="S1167" s="3">
        <v>361</v>
      </c>
      <c r="T1167" s="3">
        <v>26.9</v>
      </c>
      <c r="U1167" s="3" t="s">
        <v>44</v>
      </c>
      <c r="V1167" s="18" t="s">
        <v>45</v>
      </c>
    </row>
    <row r="1168" spans="1:22" ht="15" customHeight="1" x14ac:dyDescent="0.25">
      <c r="A1168" s="15" t="s">
        <v>2231</v>
      </c>
      <c r="B1168" s="1" t="s">
        <v>2232</v>
      </c>
      <c r="C1168">
        <v>69</v>
      </c>
      <c r="D1168" s="1" t="s">
        <v>82</v>
      </c>
      <c r="E1168" s="1" t="s">
        <v>23</v>
      </c>
      <c r="F1168" s="1" t="s">
        <v>76</v>
      </c>
      <c r="G1168" s="1" t="s">
        <v>77</v>
      </c>
      <c r="H1168" s="1" t="s">
        <v>51</v>
      </c>
      <c r="I1168" s="7">
        <v>43827</v>
      </c>
      <c r="J1168" s="7">
        <v>44044</v>
      </c>
      <c r="K1168" s="1">
        <v>11</v>
      </c>
      <c r="L1168" s="1" t="s">
        <v>52</v>
      </c>
      <c r="M1168" s="1" t="s">
        <v>53</v>
      </c>
      <c r="N1168" s="1" t="s">
        <v>94</v>
      </c>
      <c r="O1168" s="1" t="s">
        <v>30</v>
      </c>
      <c r="P1168" s="29">
        <v>42406.57</v>
      </c>
      <c r="Q1168" s="1" t="s">
        <v>592</v>
      </c>
      <c r="R1168" s="1">
        <v>7</v>
      </c>
      <c r="S1168" s="1">
        <v>112</v>
      </c>
      <c r="T1168" s="1">
        <v>31.6</v>
      </c>
      <c r="U1168" s="1" t="s">
        <v>44</v>
      </c>
      <c r="V1168" s="17" t="s">
        <v>33</v>
      </c>
    </row>
    <row r="1169" spans="1:22" ht="15" customHeight="1" x14ac:dyDescent="0.25">
      <c r="A1169" s="16" t="s">
        <v>2233</v>
      </c>
      <c r="B1169" s="3" t="s">
        <v>2234</v>
      </c>
      <c r="C1169">
        <v>42</v>
      </c>
      <c r="D1169" s="3" t="s">
        <v>98</v>
      </c>
      <c r="E1169" s="3" t="s">
        <v>23</v>
      </c>
      <c r="F1169" s="3" t="s">
        <v>37</v>
      </c>
      <c r="G1169" s="3" t="s">
        <v>77</v>
      </c>
      <c r="H1169" s="3" t="s">
        <v>26</v>
      </c>
      <c r="I1169" s="6">
        <v>44234</v>
      </c>
      <c r="J1169" s="8">
        <v>44244</v>
      </c>
      <c r="K1169" s="3">
        <v>10</v>
      </c>
      <c r="L1169" s="3" t="s">
        <v>185</v>
      </c>
      <c r="M1169" s="3" t="s">
        <v>186</v>
      </c>
      <c r="N1169" s="3" t="s">
        <v>84</v>
      </c>
      <c r="O1169" s="3" t="s">
        <v>30</v>
      </c>
      <c r="P1169" s="30">
        <v>88340.42</v>
      </c>
      <c r="Q1169" s="3" t="s">
        <v>100</v>
      </c>
      <c r="R1169" s="3">
        <v>10</v>
      </c>
      <c r="S1169" s="3">
        <v>321</v>
      </c>
      <c r="T1169" s="3">
        <v>27.5</v>
      </c>
      <c r="U1169" s="3" t="s">
        <v>32</v>
      </c>
      <c r="V1169" s="18" t="s">
        <v>33</v>
      </c>
    </row>
    <row r="1170" spans="1:22" ht="15" customHeight="1" x14ac:dyDescent="0.25">
      <c r="A1170" s="15" t="s">
        <v>2235</v>
      </c>
      <c r="B1170" s="1" t="s">
        <v>856</v>
      </c>
      <c r="C1170">
        <v>62</v>
      </c>
      <c r="D1170" s="1" t="s">
        <v>59</v>
      </c>
      <c r="E1170" s="1" t="s">
        <v>23</v>
      </c>
      <c r="F1170" s="1" t="s">
        <v>49</v>
      </c>
      <c r="G1170" s="1" t="s">
        <v>38</v>
      </c>
      <c r="H1170" s="1" t="s">
        <v>51</v>
      </c>
      <c r="I1170" s="6">
        <v>45266</v>
      </c>
      <c r="J1170" s="7">
        <v>45271</v>
      </c>
      <c r="K1170" s="1">
        <v>5</v>
      </c>
      <c r="L1170" s="1" t="s">
        <v>185</v>
      </c>
      <c r="M1170" s="1" t="s">
        <v>186</v>
      </c>
      <c r="N1170" s="1" t="s">
        <v>203</v>
      </c>
      <c r="O1170" s="1" t="s">
        <v>30</v>
      </c>
      <c r="P1170" s="29">
        <v>15135.01</v>
      </c>
      <c r="Q1170" s="1" t="s">
        <v>204</v>
      </c>
      <c r="R1170" s="1">
        <v>8</v>
      </c>
      <c r="S1170" s="1">
        <v>157</v>
      </c>
      <c r="T1170" s="4"/>
      <c r="U1170" s="1" t="s">
        <v>44</v>
      </c>
      <c r="V1170" s="17" t="s">
        <v>33</v>
      </c>
    </row>
    <row r="1171" spans="1:22" ht="15" customHeight="1" x14ac:dyDescent="0.25">
      <c r="A1171" s="16" t="s">
        <v>2236</v>
      </c>
      <c r="B1171" s="3" t="s">
        <v>2237</v>
      </c>
      <c r="C1171">
        <v>68</v>
      </c>
      <c r="D1171" s="3" t="s">
        <v>82</v>
      </c>
      <c r="E1171" s="3" t="s">
        <v>48</v>
      </c>
      <c r="F1171" s="3" t="s">
        <v>155</v>
      </c>
      <c r="G1171" s="3" t="s">
        <v>25</v>
      </c>
      <c r="H1171" s="3" t="s">
        <v>51</v>
      </c>
      <c r="I1171" s="6">
        <v>43858</v>
      </c>
      <c r="J1171" s="8">
        <v>43865</v>
      </c>
      <c r="K1171" s="3">
        <v>7</v>
      </c>
      <c r="L1171" s="3" t="s">
        <v>132</v>
      </c>
      <c r="M1171" s="3" t="s">
        <v>53</v>
      </c>
      <c r="N1171" s="3" t="s">
        <v>65</v>
      </c>
      <c r="O1171" s="3" t="s">
        <v>55</v>
      </c>
      <c r="P1171" s="30">
        <v>52581.73</v>
      </c>
      <c r="Q1171" s="3" t="s">
        <v>31</v>
      </c>
      <c r="R1171" s="3">
        <v>12</v>
      </c>
      <c r="S1171" s="3">
        <v>141</v>
      </c>
      <c r="T1171" s="3">
        <v>18.899999999999999</v>
      </c>
      <c r="U1171" s="3" t="s">
        <v>44</v>
      </c>
      <c r="V1171" s="18" t="s">
        <v>33</v>
      </c>
    </row>
    <row r="1172" spans="1:22" ht="15" customHeight="1" x14ac:dyDescent="0.25">
      <c r="A1172" s="15" t="s">
        <v>2238</v>
      </c>
      <c r="B1172" s="1" t="s">
        <v>1084</v>
      </c>
      <c r="C1172">
        <v>38</v>
      </c>
      <c r="D1172" s="1" t="s">
        <v>98</v>
      </c>
      <c r="E1172" s="1" t="s">
        <v>48</v>
      </c>
      <c r="F1172" s="1" t="s">
        <v>83</v>
      </c>
      <c r="G1172" s="1" t="s">
        <v>77</v>
      </c>
      <c r="H1172" s="1" t="s">
        <v>26</v>
      </c>
      <c r="I1172" s="7">
        <v>44024</v>
      </c>
      <c r="J1172" s="7">
        <v>44036</v>
      </c>
      <c r="K1172" s="1">
        <v>12</v>
      </c>
      <c r="L1172" s="1" t="s">
        <v>112</v>
      </c>
      <c r="M1172" s="1" t="s">
        <v>40</v>
      </c>
      <c r="N1172" s="1" t="s">
        <v>84</v>
      </c>
      <c r="O1172" s="1" t="s">
        <v>42</v>
      </c>
      <c r="P1172" s="29">
        <v>53365.3</v>
      </c>
      <c r="Q1172" s="1" t="s">
        <v>85</v>
      </c>
      <c r="R1172" s="1">
        <v>10</v>
      </c>
      <c r="S1172" s="1">
        <v>302</v>
      </c>
      <c r="T1172" s="1">
        <v>23.5</v>
      </c>
      <c r="U1172" s="1" t="s">
        <v>44</v>
      </c>
      <c r="V1172" s="17" t="s">
        <v>45</v>
      </c>
    </row>
    <row r="1173" spans="1:22" ht="15" customHeight="1" x14ac:dyDescent="0.25">
      <c r="A1173" s="16" t="s">
        <v>2239</v>
      </c>
      <c r="B1173" s="2" t="s">
        <v>3655</v>
      </c>
      <c r="C1173">
        <v>87</v>
      </c>
      <c r="D1173" s="3" t="s">
        <v>36</v>
      </c>
      <c r="E1173" s="3" t="s">
        <v>23</v>
      </c>
      <c r="F1173" s="3" t="s">
        <v>83</v>
      </c>
      <c r="G1173" s="3" t="s">
        <v>77</v>
      </c>
      <c r="H1173" s="3" t="s">
        <v>78</v>
      </c>
      <c r="I1173" s="8">
        <v>44827</v>
      </c>
      <c r="J1173" s="8">
        <v>44834</v>
      </c>
      <c r="K1173" s="3">
        <v>7</v>
      </c>
      <c r="L1173" s="3" t="s">
        <v>185</v>
      </c>
      <c r="M1173" s="3" t="s">
        <v>186</v>
      </c>
      <c r="N1173" s="3" t="s">
        <v>94</v>
      </c>
      <c r="O1173" s="3" t="s">
        <v>42</v>
      </c>
      <c r="P1173" s="30">
        <v>71068.22</v>
      </c>
      <c r="Q1173" s="3" t="s">
        <v>80</v>
      </c>
      <c r="R1173" s="3">
        <v>10</v>
      </c>
      <c r="S1173" s="3">
        <v>114</v>
      </c>
      <c r="T1173" s="3">
        <v>32</v>
      </c>
      <c r="U1173" s="3" t="s">
        <v>44</v>
      </c>
      <c r="V1173" s="18" t="s">
        <v>45</v>
      </c>
    </row>
    <row r="1174" spans="1:22" ht="15" customHeight="1" x14ac:dyDescent="0.25">
      <c r="A1174" s="15" t="s">
        <v>2240</v>
      </c>
      <c r="B1174" s="1" t="s">
        <v>2241</v>
      </c>
      <c r="C1174">
        <v>84</v>
      </c>
      <c r="D1174" s="1" t="s">
        <v>36</v>
      </c>
      <c r="E1174" s="1" t="s">
        <v>48</v>
      </c>
      <c r="F1174" s="1" t="s">
        <v>155</v>
      </c>
      <c r="G1174" s="1" t="s">
        <v>71</v>
      </c>
      <c r="H1174" s="1" t="s">
        <v>26</v>
      </c>
      <c r="I1174" s="6">
        <v>44896</v>
      </c>
      <c r="J1174" s="7">
        <v>44578</v>
      </c>
      <c r="K1174" s="1">
        <v>5</v>
      </c>
      <c r="L1174" s="1" t="s">
        <v>132</v>
      </c>
      <c r="M1174" s="1" t="s">
        <v>53</v>
      </c>
      <c r="N1174" s="1" t="s">
        <v>72</v>
      </c>
      <c r="O1174" s="1" t="s">
        <v>30</v>
      </c>
      <c r="P1174" s="29">
        <v>24780.27</v>
      </c>
      <c r="Q1174" s="1" t="s">
        <v>374</v>
      </c>
      <c r="R1174" s="1">
        <v>5</v>
      </c>
      <c r="S1174" s="1">
        <v>296</v>
      </c>
      <c r="T1174" s="1">
        <v>23.7</v>
      </c>
      <c r="U1174" s="1" t="s">
        <v>44</v>
      </c>
      <c r="V1174" s="17" t="s">
        <v>33</v>
      </c>
    </row>
    <row r="1175" spans="1:22" ht="15" customHeight="1" x14ac:dyDescent="0.25">
      <c r="A1175" s="16" t="s">
        <v>2242</v>
      </c>
      <c r="B1175" s="3" t="s">
        <v>755</v>
      </c>
      <c r="C1175">
        <v>16</v>
      </c>
      <c r="D1175" s="3" t="s">
        <v>22</v>
      </c>
      <c r="E1175" s="3" t="s">
        <v>48</v>
      </c>
      <c r="F1175" s="3" t="s">
        <v>49</v>
      </c>
      <c r="G1175" s="3" t="s">
        <v>226</v>
      </c>
      <c r="H1175" s="3" t="s">
        <v>26</v>
      </c>
      <c r="I1175" s="8">
        <v>45637</v>
      </c>
      <c r="J1175" s="8">
        <v>45643</v>
      </c>
      <c r="K1175" s="3">
        <v>6</v>
      </c>
      <c r="L1175" s="3" t="s">
        <v>27</v>
      </c>
      <c r="M1175" s="3" t="s">
        <v>28</v>
      </c>
      <c r="N1175" s="3" t="s">
        <v>79</v>
      </c>
      <c r="O1175" s="3" t="s">
        <v>55</v>
      </c>
      <c r="P1175" s="30">
        <v>90904.88</v>
      </c>
      <c r="Q1175" s="3" t="s">
        <v>100</v>
      </c>
      <c r="R1175" s="3">
        <v>10</v>
      </c>
      <c r="S1175" s="3">
        <v>323</v>
      </c>
      <c r="T1175" s="3">
        <v>26.9</v>
      </c>
      <c r="U1175" s="3" t="s">
        <v>44</v>
      </c>
      <c r="V1175" s="18" t="s">
        <v>33</v>
      </c>
    </row>
    <row r="1176" spans="1:22" ht="15" customHeight="1" x14ac:dyDescent="0.25">
      <c r="A1176" s="15" t="s">
        <v>2243</v>
      </c>
      <c r="B1176" s="1" t="s">
        <v>2244</v>
      </c>
      <c r="C1176">
        <v>56</v>
      </c>
      <c r="D1176" s="1" t="s">
        <v>59</v>
      </c>
      <c r="E1176" s="1" t="s">
        <v>48</v>
      </c>
      <c r="F1176" s="1" t="s">
        <v>155</v>
      </c>
      <c r="G1176" s="1" t="s">
        <v>60</v>
      </c>
      <c r="H1176" s="1" t="s">
        <v>26</v>
      </c>
      <c r="I1176" s="7">
        <v>44179</v>
      </c>
      <c r="J1176" s="7">
        <v>44190</v>
      </c>
      <c r="K1176" s="1">
        <v>11</v>
      </c>
      <c r="L1176" s="1" t="s">
        <v>102</v>
      </c>
      <c r="M1176" s="1" t="s">
        <v>28</v>
      </c>
      <c r="N1176" s="1" t="s">
        <v>210</v>
      </c>
      <c r="O1176" s="1" t="s">
        <v>104</v>
      </c>
      <c r="P1176" s="29">
        <v>31509.99</v>
      </c>
      <c r="Q1176" s="1" t="s">
        <v>349</v>
      </c>
      <c r="R1176" s="1">
        <v>5</v>
      </c>
      <c r="S1176" s="1">
        <v>239</v>
      </c>
      <c r="T1176" s="1">
        <v>25.6</v>
      </c>
      <c r="U1176" s="1" t="s">
        <v>86</v>
      </c>
      <c r="V1176" s="17" t="s">
        <v>33</v>
      </c>
    </row>
    <row r="1177" spans="1:22" ht="15" customHeight="1" x14ac:dyDescent="0.25">
      <c r="A1177" s="16" t="s">
        <v>2245</v>
      </c>
      <c r="B1177" s="3" t="s">
        <v>1317</v>
      </c>
      <c r="C1177">
        <v>19</v>
      </c>
      <c r="D1177" s="3" t="s">
        <v>47</v>
      </c>
      <c r="E1177" s="3" t="s">
        <v>48</v>
      </c>
      <c r="F1177" s="3" t="s">
        <v>155</v>
      </c>
      <c r="G1177" s="3" t="s">
        <v>77</v>
      </c>
      <c r="H1177" s="3" t="s">
        <v>51</v>
      </c>
      <c r="I1177" s="8">
        <v>44330</v>
      </c>
      <c r="J1177" s="8">
        <v>44341</v>
      </c>
      <c r="K1177" s="3">
        <v>11</v>
      </c>
      <c r="L1177" s="3" t="s">
        <v>102</v>
      </c>
      <c r="M1177" s="3" t="s">
        <v>28</v>
      </c>
      <c r="N1177" s="3" t="s">
        <v>94</v>
      </c>
      <c r="O1177" s="3" t="s">
        <v>30</v>
      </c>
      <c r="P1177" s="30">
        <v>24694.37</v>
      </c>
      <c r="Q1177" s="3" t="s">
        <v>80</v>
      </c>
      <c r="R1177" s="3">
        <v>9</v>
      </c>
      <c r="S1177" s="3">
        <v>110</v>
      </c>
      <c r="T1177" s="3">
        <v>32.799999999999997</v>
      </c>
      <c r="U1177" s="3" t="s">
        <v>44</v>
      </c>
      <c r="V1177" s="18" t="s">
        <v>45</v>
      </c>
    </row>
    <row r="1178" spans="1:22" ht="15" customHeight="1" x14ac:dyDescent="0.25">
      <c r="A1178" s="15" t="s">
        <v>2246</v>
      </c>
      <c r="B1178" s="1" t="s">
        <v>2247</v>
      </c>
      <c r="C1178">
        <v>71</v>
      </c>
      <c r="D1178" s="1" t="s">
        <v>82</v>
      </c>
      <c r="E1178" s="1" t="s">
        <v>23</v>
      </c>
      <c r="F1178" s="1" t="s">
        <v>49</v>
      </c>
      <c r="G1178" s="1" t="s">
        <v>71</v>
      </c>
      <c r="H1178" s="1" t="s">
        <v>26</v>
      </c>
      <c r="I1178" s="6">
        <v>44509</v>
      </c>
      <c r="J1178" s="7">
        <v>44454</v>
      </c>
      <c r="K1178" s="1">
        <v>4</v>
      </c>
      <c r="L1178" s="1" t="s">
        <v>185</v>
      </c>
      <c r="M1178" s="1" t="s">
        <v>186</v>
      </c>
      <c r="N1178" s="1" t="s">
        <v>177</v>
      </c>
      <c r="O1178" s="1" t="s">
        <v>104</v>
      </c>
      <c r="P1178" s="29">
        <v>25699.06</v>
      </c>
      <c r="Q1178" s="1" t="s">
        <v>178</v>
      </c>
      <c r="R1178" s="1">
        <v>2</v>
      </c>
      <c r="S1178" s="1">
        <v>217</v>
      </c>
      <c r="T1178" s="1">
        <v>19.5</v>
      </c>
      <c r="U1178" s="1" t="s">
        <v>86</v>
      </c>
      <c r="V1178" s="17" t="s">
        <v>33</v>
      </c>
    </row>
    <row r="1179" spans="1:22" ht="15" customHeight="1" x14ac:dyDescent="0.25">
      <c r="A1179" s="16" t="s">
        <v>2248</v>
      </c>
      <c r="B1179" s="2" t="s">
        <v>1779</v>
      </c>
      <c r="C1179">
        <v>55</v>
      </c>
      <c r="D1179" s="3" t="s">
        <v>59</v>
      </c>
      <c r="E1179" s="3" t="s">
        <v>23</v>
      </c>
      <c r="F1179" s="3" t="s">
        <v>49</v>
      </c>
      <c r="G1179" s="3" t="s">
        <v>25</v>
      </c>
      <c r="H1179" s="3" t="s">
        <v>51</v>
      </c>
      <c r="I1179" s="8">
        <v>45183</v>
      </c>
      <c r="J1179" s="8">
        <v>45189</v>
      </c>
      <c r="K1179" s="3">
        <v>6</v>
      </c>
      <c r="L1179" s="3" t="s">
        <v>27</v>
      </c>
      <c r="M1179" s="3" t="s">
        <v>28</v>
      </c>
      <c r="N1179" s="3" t="s">
        <v>65</v>
      </c>
      <c r="O1179" s="3" t="s">
        <v>30</v>
      </c>
      <c r="P1179" s="30">
        <v>67218</v>
      </c>
      <c r="Q1179" s="3" t="s">
        <v>198</v>
      </c>
      <c r="R1179" s="3">
        <v>10</v>
      </c>
      <c r="S1179" s="3">
        <v>180</v>
      </c>
      <c r="T1179" s="3">
        <v>34</v>
      </c>
      <c r="U1179" s="3" t="s">
        <v>44</v>
      </c>
      <c r="V1179" s="18" t="s">
        <v>33</v>
      </c>
    </row>
    <row r="1180" spans="1:22" ht="15" customHeight="1" x14ac:dyDescent="0.25">
      <c r="A1180" s="15" t="s">
        <v>2249</v>
      </c>
      <c r="B1180" s="1" t="s">
        <v>2250</v>
      </c>
      <c r="C1180">
        <v>64</v>
      </c>
      <c r="D1180" s="1" t="s">
        <v>59</v>
      </c>
      <c r="E1180" s="1" t="s">
        <v>48</v>
      </c>
      <c r="F1180" s="1" t="s">
        <v>76</v>
      </c>
      <c r="G1180" s="1" t="s">
        <v>131</v>
      </c>
      <c r="H1180" s="1" t="s">
        <v>78</v>
      </c>
      <c r="I1180" s="6">
        <v>44870</v>
      </c>
      <c r="J1180" s="7">
        <v>44696</v>
      </c>
      <c r="K1180" s="1">
        <v>4</v>
      </c>
      <c r="L1180" s="1" t="s">
        <v>39</v>
      </c>
      <c r="M1180" s="1" t="s">
        <v>40</v>
      </c>
      <c r="N1180" s="1" t="s">
        <v>157</v>
      </c>
      <c r="O1180" s="1" t="s">
        <v>66</v>
      </c>
      <c r="P1180" s="29">
        <v>18987.29</v>
      </c>
      <c r="Q1180" s="1" t="s">
        <v>695</v>
      </c>
      <c r="R1180" s="1">
        <v>5</v>
      </c>
      <c r="S1180" s="1">
        <v>344</v>
      </c>
      <c r="T1180" s="1">
        <v>20.9</v>
      </c>
      <c r="U1180" s="1" t="s">
        <v>44</v>
      </c>
      <c r="V1180" s="17" t="s">
        <v>33</v>
      </c>
    </row>
    <row r="1181" spans="1:22" ht="15" customHeight="1" x14ac:dyDescent="0.25">
      <c r="A1181" s="16" t="s">
        <v>2251</v>
      </c>
      <c r="B1181" s="3" t="s">
        <v>938</v>
      </c>
      <c r="C1181">
        <v>59</v>
      </c>
      <c r="D1181" s="3" t="s">
        <v>59</v>
      </c>
      <c r="E1181" s="3" t="s">
        <v>48</v>
      </c>
      <c r="F1181" s="3" t="s">
        <v>155</v>
      </c>
      <c r="G1181" s="3" t="s">
        <v>163</v>
      </c>
      <c r="H1181" s="3" t="s">
        <v>26</v>
      </c>
      <c r="I1181" s="8">
        <v>43922</v>
      </c>
      <c r="J1181" s="8">
        <v>43930</v>
      </c>
      <c r="K1181" s="3">
        <v>8</v>
      </c>
      <c r="L1181" s="3" t="s">
        <v>122</v>
      </c>
      <c r="M1181" s="3" t="s">
        <v>40</v>
      </c>
      <c r="N1181" s="3" t="s">
        <v>164</v>
      </c>
      <c r="O1181" s="3" t="s">
        <v>30</v>
      </c>
      <c r="P1181" s="30">
        <v>30608.55</v>
      </c>
      <c r="Q1181" s="3" t="s">
        <v>234</v>
      </c>
      <c r="R1181" s="3">
        <v>4</v>
      </c>
      <c r="S1181" s="3">
        <v>401</v>
      </c>
      <c r="T1181" s="3">
        <v>33.1</v>
      </c>
      <c r="U1181" s="3" t="s">
        <v>32</v>
      </c>
      <c r="V1181" s="18" t="s">
        <v>33</v>
      </c>
    </row>
    <row r="1182" spans="1:22" ht="15" customHeight="1" x14ac:dyDescent="0.25">
      <c r="A1182" s="15" t="s">
        <v>2252</v>
      </c>
      <c r="B1182" s="1" t="s">
        <v>1431</v>
      </c>
      <c r="C1182">
        <v>45</v>
      </c>
      <c r="D1182" s="1" t="s">
        <v>98</v>
      </c>
      <c r="E1182" s="1" t="s">
        <v>48</v>
      </c>
      <c r="F1182" s="1" t="s">
        <v>99</v>
      </c>
      <c r="G1182" s="1" t="s">
        <v>131</v>
      </c>
      <c r="H1182" s="1" t="s">
        <v>26</v>
      </c>
      <c r="I1182" s="7">
        <v>45188</v>
      </c>
      <c r="J1182" s="7">
        <v>45197</v>
      </c>
      <c r="K1182" s="1">
        <v>9</v>
      </c>
      <c r="L1182" s="1" t="s">
        <v>52</v>
      </c>
      <c r="M1182" s="1" t="s">
        <v>53</v>
      </c>
      <c r="N1182" s="1" t="s">
        <v>147</v>
      </c>
      <c r="O1182" s="1" t="s">
        <v>104</v>
      </c>
      <c r="P1182" s="29">
        <v>30260.21</v>
      </c>
      <c r="Q1182" s="1" t="s">
        <v>291</v>
      </c>
      <c r="R1182" s="1">
        <v>7</v>
      </c>
      <c r="S1182" s="1">
        <v>361</v>
      </c>
      <c r="T1182" s="1">
        <v>34.799999999999997</v>
      </c>
      <c r="U1182" s="1" t="s">
        <v>32</v>
      </c>
      <c r="V1182" s="17" t="s">
        <v>33</v>
      </c>
    </row>
    <row r="1183" spans="1:22" ht="15" customHeight="1" x14ac:dyDescent="0.25">
      <c r="A1183" s="16" t="s">
        <v>2253</v>
      </c>
      <c r="B1183" s="3" t="s">
        <v>2254</v>
      </c>
      <c r="C1183">
        <v>62</v>
      </c>
      <c r="D1183" s="3" t="s">
        <v>59</v>
      </c>
      <c r="E1183" s="3" t="s">
        <v>48</v>
      </c>
      <c r="F1183" s="3" t="s">
        <v>99</v>
      </c>
      <c r="G1183" s="3" t="s">
        <v>131</v>
      </c>
      <c r="H1183" s="3" t="s">
        <v>156</v>
      </c>
      <c r="I1183" s="6">
        <v>43790</v>
      </c>
      <c r="J1183" s="8">
        <v>43798</v>
      </c>
      <c r="K1183" s="3">
        <v>8</v>
      </c>
      <c r="L1183" s="3" t="s">
        <v>122</v>
      </c>
      <c r="M1183" s="3" t="s">
        <v>40</v>
      </c>
      <c r="N1183" s="3" t="s">
        <v>157</v>
      </c>
      <c r="O1183" s="3" t="s">
        <v>42</v>
      </c>
      <c r="P1183" s="30">
        <v>24217.07</v>
      </c>
      <c r="Q1183" s="3" t="s">
        <v>266</v>
      </c>
      <c r="R1183" s="3">
        <v>3</v>
      </c>
      <c r="S1183" s="3">
        <v>272</v>
      </c>
      <c r="T1183" s="3">
        <v>41.6</v>
      </c>
      <c r="U1183" s="3" t="s">
        <v>32</v>
      </c>
      <c r="V1183" s="18" t="s">
        <v>33</v>
      </c>
    </row>
    <row r="1184" spans="1:22" ht="15" customHeight="1" x14ac:dyDescent="0.25">
      <c r="A1184" s="15" t="s">
        <v>2255</v>
      </c>
      <c r="B1184" s="1" t="s">
        <v>2256</v>
      </c>
      <c r="C1184">
        <v>71</v>
      </c>
      <c r="D1184" s="1" t="s">
        <v>82</v>
      </c>
      <c r="E1184" s="1" t="s">
        <v>23</v>
      </c>
      <c r="F1184" s="1" t="s">
        <v>99</v>
      </c>
      <c r="G1184" s="1" t="s">
        <v>50</v>
      </c>
      <c r="H1184" s="1" t="s">
        <v>26</v>
      </c>
      <c r="I1184" s="6">
        <v>44864</v>
      </c>
      <c r="J1184" s="7">
        <v>44879</v>
      </c>
      <c r="K1184" s="1">
        <v>15</v>
      </c>
      <c r="L1184" s="1" t="s">
        <v>112</v>
      </c>
      <c r="M1184" s="1" t="s">
        <v>40</v>
      </c>
      <c r="N1184" s="1" t="s">
        <v>54</v>
      </c>
      <c r="O1184" s="1" t="s">
        <v>30</v>
      </c>
      <c r="P1184" s="29">
        <v>120582.64</v>
      </c>
      <c r="Q1184" s="1" t="s">
        <v>194</v>
      </c>
      <c r="R1184" s="1">
        <v>8</v>
      </c>
      <c r="S1184" s="1">
        <v>394</v>
      </c>
      <c r="T1184" s="1">
        <v>14</v>
      </c>
      <c r="U1184" s="1" t="s">
        <v>32</v>
      </c>
      <c r="V1184" s="17" t="s">
        <v>33</v>
      </c>
    </row>
    <row r="1185" spans="1:22" ht="15" customHeight="1" x14ac:dyDescent="0.25">
      <c r="A1185" s="16" t="s">
        <v>2257</v>
      </c>
      <c r="B1185" s="3" t="s">
        <v>2258</v>
      </c>
      <c r="C1185">
        <v>61</v>
      </c>
      <c r="D1185" s="3" t="s">
        <v>59</v>
      </c>
      <c r="E1185" s="3" t="s">
        <v>48</v>
      </c>
      <c r="F1185" s="3" t="s">
        <v>76</v>
      </c>
      <c r="G1185" s="3" t="s">
        <v>77</v>
      </c>
      <c r="H1185" s="3" t="s">
        <v>78</v>
      </c>
      <c r="I1185" s="8">
        <v>45590</v>
      </c>
      <c r="J1185" s="8">
        <v>45423</v>
      </c>
      <c r="K1185" s="3">
        <v>11</v>
      </c>
      <c r="L1185" s="3" t="s">
        <v>112</v>
      </c>
      <c r="M1185" s="3" t="s">
        <v>40</v>
      </c>
      <c r="N1185" s="3" t="s">
        <v>79</v>
      </c>
      <c r="O1185" s="3" t="s">
        <v>42</v>
      </c>
      <c r="P1185" s="30">
        <v>40751</v>
      </c>
      <c r="Q1185" s="3" t="s">
        <v>123</v>
      </c>
      <c r="R1185" s="3">
        <v>7</v>
      </c>
      <c r="S1185" s="3">
        <v>351</v>
      </c>
      <c r="T1185" s="3">
        <v>32.1</v>
      </c>
      <c r="U1185" s="3" t="s">
        <v>44</v>
      </c>
      <c r="V1185" s="18" t="s">
        <v>33</v>
      </c>
    </row>
    <row r="1186" spans="1:22" ht="15" customHeight="1" x14ac:dyDescent="0.25">
      <c r="A1186" s="15" t="s">
        <v>2259</v>
      </c>
      <c r="B1186" s="1" t="s">
        <v>2260</v>
      </c>
      <c r="C1186">
        <v>41</v>
      </c>
      <c r="D1186" s="1" t="s">
        <v>98</v>
      </c>
      <c r="E1186" s="1" t="s">
        <v>48</v>
      </c>
      <c r="F1186" s="1" t="s">
        <v>155</v>
      </c>
      <c r="G1186" s="1" t="s">
        <v>77</v>
      </c>
      <c r="H1186" s="1" t="s">
        <v>26</v>
      </c>
      <c r="I1186" s="6">
        <v>45233</v>
      </c>
      <c r="J1186" s="7">
        <v>45240</v>
      </c>
      <c r="K1186" s="1">
        <v>7</v>
      </c>
      <c r="L1186" s="1" t="s">
        <v>132</v>
      </c>
      <c r="M1186" s="1" t="s">
        <v>53</v>
      </c>
      <c r="N1186" s="1" t="s">
        <v>79</v>
      </c>
      <c r="O1186" s="1" t="s">
        <v>55</v>
      </c>
      <c r="P1186" s="29">
        <v>49395</v>
      </c>
      <c r="Q1186" s="1" t="s">
        <v>109</v>
      </c>
      <c r="R1186" s="1">
        <v>10</v>
      </c>
      <c r="S1186" s="1">
        <v>322</v>
      </c>
      <c r="T1186" s="1">
        <v>33.9</v>
      </c>
      <c r="U1186" s="1" t="s">
        <v>44</v>
      </c>
      <c r="V1186" s="17" t="s">
        <v>33</v>
      </c>
    </row>
    <row r="1187" spans="1:22" ht="15" customHeight="1" x14ac:dyDescent="0.25">
      <c r="A1187" s="16" t="s">
        <v>2261</v>
      </c>
      <c r="B1187" s="3" t="s">
        <v>2262</v>
      </c>
      <c r="C1187">
        <v>74</v>
      </c>
      <c r="D1187" s="3" t="s">
        <v>82</v>
      </c>
      <c r="E1187" s="3" t="s">
        <v>23</v>
      </c>
      <c r="F1187" s="2" t="s">
        <v>155</v>
      </c>
      <c r="G1187" s="3" t="s">
        <v>77</v>
      </c>
      <c r="H1187" s="3" t="s">
        <v>51</v>
      </c>
      <c r="I1187" s="8">
        <v>44184</v>
      </c>
      <c r="J1187" s="8">
        <v>44192</v>
      </c>
      <c r="K1187" s="3">
        <v>8</v>
      </c>
      <c r="L1187" s="3" t="s">
        <v>52</v>
      </c>
      <c r="M1187" s="3" t="s">
        <v>53</v>
      </c>
      <c r="N1187" s="3" t="s">
        <v>84</v>
      </c>
      <c r="O1187" s="3" t="s">
        <v>42</v>
      </c>
      <c r="P1187" s="30">
        <v>60758.47</v>
      </c>
      <c r="Q1187" s="3" t="s">
        <v>85</v>
      </c>
      <c r="R1187" s="3">
        <v>10</v>
      </c>
      <c r="S1187" s="3">
        <v>195</v>
      </c>
      <c r="T1187" s="3">
        <v>27.2</v>
      </c>
      <c r="U1187" s="3" t="s">
        <v>44</v>
      </c>
      <c r="V1187" s="18" t="s">
        <v>45</v>
      </c>
    </row>
    <row r="1188" spans="1:22" ht="15" customHeight="1" x14ac:dyDescent="0.25">
      <c r="A1188" s="15" t="s">
        <v>2263</v>
      </c>
      <c r="B1188" s="1" t="s">
        <v>2264</v>
      </c>
      <c r="C1188">
        <v>61</v>
      </c>
      <c r="D1188" s="1" t="s">
        <v>59</v>
      </c>
      <c r="E1188" s="1" t="s">
        <v>48</v>
      </c>
      <c r="F1188" s="1" t="s">
        <v>76</v>
      </c>
      <c r="G1188" s="1" t="s">
        <v>131</v>
      </c>
      <c r="H1188" s="1" t="s">
        <v>26</v>
      </c>
      <c r="I1188" s="7">
        <v>44641</v>
      </c>
      <c r="J1188" s="7">
        <v>44650</v>
      </c>
      <c r="K1188" s="1">
        <v>9</v>
      </c>
      <c r="L1188" s="1" t="s">
        <v>89</v>
      </c>
      <c r="M1188" s="1" t="s">
        <v>90</v>
      </c>
      <c r="N1188" s="1" t="s">
        <v>157</v>
      </c>
      <c r="O1188" s="1" t="s">
        <v>55</v>
      </c>
      <c r="P1188" s="29">
        <v>22676.02</v>
      </c>
      <c r="Q1188" s="1" t="s">
        <v>134</v>
      </c>
      <c r="R1188" s="1">
        <v>7</v>
      </c>
      <c r="S1188" s="1">
        <v>310</v>
      </c>
      <c r="T1188" s="1">
        <v>32</v>
      </c>
      <c r="U1188" s="1" t="s">
        <v>44</v>
      </c>
      <c r="V1188" s="17" t="s">
        <v>33</v>
      </c>
    </row>
    <row r="1189" spans="1:22" ht="15" customHeight="1" x14ac:dyDescent="0.25">
      <c r="A1189" s="16" t="s">
        <v>2265</v>
      </c>
      <c r="B1189" s="3" t="s">
        <v>2266</v>
      </c>
      <c r="C1189">
        <v>60</v>
      </c>
      <c r="D1189" s="3" t="s">
        <v>59</v>
      </c>
      <c r="E1189" s="3" t="s">
        <v>23</v>
      </c>
      <c r="F1189" s="3" t="s">
        <v>99</v>
      </c>
      <c r="G1189" s="3" t="s">
        <v>38</v>
      </c>
      <c r="H1189" s="3" t="s">
        <v>51</v>
      </c>
      <c r="I1189" s="6">
        <v>44716</v>
      </c>
      <c r="J1189" s="8">
        <v>44810</v>
      </c>
      <c r="K1189" s="3">
        <v>5</v>
      </c>
      <c r="L1189" s="3" t="s">
        <v>52</v>
      </c>
      <c r="M1189" s="3" t="s">
        <v>53</v>
      </c>
      <c r="N1189" s="3" t="s">
        <v>203</v>
      </c>
      <c r="O1189" s="3" t="s">
        <v>30</v>
      </c>
      <c r="P1189" s="30">
        <v>12326.9</v>
      </c>
      <c r="Q1189" s="3" t="s">
        <v>236</v>
      </c>
      <c r="R1189" s="3">
        <v>5</v>
      </c>
      <c r="S1189" s="3">
        <v>121</v>
      </c>
      <c r="T1189" s="3">
        <v>34</v>
      </c>
      <c r="U1189" s="3" t="s">
        <v>32</v>
      </c>
      <c r="V1189" s="18" t="s">
        <v>33</v>
      </c>
    </row>
    <row r="1190" spans="1:22" ht="15" customHeight="1" x14ac:dyDescent="0.25">
      <c r="A1190" s="15" t="s">
        <v>2267</v>
      </c>
      <c r="B1190" s="2" t="s">
        <v>3656</v>
      </c>
      <c r="C1190">
        <v>62</v>
      </c>
      <c r="D1190" s="1" t="s">
        <v>59</v>
      </c>
      <c r="E1190" s="1" t="s">
        <v>48</v>
      </c>
      <c r="F1190" s="1" t="s">
        <v>155</v>
      </c>
      <c r="G1190" s="1" t="s">
        <v>38</v>
      </c>
      <c r="H1190" s="1" t="s">
        <v>78</v>
      </c>
      <c r="I1190" s="7">
        <v>44143</v>
      </c>
      <c r="J1190" s="7">
        <v>44151</v>
      </c>
      <c r="K1190" s="1">
        <v>8</v>
      </c>
      <c r="L1190" s="1" t="s">
        <v>89</v>
      </c>
      <c r="M1190" s="1" t="s">
        <v>90</v>
      </c>
      <c r="N1190" s="1" t="s">
        <v>203</v>
      </c>
      <c r="O1190" s="1" t="s">
        <v>30</v>
      </c>
      <c r="P1190" s="29">
        <v>17411.47</v>
      </c>
      <c r="Q1190" s="1" t="s">
        <v>236</v>
      </c>
      <c r="R1190" s="1">
        <v>8</v>
      </c>
      <c r="S1190" s="1">
        <v>390</v>
      </c>
      <c r="T1190" s="1">
        <v>34.9</v>
      </c>
      <c r="U1190" s="1" t="s">
        <v>44</v>
      </c>
      <c r="V1190" s="17" t="s">
        <v>33</v>
      </c>
    </row>
    <row r="1191" spans="1:22" ht="15" customHeight="1" x14ac:dyDescent="0.25">
      <c r="A1191" s="16" t="s">
        <v>2268</v>
      </c>
      <c r="B1191" s="3" t="s">
        <v>1932</v>
      </c>
      <c r="C1191">
        <v>72</v>
      </c>
      <c r="D1191" s="3" t="s">
        <v>82</v>
      </c>
      <c r="E1191" s="3" t="s">
        <v>23</v>
      </c>
      <c r="F1191" s="3" t="s">
        <v>49</v>
      </c>
      <c r="G1191" s="3" t="s">
        <v>131</v>
      </c>
      <c r="H1191" s="3" t="s">
        <v>26</v>
      </c>
      <c r="I1191" s="8">
        <v>44767</v>
      </c>
      <c r="J1191" s="8">
        <v>44769</v>
      </c>
      <c r="K1191" s="3">
        <v>2</v>
      </c>
      <c r="L1191" s="3" t="s">
        <v>27</v>
      </c>
      <c r="M1191" s="3" t="s">
        <v>28</v>
      </c>
      <c r="N1191" s="3" t="s">
        <v>157</v>
      </c>
      <c r="O1191" s="3" t="s">
        <v>66</v>
      </c>
      <c r="P1191" s="30">
        <v>45613.5</v>
      </c>
      <c r="Q1191" s="3" t="s">
        <v>148</v>
      </c>
      <c r="R1191" s="3">
        <v>7</v>
      </c>
      <c r="S1191" s="3">
        <v>359</v>
      </c>
      <c r="T1191" s="3">
        <v>15.3</v>
      </c>
      <c r="U1191" s="3" t="s">
        <v>32</v>
      </c>
      <c r="V1191" s="18" t="s">
        <v>33</v>
      </c>
    </row>
    <row r="1192" spans="1:22" ht="15" customHeight="1" x14ac:dyDescent="0.25">
      <c r="A1192" s="15" t="s">
        <v>2269</v>
      </c>
      <c r="B1192" s="1" t="s">
        <v>2270</v>
      </c>
      <c r="C1192">
        <v>55</v>
      </c>
      <c r="D1192" s="1" t="s">
        <v>59</v>
      </c>
      <c r="E1192" s="1" t="s">
        <v>48</v>
      </c>
      <c r="F1192" s="1" t="s">
        <v>37</v>
      </c>
      <c r="G1192" s="1" t="s">
        <v>38</v>
      </c>
      <c r="H1192" s="1" t="s">
        <v>156</v>
      </c>
      <c r="I1192" s="7">
        <v>45289</v>
      </c>
      <c r="J1192" s="7">
        <v>45292</v>
      </c>
      <c r="K1192" s="1">
        <v>3</v>
      </c>
      <c r="L1192" s="1" t="s">
        <v>185</v>
      </c>
      <c r="M1192" s="1" t="s">
        <v>186</v>
      </c>
      <c r="N1192" s="1" t="s">
        <v>173</v>
      </c>
      <c r="O1192" s="1" t="s">
        <v>42</v>
      </c>
      <c r="P1192" s="29">
        <v>26648.6</v>
      </c>
      <c r="Q1192" s="1" t="s">
        <v>567</v>
      </c>
      <c r="R1192" s="1">
        <v>6</v>
      </c>
      <c r="S1192" s="1">
        <v>233</v>
      </c>
      <c r="T1192" s="1">
        <v>18.8</v>
      </c>
      <c r="U1192" s="1" t="s">
        <v>44</v>
      </c>
      <c r="V1192" s="17" t="s">
        <v>33</v>
      </c>
    </row>
    <row r="1193" spans="1:22" ht="15" customHeight="1" x14ac:dyDescent="0.25">
      <c r="A1193" s="16" t="s">
        <v>2271</v>
      </c>
      <c r="B1193" s="3" t="s">
        <v>2272</v>
      </c>
      <c r="C1193">
        <v>64</v>
      </c>
      <c r="D1193" s="3" t="s">
        <v>59</v>
      </c>
      <c r="E1193" s="3" t="s">
        <v>23</v>
      </c>
      <c r="F1193" s="3" t="s">
        <v>24</v>
      </c>
      <c r="G1193" s="3" t="s">
        <v>38</v>
      </c>
      <c r="H1193" s="3" t="s">
        <v>26</v>
      </c>
      <c r="I1193" s="8">
        <v>44864</v>
      </c>
      <c r="J1193" s="8">
        <v>44662</v>
      </c>
      <c r="K1193" s="3">
        <v>5</v>
      </c>
      <c r="L1193" s="3" t="s">
        <v>39</v>
      </c>
      <c r="M1193" s="3" t="s">
        <v>40</v>
      </c>
      <c r="N1193" s="3" t="s">
        <v>203</v>
      </c>
      <c r="O1193" s="3" t="s">
        <v>55</v>
      </c>
      <c r="P1193" s="30">
        <v>29033.3</v>
      </c>
      <c r="Q1193" s="3" t="s">
        <v>204</v>
      </c>
      <c r="R1193" s="3">
        <v>8</v>
      </c>
      <c r="S1193" s="3">
        <v>462</v>
      </c>
      <c r="T1193" s="3">
        <v>14.1</v>
      </c>
      <c r="U1193" s="3" t="s">
        <v>86</v>
      </c>
      <c r="V1193" s="18" t="s">
        <v>33</v>
      </c>
    </row>
    <row r="1194" spans="1:22" ht="15" customHeight="1" x14ac:dyDescent="0.25">
      <c r="A1194" s="15" t="s">
        <v>2273</v>
      </c>
      <c r="B1194" s="1" t="s">
        <v>692</v>
      </c>
      <c r="C1194">
        <v>88</v>
      </c>
      <c r="D1194" s="1" t="s">
        <v>36</v>
      </c>
      <c r="E1194" s="1" t="s">
        <v>23</v>
      </c>
      <c r="F1194" s="1" t="s">
        <v>99</v>
      </c>
      <c r="G1194" s="1" t="s">
        <v>71</v>
      </c>
      <c r="H1194" s="1" t="s">
        <v>26</v>
      </c>
      <c r="I1194" s="7">
        <v>45491</v>
      </c>
      <c r="J1194" s="7">
        <v>45494</v>
      </c>
      <c r="K1194" s="1">
        <v>3</v>
      </c>
      <c r="L1194" s="1" t="s">
        <v>231</v>
      </c>
      <c r="M1194" s="1" t="s">
        <v>53</v>
      </c>
      <c r="N1194" s="1" t="s">
        <v>177</v>
      </c>
      <c r="O1194" s="1" t="s">
        <v>55</v>
      </c>
      <c r="P1194" s="29">
        <v>28722.65</v>
      </c>
      <c r="Q1194" s="1" t="s">
        <v>374</v>
      </c>
      <c r="R1194" s="1">
        <v>5</v>
      </c>
      <c r="S1194" s="1">
        <v>356</v>
      </c>
      <c r="T1194" s="1">
        <v>30.7</v>
      </c>
      <c r="U1194" s="1" t="s">
        <v>44</v>
      </c>
      <c r="V1194" s="17" t="s">
        <v>33</v>
      </c>
    </row>
    <row r="1195" spans="1:22" ht="15" customHeight="1" x14ac:dyDescent="0.25">
      <c r="A1195" s="16" t="s">
        <v>2274</v>
      </c>
      <c r="B1195" s="3" t="s">
        <v>921</v>
      </c>
      <c r="C1195">
        <v>78</v>
      </c>
      <c r="D1195" s="3" t="s">
        <v>36</v>
      </c>
      <c r="E1195" s="3" t="s">
        <v>48</v>
      </c>
      <c r="F1195" s="3" t="s">
        <v>70</v>
      </c>
      <c r="G1195" s="3" t="s">
        <v>38</v>
      </c>
      <c r="H1195" s="3" t="s">
        <v>51</v>
      </c>
      <c r="I1195" s="8">
        <v>43863</v>
      </c>
      <c r="J1195" s="8">
        <v>43923</v>
      </c>
      <c r="K1195" s="3">
        <v>2</v>
      </c>
      <c r="L1195" s="3" t="s">
        <v>185</v>
      </c>
      <c r="M1195" s="3" t="s">
        <v>186</v>
      </c>
      <c r="N1195" s="3" t="s">
        <v>41</v>
      </c>
      <c r="O1195" s="3" t="s">
        <v>55</v>
      </c>
      <c r="P1195" s="30">
        <v>37886</v>
      </c>
      <c r="Q1195" s="3" t="s">
        <v>119</v>
      </c>
      <c r="R1195" s="3">
        <v>8</v>
      </c>
      <c r="S1195" s="3">
        <v>105</v>
      </c>
      <c r="T1195" s="3">
        <v>25.6</v>
      </c>
      <c r="U1195" s="3" t="s">
        <v>44</v>
      </c>
      <c r="V1195" s="18" t="s">
        <v>45</v>
      </c>
    </row>
    <row r="1196" spans="1:22" ht="15" customHeight="1" x14ac:dyDescent="0.25">
      <c r="A1196" s="15" t="s">
        <v>2275</v>
      </c>
      <c r="B1196" s="1" t="s">
        <v>2264</v>
      </c>
      <c r="C1196">
        <v>79</v>
      </c>
      <c r="D1196" s="1" t="s">
        <v>36</v>
      </c>
      <c r="E1196" s="1" t="s">
        <v>48</v>
      </c>
      <c r="F1196" s="1" t="s">
        <v>49</v>
      </c>
      <c r="G1196" s="1" t="s">
        <v>131</v>
      </c>
      <c r="H1196" s="1" t="s">
        <v>26</v>
      </c>
      <c r="I1196" s="7">
        <v>43644</v>
      </c>
      <c r="J1196" s="7">
        <v>43472</v>
      </c>
      <c r="K1196" s="1">
        <v>3</v>
      </c>
      <c r="L1196" s="1" t="s">
        <v>132</v>
      </c>
      <c r="M1196" s="1" t="s">
        <v>53</v>
      </c>
      <c r="N1196" s="1" t="s">
        <v>133</v>
      </c>
      <c r="O1196" s="1" t="s">
        <v>55</v>
      </c>
      <c r="P1196" s="29">
        <v>41979.3</v>
      </c>
      <c r="Q1196" s="1" t="s">
        <v>695</v>
      </c>
      <c r="R1196" s="1">
        <v>3</v>
      </c>
      <c r="S1196" s="1">
        <v>356</v>
      </c>
      <c r="T1196" s="1">
        <v>36</v>
      </c>
      <c r="U1196" s="1" t="s">
        <v>44</v>
      </c>
      <c r="V1196" s="17" t="s">
        <v>45</v>
      </c>
    </row>
    <row r="1197" spans="1:22" ht="15" customHeight="1" x14ac:dyDescent="0.25">
      <c r="A1197" s="16" t="s">
        <v>2276</v>
      </c>
      <c r="B1197" s="3" t="s">
        <v>2277</v>
      </c>
      <c r="C1197">
        <v>20</v>
      </c>
      <c r="D1197" s="3" t="s">
        <v>47</v>
      </c>
      <c r="E1197" s="3" t="s">
        <v>48</v>
      </c>
      <c r="F1197" s="3" t="s">
        <v>76</v>
      </c>
      <c r="G1197" s="3" t="s">
        <v>25</v>
      </c>
      <c r="H1197" s="3" t="s">
        <v>51</v>
      </c>
      <c r="I1197" s="6">
        <v>45380</v>
      </c>
      <c r="J1197" s="8">
        <v>45389</v>
      </c>
      <c r="K1197" s="3">
        <v>9</v>
      </c>
      <c r="L1197" s="3" t="s">
        <v>132</v>
      </c>
      <c r="M1197" s="3" t="s">
        <v>53</v>
      </c>
      <c r="N1197" s="3" t="s">
        <v>65</v>
      </c>
      <c r="O1197" s="3" t="s">
        <v>30</v>
      </c>
      <c r="P1197" s="30">
        <v>24084.53</v>
      </c>
      <c r="Q1197" s="3" t="s">
        <v>484</v>
      </c>
      <c r="R1197" s="3">
        <v>12</v>
      </c>
      <c r="S1197" s="3">
        <v>168</v>
      </c>
      <c r="T1197" s="3">
        <v>23.8</v>
      </c>
      <c r="U1197" s="3" t="s">
        <v>44</v>
      </c>
      <c r="V1197" s="18" t="s">
        <v>45</v>
      </c>
    </row>
    <row r="1198" spans="1:22" ht="15" customHeight="1" x14ac:dyDescent="0.25">
      <c r="A1198" s="15" t="s">
        <v>2278</v>
      </c>
      <c r="B1198" s="1" t="s">
        <v>2279</v>
      </c>
      <c r="C1198">
        <v>51</v>
      </c>
      <c r="D1198" s="1" t="s">
        <v>98</v>
      </c>
      <c r="E1198" s="1" t="s">
        <v>23</v>
      </c>
      <c r="F1198" s="1" t="s">
        <v>37</v>
      </c>
      <c r="G1198" s="1" t="s">
        <v>38</v>
      </c>
      <c r="H1198" s="1" t="s">
        <v>51</v>
      </c>
      <c r="I1198" s="7">
        <v>43653</v>
      </c>
      <c r="J1198" s="7">
        <v>43656</v>
      </c>
      <c r="K1198" s="1">
        <v>3</v>
      </c>
      <c r="L1198" s="1" t="s">
        <v>185</v>
      </c>
      <c r="M1198" s="1" t="s">
        <v>186</v>
      </c>
      <c r="N1198" s="1" t="s">
        <v>203</v>
      </c>
      <c r="O1198" s="1" t="s">
        <v>42</v>
      </c>
      <c r="P1198" s="29">
        <v>21784.61</v>
      </c>
      <c r="Q1198" s="1" t="s">
        <v>43</v>
      </c>
      <c r="R1198" s="1">
        <v>6</v>
      </c>
      <c r="S1198" s="1">
        <v>195</v>
      </c>
      <c r="T1198" s="1">
        <v>23.4</v>
      </c>
      <c r="U1198" s="1" t="s">
        <v>44</v>
      </c>
      <c r="V1198" s="17" t="s">
        <v>45</v>
      </c>
    </row>
    <row r="1199" spans="1:22" ht="15" customHeight="1" x14ac:dyDescent="0.25">
      <c r="A1199" s="16" t="s">
        <v>2280</v>
      </c>
      <c r="B1199" s="3" t="s">
        <v>2281</v>
      </c>
      <c r="C1199">
        <v>83</v>
      </c>
      <c r="D1199" s="3" t="s">
        <v>36</v>
      </c>
      <c r="E1199" s="3" t="s">
        <v>48</v>
      </c>
      <c r="F1199" s="3" t="s">
        <v>70</v>
      </c>
      <c r="G1199" s="3" t="s">
        <v>417</v>
      </c>
      <c r="H1199" s="3" t="s">
        <v>51</v>
      </c>
      <c r="I1199" s="8">
        <v>44562</v>
      </c>
      <c r="J1199" s="8">
        <v>44569</v>
      </c>
      <c r="K1199" s="3">
        <v>7</v>
      </c>
      <c r="L1199" s="3" t="s">
        <v>185</v>
      </c>
      <c r="M1199" s="3" t="s">
        <v>186</v>
      </c>
      <c r="N1199" s="3" t="s">
        <v>203</v>
      </c>
      <c r="O1199" s="3" t="s">
        <v>30</v>
      </c>
      <c r="P1199" s="30">
        <v>24225.200000000001</v>
      </c>
      <c r="Q1199" s="3" t="s">
        <v>43</v>
      </c>
      <c r="R1199" s="3">
        <v>8</v>
      </c>
      <c r="S1199" s="3">
        <v>168</v>
      </c>
      <c r="T1199" s="3">
        <v>29.9</v>
      </c>
      <c r="U1199" s="3" t="s">
        <v>44</v>
      </c>
      <c r="V1199" s="18" t="s">
        <v>33</v>
      </c>
    </row>
    <row r="1200" spans="1:22" ht="15" customHeight="1" x14ac:dyDescent="0.25">
      <c r="A1200" s="15" t="s">
        <v>2282</v>
      </c>
      <c r="B1200" s="1" t="s">
        <v>2283</v>
      </c>
      <c r="C1200">
        <v>29</v>
      </c>
      <c r="D1200" s="1" t="s">
        <v>47</v>
      </c>
      <c r="E1200" s="1" t="s">
        <v>48</v>
      </c>
      <c r="F1200" s="1" t="s">
        <v>24</v>
      </c>
      <c r="G1200" s="1" t="s">
        <v>587</v>
      </c>
      <c r="H1200" s="1" t="s">
        <v>51</v>
      </c>
      <c r="I1200" s="7">
        <v>44452</v>
      </c>
      <c r="J1200" s="7">
        <v>44460</v>
      </c>
      <c r="K1200" s="1">
        <v>8</v>
      </c>
      <c r="L1200" s="1" t="s">
        <v>112</v>
      </c>
      <c r="M1200" s="1" t="s">
        <v>40</v>
      </c>
      <c r="N1200" s="1" t="s">
        <v>29</v>
      </c>
      <c r="O1200" s="1" t="s">
        <v>42</v>
      </c>
      <c r="P1200" s="29">
        <v>21872.76</v>
      </c>
      <c r="Q1200" s="1" t="s">
        <v>515</v>
      </c>
      <c r="R1200" s="1">
        <v>12</v>
      </c>
      <c r="S1200" s="1">
        <v>195</v>
      </c>
      <c r="T1200" s="1">
        <v>28.1</v>
      </c>
      <c r="U1200" s="1" t="s">
        <v>44</v>
      </c>
      <c r="V1200" s="17" t="s">
        <v>33</v>
      </c>
    </row>
    <row r="1201" spans="1:22" ht="15" customHeight="1" x14ac:dyDescent="0.25">
      <c r="A1201" s="16" t="s">
        <v>2284</v>
      </c>
      <c r="B1201" s="3" t="s">
        <v>2215</v>
      </c>
      <c r="C1201">
        <v>47</v>
      </c>
      <c r="D1201" s="3" t="s">
        <v>98</v>
      </c>
      <c r="E1201" s="3" t="s">
        <v>48</v>
      </c>
      <c r="F1201" s="3" t="s">
        <v>83</v>
      </c>
      <c r="G1201" s="3" t="s">
        <v>50</v>
      </c>
      <c r="H1201" s="3" t="s">
        <v>26</v>
      </c>
      <c r="I1201" s="6">
        <v>43684</v>
      </c>
      <c r="J1201" s="8">
        <v>43672</v>
      </c>
      <c r="K1201" s="3">
        <v>18</v>
      </c>
      <c r="L1201" s="3" t="s">
        <v>52</v>
      </c>
      <c r="M1201" s="3" t="s">
        <v>53</v>
      </c>
      <c r="N1201" s="3" t="s">
        <v>116</v>
      </c>
      <c r="O1201" s="3" t="s">
        <v>30</v>
      </c>
      <c r="P1201" s="30">
        <v>54178.99</v>
      </c>
      <c r="Q1201" s="3" t="s">
        <v>144</v>
      </c>
      <c r="R1201" s="3">
        <v>9</v>
      </c>
      <c r="S1201" s="3">
        <v>315</v>
      </c>
      <c r="T1201" s="3">
        <v>17.3</v>
      </c>
      <c r="U1201" s="3" t="s">
        <v>32</v>
      </c>
      <c r="V1201" s="18" t="s">
        <v>45</v>
      </c>
    </row>
    <row r="1202" spans="1:22" ht="15" customHeight="1" x14ac:dyDescent="0.25">
      <c r="A1202" s="15" t="s">
        <v>2285</v>
      </c>
      <c r="B1202" s="1" t="s">
        <v>2286</v>
      </c>
      <c r="C1202">
        <v>59</v>
      </c>
      <c r="D1202" s="1" t="s">
        <v>59</v>
      </c>
      <c r="E1202" s="1" t="s">
        <v>23</v>
      </c>
      <c r="F1202" s="1" t="s">
        <v>24</v>
      </c>
      <c r="G1202" s="1" t="s">
        <v>38</v>
      </c>
      <c r="H1202" s="1" t="s">
        <v>26</v>
      </c>
      <c r="I1202" s="7">
        <v>43719</v>
      </c>
      <c r="J1202" s="10"/>
      <c r="K1202" s="1"/>
      <c r="L1202" s="1" t="s">
        <v>52</v>
      </c>
      <c r="M1202" s="1" t="s">
        <v>53</v>
      </c>
      <c r="N1202" s="1" t="s">
        <v>203</v>
      </c>
      <c r="O1202" s="1" t="s">
        <v>30</v>
      </c>
      <c r="P1202" s="29">
        <v>24968.23</v>
      </c>
      <c r="Q1202" s="1" t="s">
        <v>119</v>
      </c>
      <c r="R1202" s="1">
        <v>6</v>
      </c>
      <c r="S1202" s="1">
        <v>245</v>
      </c>
      <c r="T1202" s="1">
        <v>19.3</v>
      </c>
      <c r="U1202" s="1" t="s">
        <v>86</v>
      </c>
      <c r="V1202" s="17" t="s">
        <v>33</v>
      </c>
    </row>
    <row r="1203" spans="1:22" ht="15" customHeight="1" x14ac:dyDescent="0.25">
      <c r="A1203" s="16" t="s">
        <v>2287</v>
      </c>
      <c r="B1203" s="3" t="s">
        <v>2288</v>
      </c>
      <c r="C1203">
        <v>70</v>
      </c>
      <c r="D1203" s="3" t="s">
        <v>82</v>
      </c>
      <c r="E1203" s="3" t="s">
        <v>48</v>
      </c>
      <c r="F1203" s="3" t="s">
        <v>99</v>
      </c>
      <c r="G1203" s="3" t="s">
        <v>60</v>
      </c>
      <c r="H1203" s="3" t="s">
        <v>51</v>
      </c>
      <c r="I1203" s="8">
        <v>44120</v>
      </c>
      <c r="J1203" s="8">
        <v>44128</v>
      </c>
      <c r="K1203" s="3">
        <v>8</v>
      </c>
      <c r="L1203" s="3" t="s">
        <v>122</v>
      </c>
      <c r="M1203" s="3" t="s">
        <v>40</v>
      </c>
      <c r="N1203" s="3" t="s">
        <v>210</v>
      </c>
      <c r="O1203" s="3" t="s">
        <v>30</v>
      </c>
      <c r="P1203" s="30">
        <v>77593.72</v>
      </c>
      <c r="Q1203" s="3" t="s">
        <v>170</v>
      </c>
      <c r="R1203" s="3">
        <v>4</v>
      </c>
      <c r="S1203" s="3">
        <v>103</v>
      </c>
      <c r="T1203" s="4"/>
      <c r="U1203" s="3" t="s">
        <v>86</v>
      </c>
      <c r="V1203" s="18" t="s">
        <v>33</v>
      </c>
    </row>
    <row r="1204" spans="1:22" ht="15" customHeight="1" x14ac:dyDescent="0.25">
      <c r="A1204" s="15" t="s">
        <v>2289</v>
      </c>
      <c r="B1204" s="1" t="s">
        <v>2290</v>
      </c>
      <c r="C1204">
        <v>60</v>
      </c>
      <c r="D1204" s="1" t="s">
        <v>59</v>
      </c>
      <c r="E1204" s="1" t="s">
        <v>23</v>
      </c>
      <c r="F1204" s="1" t="s">
        <v>99</v>
      </c>
      <c r="G1204" s="1" t="s">
        <v>50</v>
      </c>
      <c r="H1204" s="1" t="s">
        <v>26</v>
      </c>
      <c r="I1204" s="6">
        <v>44980</v>
      </c>
      <c r="J1204" s="7">
        <v>44986</v>
      </c>
      <c r="K1204" s="1">
        <v>6</v>
      </c>
      <c r="L1204" s="1" t="s">
        <v>112</v>
      </c>
      <c r="M1204" s="1" t="s">
        <v>40</v>
      </c>
      <c r="N1204" s="1" t="s">
        <v>54</v>
      </c>
      <c r="O1204" s="1" t="s">
        <v>66</v>
      </c>
      <c r="P1204" s="29">
        <v>80857.06</v>
      </c>
      <c r="Q1204" s="1" t="s">
        <v>279</v>
      </c>
      <c r="R1204" s="1">
        <v>9</v>
      </c>
      <c r="S1204" s="1">
        <v>345</v>
      </c>
      <c r="T1204" s="1">
        <v>33.9</v>
      </c>
      <c r="U1204" s="1" t="s">
        <v>32</v>
      </c>
      <c r="V1204" s="17" t="s">
        <v>45</v>
      </c>
    </row>
    <row r="1205" spans="1:22" ht="15" customHeight="1" x14ac:dyDescent="0.25">
      <c r="A1205" s="16" t="s">
        <v>2291</v>
      </c>
      <c r="B1205" s="3" t="s">
        <v>1934</v>
      </c>
      <c r="C1205">
        <v>65</v>
      </c>
      <c r="D1205" s="3" t="s">
        <v>82</v>
      </c>
      <c r="E1205" s="3" t="s">
        <v>23</v>
      </c>
      <c r="F1205" s="2" t="s">
        <v>155</v>
      </c>
      <c r="G1205" s="3" t="s">
        <v>226</v>
      </c>
      <c r="H1205" s="3" t="s">
        <v>51</v>
      </c>
      <c r="I1205" s="6">
        <v>44292</v>
      </c>
      <c r="J1205" s="8">
        <v>44362</v>
      </c>
      <c r="K1205" s="3">
        <v>11</v>
      </c>
      <c r="L1205" s="3" t="s">
        <v>39</v>
      </c>
      <c r="M1205" s="3" t="s">
        <v>40</v>
      </c>
      <c r="N1205" s="3" t="s">
        <v>94</v>
      </c>
      <c r="O1205" s="3" t="s">
        <v>30</v>
      </c>
      <c r="P1205" s="30">
        <v>64585.440000000002</v>
      </c>
      <c r="Q1205" s="3" t="s">
        <v>100</v>
      </c>
      <c r="R1205" s="3">
        <v>6</v>
      </c>
      <c r="S1205" s="3">
        <v>126</v>
      </c>
      <c r="T1205" s="3">
        <v>24.8</v>
      </c>
      <c r="U1205" s="3" t="s">
        <v>44</v>
      </c>
      <c r="V1205" s="18" t="s">
        <v>33</v>
      </c>
    </row>
    <row r="1206" spans="1:22" ht="15" customHeight="1" x14ac:dyDescent="0.25">
      <c r="A1206" s="15" t="s">
        <v>2292</v>
      </c>
      <c r="B1206" s="1" t="s">
        <v>2293</v>
      </c>
      <c r="C1206">
        <v>55</v>
      </c>
      <c r="D1206" s="1" t="s">
        <v>59</v>
      </c>
      <c r="E1206" s="1" t="s">
        <v>23</v>
      </c>
      <c r="F1206" s="1" t="s">
        <v>99</v>
      </c>
      <c r="G1206" s="1" t="s">
        <v>38</v>
      </c>
      <c r="H1206" s="1" t="s">
        <v>78</v>
      </c>
      <c r="I1206" s="7">
        <v>43820</v>
      </c>
      <c r="J1206" s="7">
        <v>43824</v>
      </c>
      <c r="K1206" s="1">
        <v>4</v>
      </c>
      <c r="L1206" s="1" t="s">
        <v>185</v>
      </c>
      <c r="M1206" s="1" t="s">
        <v>186</v>
      </c>
      <c r="N1206" s="1" t="s">
        <v>41</v>
      </c>
      <c r="O1206" s="1" t="s">
        <v>30</v>
      </c>
      <c r="P1206" s="29">
        <v>13449.97</v>
      </c>
      <c r="Q1206" s="1" t="s">
        <v>437</v>
      </c>
      <c r="R1206" s="1">
        <v>8</v>
      </c>
      <c r="S1206" s="1">
        <v>454</v>
      </c>
      <c r="T1206" s="1">
        <v>25.3</v>
      </c>
      <c r="U1206" s="1" t="s">
        <v>44</v>
      </c>
      <c r="V1206" s="17" t="s">
        <v>33</v>
      </c>
    </row>
    <row r="1207" spans="1:22" ht="15" customHeight="1" x14ac:dyDescent="0.25">
      <c r="A1207" s="16" t="s">
        <v>2294</v>
      </c>
      <c r="B1207" s="3" t="s">
        <v>2295</v>
      </c>
      <c r="C1207">
        <v>66</v>
      </c>
      <c r="D1207" s="3" t="s">
        <v>82</v>
      </c>
      <c r="E1207" s="3" t="s">
        <v>23</v>
      </c>
      <c r="F1207" s="3" t="s">
        <v>83</v>
      </c>
      <c r="G1207" s="3" t="s">
        <v>2296</v>
      </c>
      <c r="H1207" s="3" t="s">
        <v>78</v>
      </c>
      <c r="I1207" s="8">
        <v>43907</v>
      </c>
      <c r="J1207" s="8">
        <v>43912</v>
      </c>
      <c r="K1207" s="3">
        <v>5</v>
      </c>
      <c r="L1207" s="3" t="s">
        <v>102</v>
      </c>
      <c r="M1207" s="3" t="s">
        <v>28</v>
      </c>
      <c r="N1207" s="3" t="s">
        <v>103</v>
      </c>
      <c r="O1207" s="3" t="s">
        <v>42</v>
      </c>
      <c r="P1207" s="30">
        <v>26578</v>
      </c>
      <c r="Q1207" s="3" t="s">
        <v>170</v>
      </c>
      <c r="R1207" s="3">
        <v>6</v>
      </c>
      <c r="S1207" s="3">
        <v>297</v>
      </c>
      <c r="T1207" s="3">
        <v>30.4</v>
      </c>
      <c r="U1207" s="3" t="s">
        <v>44</v>
      </c>
      <c r="V1207" s="18" t="s">
        <v>33</v>
      </c>
    </row>
    <row r="1208" spans="1:22" ht="15" customHeight="1" x14ac:dyDescent="0.25">
      <c r="A1208" s="15" t="s">
        <v>2297</v>
      </c>
      <c r="B1208" s="1" t="s">
        <v>2298</v>
      </c>
      <c r="C1208">
        <v>72</v>
      </c>
      <c r="D1208" s="1" t="s">
        <v>82</v>
      </c>
      <c r="E1208" s="1" t="s">
        <v>23</v>
      </c>
      <c r="F1208" s="1" t="s">
        <v>155</v>
      </c>
      <c r="G1208" s="1" t="s">
        <v>1033</v>
      </c>
      <c r="H1208" s="1" t="s">
        <v>51</v>
      </c>
      <c r="I1208" s="7">
        <v>45020</v>
      </c>
      <c r="J1208" s="7">
        <v>45023</v>
      </c>
      <c r="K1208" s="1">
        <v>3</v>
      </c>
      <c r="L1208" s="1" t="s">
        <v>231</v>
      </c>
      <c r="M1208" s="1" t="s">
        <v>53</v>
      </c>
      <c r="N1208" s="1" t="s">
        <v>346</v>
      </c>
      <c r="O1208" s="1" t="s">
        <v>42</v>
      </c>
      <c r="P1208" s="29">
        <v>23211.1</v>
      </c>
      <c r="Q1208" s="1" t="s">
        <v>234</v>
      </c>
      <c r="R1208" s="1">
        <v>6</v>
      </c>
      <c r="S1208" s="1">
        <v>118</v>
      </c>
      <c r="T1208" s="1">
        <v>17.7</v>
      </c>
      <c r="U1208" s="1" t="s">
        <v>44</v>
      </c>
      <c r="V1208" s="17" t="s">
        <v>33</v>
      </c>
    </row>
    <row r="1209" spans="1:22" ht="15" customHeight="1" x14ac:dyDescent="0.25">
      <c r="A1209" s="16" t="s">
        <v>2299</v>
      </c>
      <c r="B1209" s="3" t="s">
        <v>1858</v>
      </c>
      <c r="C1209">
        <v>23</v>
      </c>
      <c r="D1209" s="3" t="s">
        <v>47</v>
      </c>
      <c r="E1209" s="3" t="s">
        <v>23</v>
      </c>
      <c r="F1209" s="2" t="s">
        <v>99</v>
      </c>
      <c r="G1209" s="3" t="s">
        <v>38</v>
      </c>
      <c r="H1209" s="3" t="s">
        <v>78</v>
      </c>
      <c r="I1209" s="6">
        <v>44033</v>
      </c>
      <c r="J1209" s="8">
        <v>44037</v>
      </c>
      <c r="K1209" s="3">
        <v>4</v>
      </c>
      <c r="L1209" s="3" t="s">
        <v>132</v>
      </c>
      <c r="M1209" s="3" t="s">
        <v>53</v>
      </c>
      <c r="N1209" s="3" t="s">
        <v>41</v>
      </c>
      <c r="O1209" s="3" t="s">
        <v>104</v>
      </c>
      <c r="P1209" s="30">
        <v>15308.12</v>
      </c>
      <c r="Q1209" s="3" t="s">
        <v>567</v>
      </c>
      <c r="R1209" s="3">
        <v>8</v>
      </c>
      <c r="S1209" s="3">
        <v>358</v>
      </c>
      <c r="T1209" s="3">
        <v>25.5</v>
      </c>
      <c r="U1209" s="3" t="s">
        <v>44</v>
      </c>
      <c r="V1209" s="18" t="s">
        <v>33</v>
      </c>
    </row>
    <row r="1210" spans="1:22" ht="15" customHeight="1" x14ac:dyDescent="0.25">
      <c r="A1210" s="15" t="s">
        <v>2300</v>
      </c>
      <c r="B1210" s="1" t="s">
        <v>2301</v>
      </c>
      <c r="C1210">
        <v>69</v>
      </c>
      <c r="D1210" s="1" t="s">
        <v>82</v>
      </c>
      <c r="E1210" s="1" t="s">
        <v>48</v>
      </c>
      <c r="F1210" s="1" t="s">
        <v>155</v>
      </c>
      <c r="G1210" s="1" t="s">
        <v>77</v>
      </c>
      <c r="H1210" s="1" t="s">
        <v>26</v>
      </c>
      <c r="I1210" s="7">
        <v>43773</v>
      </c>
      <c r="J1210" s="7">
        <v>43788</v>
      </c>
      <c r="K1210" s="1">
        <v>15</v>
      </c>
      <c r="L1210" s="1" t="s">
        <v>89</v>
      </c>
      <c r="M1210" s="1" t="s">
        <v>90</v>
      </c>
      <c r="N1210" s="1" t="s">
        <v>79</v>
      </c>
      <c r="O1210" s="1" t="s">
        <v>104</v>
      </c>
      <c r="P1210" s="29">
        <v>81721.17</v>
      </c>
      <c r="Q1210" s="1" t="s">
        <v>95</v>
      </c>
      <c r="R1210" s="1">
        <v>10</v>
      </c>
      <c r="S1210" s="1">
        <v>333</v>
      </c>
      <c r="T1210" s="1">
        <v>33.799999999999997</v>
      </c>
      <c r="U1210" s="1" t="s">
        <v>44</v>
      </c>
      <c r="V1210" s="17" t="s">
        <v>45</v>
      </c>
    </row>
    <row r="1211" spans="1:22" ht="15" customHeight="1" x14ac:dyDescent="0.25">
      <c r="A1211" s="16" t="s">
        <v>2302</v>
      </c>
      <c r="B1211" s="3" t="s">
        <v>2303</v>
      </c>
      <c r="C1211">
        <v>83</v>
      </c>
      <c r="D1211" s="3" t="s">
        <v>36</v>
      </c>
      <c r="E1211" s="3" t="s">
        <v>48</v>
      </c>
      <c r="F1211" s="3" t="s">
        <v>24</v>
      </c>
      <c r="G1211" s="3" t="s">
        <v>25</v>
      </c>
      <c r="H1211" s="3" t="s">
        <v>51</v>
      </c>
      <c r="I1211" s="8">
        <v>45341</v>
      </c>
      <c r="J1211" s="8">
        <v>45507</v>
      </c>
      <c r="K1211" s="3">
        <v>18</v>
      </c>
      <c r="L1211" s="3" t="s">
        <v>102</v>
      </c>
      <c r="M1211" s="3" t="s">
        <v>28</v>
      </c>
      <c r="N1211" s="3" t="s">
        <v>248</v>
      </c>
      <c r="O1211" s="3" t="s">
        <v>55</v>
      </c>
      <c r="P1211" s="30">
        <v>54975.88</v>
      </c>
      <c r="Q1211" s="3" t="s">
        <v>322</v>
      </c>
      <c r="R1211" s="3">
        <v>12</v>
      </c>
      <c r="S1211" s="3">
        <v>173</v>
      </c>
      <c r="T1211" s="3">
        <v>22.4</v>
      </c>
      <c r="U1211" s="3" t="s">
        <v>44</v>
      </c>
      <c r="V1211" s="18" t="s">
        <v>33</v>
      </c>
    </row>
    <row r="1212" spans="1:22" ht="15" customHeight="1" x14ac:dyDescent="0.25">
      <c r="A1212" s="15" t="s">
        <v>2304</v>
      </c>
      <c r="B1212" s="1" t="s">
        <v>2305</v>
      </c>
      <c r="C1212">
        <v>63</v>
      </c>
      <c r="D1212" s="1" t="s">
        <v>59</v>
      </c>
      <c r="E1212" s="1" t="s">
        <v>23</v>
      </c>
      <c r="F1212" s="1" t="s">
        <v>76</v>
      </c>
      <c r="G1212" s="1" t="s">
        <v>77</v>
      </c>
      <c r="H1212" s="1" t="s">
        <v>26</v>
      </c>
      <c r="I1212" s="7">
        <v>45277</v>
      </c>
      <c r="J1212" s="7">
        <v>45287</v>
      </c>
      <c r="K1212" s="1">
        <v>10</v>
      </c>
      <c r="L1212" s="1" t="s">
        <v>39</v>
      </c>
      <c r="M1212" s="1" t="s">
        <v>40</v>
      </c>
      <c r="N1212" s="1" t="s">
        <v>79</v>
      </c>
      <c r="O1212" s="1" t="s">
        <v>42</v>
      </c>
      <c r="P1212" s="29">
        <v>74150</v>
      </c>
      <c r="Q1212" s="1" t="s">
        <v>80</v>
      </c>
      <c r="R1212" s="1">
        <v>9</v>
      </c>
      <c r="S1212" s="1">
        <v>334</v>
      </c>
      <c r="T1212" s="1">
        <v>37.799999999999997</v>
      </c>
      <c r="U1212" s="1" t="s">
        <v>44</v>
      </c>
      <c r="V1212" s="17" t="s">
        <v>45</v>
      </c>
    </row>
    <row r="1213" spans="1:22" ht="15" customHeight="1" x14ac:dyDescent="0.25">
      <c r="A1213" s="16" t="s">
        <v>2306</v>
      </c>
      <c r="B1213" s="3" t="s">
        <v>2307</v>
      </c>
      <c r="C1213">
        <v>38</v>
      </c>
      <c r="D1213" s="3" t="s">
        <v>98</v>
      </c>
      <c r="E1213" s="3" t="s">
        <v>23</v>
      </c>
      <c r="F1213" s="3" t="s">
        <v>70</v>
      </c>
      <c r="G1213" s="3" t="s">
        <v>131</v>
      </c>
      <c r="H1213" s="3" t="s">
        <v>51</v>
      </c>
      <c r="I1213" s="6">
        <v>43804</v>
      </c>
      <c r="J1213" s="8">
        <v>43600</v>
      </c>
      <c r="K1213" s="3">
        <v>3</v>
      </c>
      <c r="L1213" s="3" t="s">
        <v>122</v>
      </c>
      <c r="M1213" s="3" t="s">
        <v>40</v>
      </c>
      <c r="N1213" s="3" t="s">
        <v>157</v>
      </c>
      <c r="O1213" s="3" t="s">
        <v>104</v>
      </c>
      <c r="P1213" s="30">
        <v>10902.27</v>
      </c>
      <c r="Q1213" s="3" t="s">
        <v>148</v>
      </c>
      <c r="R1213" s="3">
        <v>7</v>
      </c>
      <c r="S1213" s="3">
        <v>178</v>
      </c>
      <c r="T1213" s="3">
        <v>29.2</v>
      </c>
      <c r="U1213" s="3" t="s">
        <v>44</v>
      </c>
      <c r="V1213" s="18" t="s">
        <v>33</v>
      </c>
    </row>
    <row r="1214" spans="1:22" ht="15" customHeight="1" x14ac:dyDescent="0.25">
      <c r="A1214" s="15" t="s">
        <v>2308</v>
      </c>
      <c r="B1214" s="1" t="s">
        <v>2309</v>
      </c>
      <c r="C1214">
        <v>70</v>
      </c>
      <c r="D1214" s="1" t="s">
        <v>82</v>
      </c>
      <c r="E1214" s="1" t="s">
        <v>48</v>
      </c>
      <c r="F1214" s="1" t="s">
        <v>83</v>
      </c>
      <c r="G1214" s="1" t="s">
        <v>38</v>
      </c>
      <c r="H1214" s="1" t="s">
        <v>26</v>
      </c>
      <c r="I1214" s="6">
        <v>44197</v>
      </c>
      <c r="J1214" s="7">
        <v>44348</v>
      </c>
      <c r="K1214" s="1">
        <v>5</v>
      </c>
      <c r="L1214" s="1" t="s">
        <v>27</v>
      </c>
      <c r="M1214" s="1" t="s">
        <v>28</v>
      </c>
      <c r="N1214" s="1" t="s">
        <v>173</v>
      </c>
      <c r="O1214" s="1" t="s">
        <v>55</v>
      </c>
      <c r="P1214" s="29">
        <v>33812.92</v>
      </c>
      <c r="Q1214" s="1" t="s">
        <v>204</v>
      </c>
      <c r="R1214" s="1">
        <v>8</v>
      </c>
      <c r="S1214" s="1">
        <v>375</v>
      </c>
      <c r="T1214" s="1">
        <v>30.2</v>
      </c>
      <c r="U1214" s="1" t="s">
        <v>44</v>
      </c>
      <c r="V1214" s="17" t="s">
        <v>33</v>
      </c>
    </row>
    <row r="1215" spans="1:22" ht="15" customHeight="1" x14ac:dyDescent="0.25">
      <c r="A1215" s="16" t="s">
        <v>2310</v>
      </c>
      <c r="B1215" s="3" t="s">
        <v>2311</v>
      </c>
      <c r="C1215">
        <v>91</v>
      </c>
      <c r="D1215" s="3" t="s">
        <v>36</v>
      </c>
      <c r="E1215" s="3" t="s">
        <v>23</v>
      </c>
      <c r="F1215" s="3" t="s">
        <v>70</v>
      </c>
      <c r="G1215" s="3" t="s">
        <v>1502</v>
      </c>
      <c r="H1215" s="3" t="s">
        <v>26</v>
      </c>
      <c r="I1215" s="8">
        <v>45154</v>
      </c>
      <c r="J1215" s="8">
        <v>45161</v>
      </c>
      <c r="K1215" s="3">
        <v>7</v>
      </c>
      <c r="L1215" s="3" t="s">
        <v>89</v>
      </c>
      <c r="M1215" s="3" t="s">
        <v>90</v>
      </c>
      <c r="N1215" s="3" t="s">
        <v>54</v>
      </c>
      <c r="O1215" s="3" t="s">
        <v>104</v>
      </c>
      <c r="P1215" s="30">
        <v>42128.21</v>
      </c>
      <c r="Q1215" s="3" t="s">
        <v>351</v>
      </c>
      <c r="R1215" s="3">
        <v>8</v>
      </c>
      <c r="S1215" s="3">
        <v>380</v>
      </c>
      <c r="T1215" s="3">
        <v>31.4</v>
      </c>
      <c r="U1215" s="3" t="s">
        <v>32</v>
      </c>
      <c r="V1215" s="18" t="s">
        <v>33</v>
      </c>
    </row>
    <row r="1216" spans="1:22" ht="15" customHeight="1" x14ac:dyDescent="0.25">
      <c r="A1216" s="15" t="s">
        <v>2312</v>
      </c>
      <c r="B1216" s="1" t="s">
        <v>2127</v>
      </c>
      <c r="C1216">
        <v>48</v>
      </c>
      <c r="D1216" s="1" t="s">
        <v>98</v>
      </c>
      <c r="E1216" s="1" t="s">
        <v>23</v>
      </c>
      <c r="F1216" s="1" t="s">
        <v>99</v>
      </c>
      <c r="G1216" s="1" t="s">
        <v>163</v>
      </c>
      <c r="H1216" s="1" t="s">
        <v>51</v>
      </c>
      <c r="I1216" s="6">
        <v>43614</v>
      </c>
      <c r="J1216" s="7">
        <v>43618</v>
      </c>
      <c r="K1216" s="1">
        <v>4</v>
      </c>
      <c r="L1216" s="1" t="s">
        <v>122</v>
      </c>
      <c r="M1216" s="1" t="s">
        <v>40</v>
      </c>
      <c r="N1216" s="1" t="s">
        <v>164</v>
      </c>
      <c r="O1216" s="1" t="s">
        <v>42</v>
      </c>
      <c r="P1216" s="29">
        <v>19214.740000000002</v>
      </c>
      <c r="Q1216" s="1" t="s">
        <v>62</v>
      </c>
      <c r="R1216" s="1">
        <v>5</v>
      </c>
      <c r="S1216" s="1">
        <v>183</v>
      </c>
      <c r="T1216" s="1">
        <v>27.3</v>
      </c>
      <c r="U1216" s="1" t="s">
        <v>32</v>
      </c>
      <c r="V1216" s="17" t="s">
        <v>33</v>
      </c>
    </row>
    <row r="1217" spans="1:22" ht="15" customHeight="1" x14ac:dyDescent="0.25">
      <c r="A1217" s="16" t="s">
        <v>2313</v>
      </c>
      <c r="B1217" s="3" t="s">
        <v>2314</v>
      </c>
      <c r="C1217">
        <v>65</v>
      </c>
      <c r="D1217" s="3" t="s">
        <v>82</v>
      </c>
      <c r="E1217" s="3" t="s">
        <v>48</v>
      </c>
      <c r="F1217" s="3" t="s">
        <v>155</v>
      </c>
      <c r="G1217" s="3" t="s">
        <v>163</v>
      </c>
      <c r="H1217" s="3" t="s">
        <v>51</v>
      </c>
      <c r="I1217" s="8">
        <v>45340</v>
      </c>
      <c r="J1217" s="8">
        <v>45347</v>
      </c>
      <c r="K1217" s="3">
        <v>7</v>
      </c>
      <c r="L1217" s="3" t="s">
        <v>112</v>
      </c>
      <c r="M1217" s="3" t="s">
        <v>40</v>
      </c>
      <c r="N1217" s="3" t="s">
        <v>346</v>
      </c>
      <c r="O1217" s="3" t="s">
        <v>30</v>
      </c>
      <c r="P1217" s="30">
        <v>29755</v>
      </c>
      <c r="Q1217" s="3" t="s">
        <v>234</v>
      </c>
      <c r="R1217" s="3">
        <v>6</v>
      </c>
      <c r="S1217" s="3">
        <v>185</v>
      </c>
      <c r="T1217" s="3">
        <v>27.3</v>
      </c>
      <c r="U1217" s="3" t="s">
        <v>32</v>
      </c>
      <c r="V1217" s="18" t="s">
        <v>45</v>
      </c>
    </row>
    <row r="1218" spans="1:22" ht="15" customHeight="1" x14ac:dyDescent="0.25">
      <c r="A1218" s="15" t="s">
        <v>2315</v>
      </c>
      <c r="B1218" s="2" t="s">
        <v>2311</v>
      </c>
      <c r="C1218">
        <v>26</v>
      </c>
      <c r="D1218" s="1" t="s">
        <v>47</v>
      </c>
      <c r="E1218" s="1" t="s">
        <v>23</v>
      </c>
      <c r="F1218" s="1" t="s">
        <v>99</v>
      </c>
      <c r="G1218" s="1" t="s">
        <v>50</v>
      </c>
      <c r="H1218" s="1" t="s">
        <v>78</v>
      </c>
      <c r="I1218" s="7">
        <v>45188</v>
      </c>
      <c r="J1218" s="7">
        <v>45198</v>
      </c>
      <c r="K1218" s="1">
        <v>10</v>
      </c>
      <c r="L1218" s="1" t="s">
        <v>122</v>
      </c>
      <c r="M1218" s="1" t="s">
        <v>40</v>
      </c>
      <c r="N1218" s="1" t="s">
        <v>116</v>
      </c>
      <c r="O1218" s="1" t="s">
        <v>104</v>
      </c>
      <c r="P1218" s="29">
        <v>22153.03</v>
      </c>
      <c r="Q1218" s="1" t="s">
        <v>194</v>
      </c>
      <c r="R1218" s="1">
        <v>9</v>
      </c>
      <c r="S1218" s="1">
        <v>107</v>
      </c>
      <c r="T1218" s="1">
        <v>28.6</v>
      </c>
      <c r="U1218" s="1" t="s">
        <v>44</v>
      </c>
      <c r="V1218" s="17" t="s">
        <v>33</v>
      </c>
    </row>
    <row r="1219" spans="1:22" ht="15" customHeight="1" x14ac:dyDescent="0.25">
      <c r="A1219" s="16" t="s">
        <v>2316</v>
      </c>
      <c r="B1219" s="3" t="s">
        <v>2317</v>
      </c>
      <c r="C1219">
        <v>73</v>
      </c>
      <c r="D1219" s="3" t="s">
        <v>82</v>
      </c>
      <c r="E1219" s="3" t="s">
        <v>48</v>
      </c>
      <c r="F1219" s="3" t="s">
        <v>99</v>
      </c>
      <c r="G1219" s="3" t="s">
        <v>131</v>
      </c>
      <c r="H1219" s="3" t="s">
        <v>78</v>
      </c>
      <c r="I1219" s="8">
        <v>45599</v>
      </c>
      <c r="J1219" s="8">
        <v>45612</v>
      </c>
      <c r="K1219" s="3">
        <v>13</v>
      </c>
      <c r="L1219" s="3" t="s">
        <v>27</v>
      </c>
      <c r="M1219" s="3" t="s">
        <v>28</v>
      </c>
      <c r="N1219" s="3" t="s">
        <v>133</v>
      </c>
      <c r="O1219" s="3" t="s">
        <v>104</v>
      </c>
      <c r="P1219" s="30">
        <v>27137.65</v>
      </c>
      <c r="Q1219" s="3" t="s">
        <v>148</v>
      </c>
      <c r="R1219" s="3">
        <v>7</v>
      </c>
      <c r="S1219" s="3">
        <v>437</v>
      </c>
      <c r="T1219" s="3">
        <v>22.4</v>
      </c>
      <c r="U1219" s="3" t="s">
        <v>32</v>
      </c>
      <c r="V1219" s="18" t="s">
        <v>45</v>
      </c>
    </row>
    <row r="1220" spans="1:22" ht="15" customHeight="1" x14ac:dyDescent="0.25">
      <c r="A1220" s="15" t="s">
        <v>2318</v>
      </c>
      <c r="B1220" s="1" t="s">
        <v>2319</v>
      </c>
      <c r="C1220">
        <v>59</v>
      </c>
      <c r="D1220" s="1" t="s">
        <v>59</v>
      </c>
      <c r="E1220" s="1" t="s">
        <v>23</v>
      </c>
      <c r="F1220" s="1" t="s">
        <v>76</v>
      </c>
      <c r="G1220" s="1" t="s">
        <v>60</v>
      </c>
      <c r="H1220" s="1" t="s">
        <v>51</v>
      </c>
      <c r="I1220" s="7">
        <v>45617</v>
      </c>
      <c r="J1220" s="7">
        <v>45619</v>
      </c>
      <c r="K1220" s="1">
        <v>2</v>
      </c>
      <c r="L1220" s="1" t="s">
        <v>112</v>
      </c>
      <c r="M1220" s="1" t="s">
        <v>40</v>
      </c>
      <c r="N1220" s="1" t="s">
        <v>103</v>
      </c>
      <c r="O1220" s="1" t="s">
        <v>42</v>
      </c>
      <c r="P1220" s="29">
        <v>37577.4</v>
      </c>
      <c r="Q1220" s="1" t="s">
        <v>137</v>
      </c>
      <c r="R1220" s="1">
        <v>6</v>
      </c>
      <c r="S1220" s="1">
        <v>165</v>
      </c>
      <c r="T1220" s="1">
        <v>20.7</v>
      </c>
      <c r="U1220" s="1" t="s">
        <v>86</v>
      </c>
      <c r="V1220" s="17" t="s">
        <v>33</v>
      </c>
    </row>
    <row r="1221" spans="1:22" ht="15" customHeight="1" x14ac:dyDescent="0.25">
      <c r="A1221" s="16" t="s">
        <v>2320</v>
      </c>
      <c r="B1221" s="3" t="s">
        <v>1279</v>
      </c>
      <c r="C1221">
        <v>56</v>
      </c>
      <c r="D1221" s="3" t="s">
        <v>59</v>
      </c>
      <c r="E1221" s="3" t="s">
        <v>23</v>
      </c>
      <c r="F1221" s="2" t="s">
        <v>3714</v>
      </c>
      <c r="G1221" s="3" t="s">
        <v>50</v>
      </c>
      <c r="H1221" s="3" t="s">
        <v>51</v>
      </c>
      <c r="I1221" s="6">
        <v>43736</v>
      </c>
      <c r="J1221" s="8">
        <v>43534</v>
      </c>
      <c r="K1221" s="3">
        <v>5</v>
      </c>
      <c r="L1221" s="3" t="s">
        <v>112</v>
      </c>
      <c r="M1221" s="3" t="s">
        <v>40</v>
      </c>
      <c r="N1221" s="3" t="s">
        <v>116</v>
      </c>
      <c r="O1221" s="3" t="s">
        <v>42</v>
      </c>
      <c r="P1221" s="30">
        <v>38215.32</v>
      </c>
      <c r="Q1221" s="3" t="s">
        <v>279</v>
      </c>
      <c r="R1221" s="3">
        <v>9</v>
      </c>
      <c r="S1221" s="3">
        <v>160</v>
      </c>
      <c r="T1221" s="3">
        <v>24.9</v>
      </c>
      <c r="U1221" s="3" t="s">
        <v>86</v>
      </c>
      <c r="V1221" s="18" t="s">
        <v>33</v>
      </c>
    </row>
    <row r="1222" spans="1:22" ht="15" customHeight="1" x14ac:dyDescent="0.25">
      <c r="A1222" s="15" t="s">
        <v>2321</v>
      </c>
      <c r="B1222" s="1" t="s">
        <v>2322</v>
      </c>
      <c r="C1222">
        <v>59</v>
      </c>
      <c r="D1222" s="1" t="s">
        <v>59</v>
      </c>
      <c r="E1222" s="1" t="s">
        <v>23</v>
      </c>
      <c r="F1222" s="1" t="s">
        <v>76</v>
      </c>
      <c r="G1222" s="1" t="s">
        <v>50</v>
      </c>
      <c r="H1222" s="1" t="s">
        <v>26</v>
      </c>
      <c r="I1222" s="6">
        <v>44303</v>
      </c>
      <c r="J1222" s="10"/>
      <c r="K1222" s="1"/>
      <c r="L1222" s="1" t="s">
        <v>185</v>
      </c>
      <c r="M1222" s="1" t="s">
        <v>186</v>
      </c>
      <c r="N1222" s="1" t="s">
        <v>126</v>
      </c>
      <c r="O1222" s="1" t="s">
        <v>42</v>
      </c>
      <c r="P1222" s="29">
        <v>97851.57</v>
      </c>
      <c r="Q1222" s="1" t="s">
        <v>351</v>
      </c>
      <c r="R1222" s="1">
        <v>7</v>
      </c>
      <c r="S1222" s="1">
        <v>334</v>
      </c>
      <c r="T1222" s="1">
        <v>22.7</v>
      </c>
      <c r="U1222" s="1" t="s">
        <v>86</v>
      </c>
      <c r="V1222" s="17" t="s">
        <v>33</v>
      </c>
    </row>
    <row r="1223" spans="1:22" ht="15" customHeight="1" x14ac:dyDescent="0.25">
      <c r="A1223" s="16" t="s">
        <v>2323</v>
      </c>
      <c r="B1223" s="3" t="s">
        <v>2324</v>
      </c>
      <c r="C1223">
        <v>38</v>
      </c>
      <c r="D1223" s="3" t="s">
        <v>98</v>
      </c>
      <c r="E1223" s="3" t="s">
        <v>23</v>
      </c>
      <c r="F1223" s="3" t="s">
        <v>155</v>
      </c>
      <c r="G1223" s="3" t="s">
        <v>163</v>
      </c>
      <c r="H1223" s="3" t="s">
        <v>26</v>
      </c>
      <c r="I1223" s="8">
        <v>45558</v>
      </c>
      <c r="J1223" s="8">
        <v>45564</v>
      </c>
      <c r="K1223" s="3">
        <v>6</v>
      </c>
      <c r="L1223" s="3" t="s">
        <v>185</v>
      </c>
      <c r="M1223" s="3" t="s">
        <v>186</v>
      </c>
      <c r="N1223" s="3" t="s">
        <v>346</v>
      </c>
      <c r="O1223" s="3" t="s">
        <v>30</v>
      </c>
      <c r="P1223" s="30">
        <v>54073.52</v>
      </c>
      <c r="Q1223" s="3" t="s">
        <v>382</v>
      </c>
      <c r="R1223" s="3">
        <v>1</v>
      </c>
      <c r="S1223" s="3">
        <v>469</v>
      </c>
      <c r="T1223" s="4"/>
      <c r="U1223" s="3" t="s">
        <v>32</v>
      </c>
      <c r="V1223" s="18" t="s">
        <v>33</v>
      </c>
    </row>
    <row r="1224" spans="1:22" ht="15" customHeight="1" x14ac:dyDescent="0.25">
      <c r="A1224" s="15" t="s">
        <v>2325</v>
      </c>
      <c r="B1224" s="1" t="s">
        <v>1849</v>
      </c>
      <c r="C1224">
        <v>47</v>
      </c>
      <c r="D1224" s="1" t="s">
        <v>98</v>
      </c>
      <c r="E1224" s="1" t="s">
        <v>23</v>
      </c>
      <c r="F1224" s="1" t="s">
        <v>70</v>
      </c>
      <c r="G1224" s="1" t="s">
        <v>163</v>
      </c>
      <c r="H1224" s="1" t="s">
        <v>26</v>
      </c>
      <c r="I1224" s="6">
        <v>45497</v>
      </c>
      <c r="J1224" s="7">
        <v>45504</v>
      </c>
      <c r="K1224" s="1">
        <v>7</v>
      </c>
      <c r="L1224" s="1" t="s">
        <v>231</v>
      </c>
      <c r="M1224" s="1" t="s">
        <v>53</v>
      </c>
      <c r="N1224" s="1" t="s">
        <v>164</v>
      </c>
      <c r="O1224" s="1" t="s">
        <v>30</v>
      </c>
      <c r="P1224" s="29">
        <v>37864.629999999997</v>
      </c>
      <c r="Q1224" s="1" t="s">
        <v>234</v>
      </c>
      <c r="R1224" s="1">
        <v>4</v>
      </c>
      <c r="S1224" s="1">
        <v>299</v>
      </c>
      <c r="T1224" s="1">
        <v>25.1</v>
      </c>
      <c r="U1224" s="1" t="s">
        <v>32</v>
      </c>
      <c r="V1224" s="17" t="s">
        <v>33</v>
      </c>
    </row>
    <row r="1225" spans="1:22" ht="15" customHeight="1" x14ac:dyDescent="0.25">
      <c r="A1225" s="16" t="s">
        <v>2326</v>
      </c>
      <c r="B1225" s="3" t="s">
        <v>2200</v>
      </c>
      <c r="C1225">
        <v>53</v>
      </c>
      <c r="D1225" s="3" t="s">
        <v>98</v>
      </c>
      <c r="E1225" s="3" t="s">
        <v>48</v>
      </c>
      <c r="F1225" s="3" t="s">
        <v>76</v>
      </c>
      <c r="G1225" s="3" t="s">
        <v>131</v>
      </c>
      <c r="H1225" s="3" t="s">
        <v>26</v>
      </c>
      <c r="I1225" s="8">
        <v>45585</v>
      </c>
      <c r="J1225" s="8">
        <v>45587</v>
      </c>
      <c r="K1225" s="3">
        <v>2</v>
      </c>
      <c r="L1225" s="3" t="s">
        <v>132</v>
      </c>
      <c r="M1225" s="3" t="s">
        <v>53</v>
      </c>
      <c r="N1225" s="3" t="s">
        <v>147</v>
      </c>
      <c r="O1225" s="3" t="s">
        <v>66</v>
      </c>
      <c r="P1225" s="30">
        <v>20693.099999999999</v>
      </c>
      <c r="Q1225" s="3" t="s">
        <v>695</v>
      </c>
      <c r="R1225" s="3">
        <v>7</v>
      </c>
      <c r="S1225" s="3">
        <v>382</v>
      </c>
      <c r="T1225" s="3">
        <v>39.700000000000003</v>
      </c>
      <c r="U1225" s="3" t="s">
        <v>86</v>
      </c>
      <c r="V1225" s="18" t="s">
        <v>33</v>
      </c>
    </row>
    <row r="1226" spans="1:22" ht="15" customHeight="1" x14ac:dyDescent="0.25">
      <c r="A1226" s="15" t="s">
        <v>2327</v>
      </c>
      <c r="B1226" s="1" t="s">
        <v>2328</v>
      </c>
      <c r="C1226">
        <v>74</v>
      </c>
      <c r="D1226" s="1" t="s">
        <v>82</v>
      </c>
      <c r="E1226" s="1" t="s">
        <v>48</v>
      </c>
      <c r="F1226" s="1" t="s">
        <v>76</v>
      </c>
      <c r="G1226" s="1" t="s">
        <v>77</v>
      </c>
      <c r="H1226" s="1" t="s">
        <v>26</v>
      </c>
      <c r="I1226" s="7">
        <v>43726</v>
      </c>
      <c r="J1226" s="7">
        <v>43737</v>
      </c>
      <c r="K1226" s="1">
        <v>11</v>
      </c>
      <c r="L1226" s="1" t="s">
        <v>231</v>
      </c>
      <c r="M1226" s="1" t="s">
        <v>53</v>
      </c>
      <c r="N1226" s="1" t="s">
        <v>84</v>
      </c>
      <c r="O1226" s="1" t="s">
        <v>42</v>
      </c>
      <c r="P1226" s="29">
        <v>55679.53</v>
      </c>
      <c r="Q1226" s="1" t="s">
        <v>223</v>
      </c>
      <c r="R1226" s="1">
        <v>10</v>
      </c>
      <c r="S1226" s="1">
        <v>381</v>
      </c>
      <c r="T1226" s="1">
        <v>32.9</v>
      </c>
      <c r="U1226" s="1" t="s">
        <v>32</v>
      </c>
      <c r="V1226" s="17" t="s">
        <v>33</v>
      </c>
    </row>
    <row r="1227" spans="1:22" ht="15" customHeight="1" x14ac:dyDescent="0.25">
      <c r="A1227" s="16" t="s">
        <v>2329</v>
      </c>
      <c r="B1227" s="3" t="s">
        <v>1348</v>
      </c>
      <c r="C1227">
        <v>88</v>
      </c>
      <c r="D1227" s="3" t="s">
        <v>36</v>
      </c>
      <c r="E1227" s="3" t="s">
        <v>23</v>
      </c>
      <c r="F1227" s="3" t="s">
        <v>76</v>
      </c>
      <c r="G1227" s="3" t="s">
        <v>25</v>
      </c>
      <c r="H1227" s="3" t="s">
        <v>51</v>
      </c>
      <c r="I1227" s="8">
        <v>44164</v>
      </c>
      <c r="J1227" s="8">
        <v>44175</v>
      </c>
      <c r="K1227" s="3">
        <v>11</v>
      </c>
      <c r="L1227" s="3" t="s">
        <v>132</v>
      </c>
      <c r="M1227" s="3" t="s">
        <v>53</v>
      </c>
      <c r="N1227" s="3" t="s">
        <v>65</v>
      </c>
      <c r="O1227" s="3" t="s">
        <v>55</v>
      </c>
      <c r="P1227" s="30">
        <v>105050.39</v>
      </c>
      <c r="Q1227" s="3" t="s">
        <v>706</v>
      </c>
      <c r="R1227" s="3">
        <v>12</v>
      </c>
      <c r="S1227" s="3">
        <v>144</v>
      </c>
      <c r="T1227" s="3">
        <v>21.3</v>
      </c>
      <c r="U1227" s="3" t="s">
        <v>32</v>
      </c>
      <c r="V1227" s="18" t="s">
        <v>45</v>
      </c>
    </row>
    <row r="1228" spans="1:22" ht="15" customHeight="1" x14ac:dyDescent="0.25">
      <c r="A1228" s="15" t="s">
        <v>2330</v>
      </c>
      <c r="B1228" s="1" t="s">
        <v>2331</v>
      </c>
      <c r="C1228">
        <v>35</v>
      </c>
      <c r="D1228" s="1" t="s">
        <v>98</v>
      </c>
      <c r="E1228" s="1" t="s">
        <v>23</v>
      </c>
      <c r="F1228" s="1" t="s">
        <v>76</v>
      </c>
      <c r="G1228" s="1" t="s">
        <v>38</v>
      </c>
      <c r="H1228" s="1" t="s">
        <v>26</v>
      </c>
      <c r="I1228" s="6">
        <v>44562</v>
      </c>
      <c r="J1228" s="7">
        <v>44570</v>
      </c>
      <c r="K1228" s="1">
        <v>8</v>
      </c>
      <c r="L1228" s="1" t="s">
        <v>185</v>
      </c>
      <c r="M1228" s="1" t="s">
        <v>186</v>
      </c>
      <c r="N1228" s="1" t="s">
        <v>173</v>
      </c>
      <c r="O1228" s="1" t="s">
        <v>30</v>
      </c>
      <c r="P1228" s="29">
        <v>22080.9</v>
      </c>
      <c r="Q1228" s="1" t="s">
        <v>236</v>
      </c>
      <c r="R1228" s="1">
        <v>7</v>
      </c>
      <c r="S1228" s="1">
        <v>138</v>
      </c>
      <c r="T1228" s="1">
        <v>17.3</v>
      </c>
      <c r="U1228" s="1" t="s">
        <v>32</v>
      </c>
      <c r="V1228" s="17" t="s">
        <v>45</v>
      </c>
    </row>
    <row r="1229" spans="1:22" ht="15" customHeight="1" x14ac:dyDescent="0.25">
      <c r="A1229" s="16" t="s">
        <v>2332</v>
      </c>
      <c r="B1229" s="3" t="s">
        <v>2333</v>
      </c>
      <c r="C1229">
        <v>60</v>
      </c>
      <c r="D1229" s="3" t="s">
        <v>59</v>
      </c>
      <c r="E1229" s="3" t="s">
        <v>23</v>
      </c>
      <c r="F1229" s="3" t="s">
        <v>70</v>
      </c>
      <c r="G1229" s="3" t="s">
        <v>163</v>
      </c>
      <c r="H1229" s="3" t="s">
        <v>26</v>
      </c>
      <c r="I1229" s="8">
        <v>43951</v>
      </c>
      <c r="J1229" s="8">
        <v>43866</v>
      </c>
      <c r="K1229" s="3">
        <v>2</v>
      </c>
      <c r="L1229" s="3" t="s">
        <v>185</v>
      </c>
      <c r="M1229" s="3" t="s">
        <v>186</v>
      </c>
      <c r="N1229" s="3" t="s">
        <v>164</v>
      </c>
      <c r="O1229" s="3" t="s">
        <v>55</v>
      </c>
      <c r="P1229" s="30">
        <v>52517.83</v>
      </c>
      <c r="Q1229" s="3" t="s">
        <v>382</v>
      </c>
      <c r="R1229" s="3">
        <v>4</v>
      </c>
      <c r="S1229" s="3">
        <v>468</v>
      </c>
      <c r="T1229" s="3">
        <v>31.8</v>
      </c>
      <c r="U1229" s="3" t="s">
        <v>32</v>
      </c>
      <c r="V1229" s="18" t="s">
        <v>33</v>
      </c>
    </row>
    <row r="1230" spans="1:22" ht="15" customHeight="1" x14ac:dyDescent="0.25">
      <c r="A1230" s="15" t="s">
        <v>2334</v>
      </c>
      <c r="B1230" s="1" t="s">
        <v>2335</v>
      </c>
      <c r="C1230">
        <v>65</v>
      </c>
      <c r="D1230" s="1" t="s">
        <v>82</v>
      </c>
      <c r="E1230" s="1" t="s">
        <v>48</v>
      </c>
      <c r="F1230" s="1" t="s">
        <v>37</v>
      </c>
      <c r="G1230" s="1" t="s">
        <v>60</v>
      </c>
      <c r="H1230" s="1" t="s">
        <v>51</v>
      </c>
      <c r="I1230" s="6">
        <v>45083</v>
      </c>
      <c r="J1230" s="7">
        <v>45087</v>
      </c>
      <c r="K1230" s="1">
        <v>4</v>
      </c>
      <c r="L1230" s="1" t="s">
        <v>132</v>
      </c>
      <c r="M1230" s="1" t="s">
        <v>53</v>
      </c>
      <c r="N1230" s="1" t="s">
        <v>61</v>
      </c>
      <c r="O1230" s="1" t="s">
        <v>104</v>
      </c>
      <c r="P1230" s="29">
        <v>24625.439999999999</v>
      </c>
      <c r="Q1230" s="1" t="s">
        <v>349</v>
      </c>
      <c r="R1230" s="1">
        <v>6</v>
      </c>
      <c r="S1230" s="1">
        <v>178</v>
      </c>
      <c r="T1230" s="1">
        <v>19.399999999999999</v>
      </c>
      <c r="U1230" s="1" t="s">
        <v>44</v>
      </c>
      <c r="V1230" s="17" t="s">
        <v>33</v>
      </c>
    </row>
    <row r="1231" spans="1:22" ht="15" customHeight="1" x14ac:dyDescent="0.25">
      <c r="A1231" s="16" t="s">
        <v>2336</v>
      </c>
      <c r="B1231" s="3" t="s">
        <v>2337</v>
      </c>
      <c r="C1231">
        <v>50</v>
      </c>
      <c r="D1231" s="3" t="s">
        <v>98</v>
      </c>
      <c r="E1231" s="3" t="s">
        <v>48</v>
      </c>
      <c r="F1231" s="3" t="s">
        <v>70</v>
      </c>
      <c r="G1231" s="3" t="s">
        <v>163</v>
      </c>
      <c r="H1231" s="3" t="s">
        <v>51</v>
      </c>
      <c r="I1231" s="8">
        <v>43517</v>
      </c>
      <c r="J1231" s="8">
        <v>43519</v>
      </c>
      <c r="K1231" s="3">
        <v>2</v>
      </c>
      <c r="L1231" s="3" t="s">
        <v>39</v>
      </c>
      <c r="M1231" s="3" t="s">
        <v>40</v>
      </c>
      <c r="N1231" s="3" t="s">
        <v>164</v>
      </c>
      <c r="O1231" s="3" t="s">
        <v>30</v>
      </c>
      <c r="P1231" s="30">
        <v>11951.04</v>
      </c>
      <c r="Q1231" s="3" t="s">
        <v>234</v>
      </c>
      <c r="R1231" s="3">
        <v>5</v>
      </c>
      <c r="S1231" s="3">
        <v>161</v>
      </c>
      <c r="T1231" s="3">
        <v>25.6</v>
      </c>
      <c r="U1231" s="3" t="s">
        <v>44</v>
      </c>
      <c r="V1231" s="18" t="s">
        <v>33</v>
      </c>
    </row>
    <row r="1232" spans="1:22" ht="15" customHeight="1" x14ac:dyDescent="0.25">
      <c r="A1232" s="15" t="s">
        <v>2338</v>
      </c>
      <c r="B1232" s="1" t="s">
        <v>1082</v>
      </c>
      <c r="C1232">
        <v>68</v>
      </c>
      <c r="D1232" s="1" t="s">
        <v>82</v>
      </c>
      <c r="E1232" s="1" t="s">
        <v>23</v>
      </c>
      <c r="F1232" s="1" t="s">
        <v>37</v>
      </c>
      <c r="G1232" s="1" t="s">
        <v>77</v>
      </c>
      <c r="H1232" s="1" t="s">
        <v>51</v>
      </c>
      <c r="I1232" s="6">
        <v>45447</v>
      </c>
      <c r="J1232" s="7">
        <v>45397</v>
      </c>
      <c r="K1232" s="1">
        <v>9</v>
      </c>
      <c r="L1232" s="1" t="s">
        <v>122</v>
      </c>
      <c r="M1232" s="1" t="s">
        <v>40</v>
      </c>
      <c r="N1232" s="1" t="s">
        <v>94</v>
      </c>
      <c r="O1232" s="1" t="s">
        <v>30</v>
      </c>
      <c r="P1232" s="29">
        <v>40619.629999999997</v>
      </c>
      <c r="Q1232" s="1" t="s">
        <v>181</v>
      </c>
      <c r="R1232" s="1">
        <v>10</v>
      </c>
      <c r="S1232" s="1">
        <v>165</v>
      </c>
      <c r="T1232" s="4"/>
      <c r="U1232" s="1" t="s">
        <v>44</v>
      </c>
      <c r="V1232" s="17" t="s">
        <v>33</v>
      </c>
    </row>
    <row r="1233" spans="1:22" ht="15" customHeight="1" x14ac:dyDescent="0.25">
      <c r="A1233" s="16" t="s">
        <v>2339</v>
      </c>
      <c r="B1233" s="3" t="s">
        <v>794</v>
      </c>
      <c r="C1233">
        <v>64</v>
      </c>
      <c r="D1233" s="3" t="s">
        <v>59</v>
      </c>
      <c r="E1233" s="3" t="s">
        <v>23</v>
      </c>
      <c r="F1233" s="3" t="s">
        <v>24</v>
      </c>
      <c r="G1233" s="3" t="s">
        <v>163</v>
      </c>
      <c r="H1233" s="3" t="s">
        <v>78</v>
      </c>
      <c r="I1233" s="8">
        <v>45070</v>
      </c>
      <c r="J1233" s="8">
        <v>45075</v>
      </c>
      <c r="K1233" s="3">
        <v>5</v>
      </c>
      <c r="L1233" s="3" t="s">
        <v>231</v>
      </c>
      <c r="M1233" s="3" t="s">
        <v>53</v>
      </c>
      <c r="N1233" s="3" t="s">
        <v>213</v>
      </c>
      <c r="O1233" s="3" t="s">
        <v>104</v>
      </c>
      <c r="P1233" s="30">
        <v>13279</v>
      </c>
      <c r="Q1233" s="3" t="s">
        <v>259</v>
      </c>
      <c r="R1233" s="3">
        <v>5</v>
      </c>
      <c r="S1233" s="3">
        <v>108</v>
      </c>
      <c r="T1233" s="3">
        <v>26.1</v>
      </c>
      <c r="U1233" s="3" t="s">
        <v>32</v>
      </c>
      <c r="V1233" s="18" t="s">
        <v>33</v>
      </c>
    </row>
    <row r="1234" spans="1:22" ht="15" customHeight="1" x14ac:dyDescent="0.25">
      <c r="A1234" s="15" t="s">
        <v>2340</v>
      </c>
      <c r="B1234" s="1" t="s">
        <v>2341</v>
      </c>
      <c r="C1234">
        <v>49</v>
      </c>
      <c r="D1234" s="1" t="s">
        <v>98</v>
      </c>
      <c r="E1234" s="1" t="s">
        <v>48</v>
      </c>
      <c r="F1234" s="1" t="s">
        <v>37</v>
      </c>
      <c r="G1234" s="1" t="s">
        <v>50</v>
      </c>
      <c r="H1234" s="1" t="s">
        <v>156</v>
      </c>
      <c r="I1234" s="7">
        <v>44600</v>
      </c>
      <c r="J1234" s="7">
        <v>44611</v>
      </c>
      <c r="K1234" s="1">
        <v>11</v>
      </c>
      <c r="L1234" s="1" t="s">
        <v>102</v>
      </c>
      <c r="M1234" s="1" t="s">
        <v>28</v>
      </c>
      <c r="N1234" s="1" t="s">
        <v>54</v>
      </c>
      <c r="O1234" s="1" t="s">
        <v>104</v>
      </c>
      <c r="P1234" s="29">
        <v>47169.1</v>
      </c>
      <c r="Q1234" s="1" t="s">
        <v>351</v>
      </c>
      <c r="R1234" s="1">
        <v>7</v>
      </c>
      <c r="S1234" s="1">
        <v>438</v>
      </c>
      <c r="T1234" s="1">
        <v>22.2</v>
      </c>
      <c r="U1234" s="1" t="s">
        <v>32</v>
      </c>
      <c r="V1234" s="17" t="s">
        <v>33</v>
      </c>
    </row>
    <row r="1235" spans="1:22" ht="15" customHeight="1" x14ac:dyDescent="0.25">
      <c r="A1235" s="16" t="s">
        <v>2342</v>
      </c>
      <c r="B1235" s="3" t="s">
        <v>2343</v>
      </c>
      <c r="C1235">
        <v>77</v>
      </c>
      <c r="D1235" s="3" t="s">
        <v>36</v>
      </c>
      <c r="E1235" s="3" t="s">
        <v>48</v>
      </c>
      <c r="F1235" s="3" t="s">
        <v>99</v>
      </c>
      <c r="G1235" s="3" t="s">
        <v>77</v>
      </c>
      <c r="H1235" s="3" t="s">
        <v>26</v>
      </c>
      <c r="I1235" s="8">
        <v>43477</v>
      </c>
      <c r="J1235" s="8">
        <v>43750</v>
      </c>
      <c r="K1235" s="3">
        <v>9</v>
      </c>
      <c r="L1235" s="3" t="s">
        <v>185</v>
      </c>
      <c r="M1235" s="3" t="s">
        <v>186</v>
      </c>
      <c r="N1235" s="3" t="s">
        <v>79</v>
      </c>
      <c r="O1235" s="3" t="s">
        <v>104</v>
      </c>
      <c r="P1235" s="30">
        <v>73186.720000000001</v>
      </c>
      <c r="Q1235" s="3" t="s">
        <v>109</v>
      </c>
      <c r="R1235" s="3">
        <v>10</v>
      </c>
      <c r="S1235" s="3">
        <v>311</v>
      </c>
      <c r="T1235" s="3">
        <v>32</v>
      </c>
      <c r="U1235" s="3" t="s">
        <v>44</v>
      </c>
      <c r="V1235" s="18" t="s">
        <v>45</v>
      </c>
    </row>
    <row r="1236" spans="1:22" ht="15" customHeight="1" x14ac:dyDescent="0.25">
      <c r="A1236" s="15" t="s">
        <v>2344</v>
      </c>
      <c r="B1236" s="2" t="s">
        <v>564</v>
      </c>
      <c r="C1236">
        <v>71</v>
      </c>
      <c r="D1236" s="1" t="s">
        <v>82</v>
      </c>
      <c r="E1236" s="1" t="s">
        <v>48</v>
      </c>
      <c r="F1236" s="1" t="s">
        <v>99</v>
      </c>
      <c r="G1236" s="1" t="s">
        <v>25</v>
      </c>
      <c r="H1236" s="1" t="s">
        <v>156</v>
      </c>
      <c r="I1236" s="7">
        <v>43670</v>
      </c>
      <c r="J1236" s="7">
        <v>43807</v>
      </c>
      <c r="K1236" s="1">
        <v>19</v>
      </c>
      <c r="L1236" s="1" t="s">
        <v>52</v>
      </c>
      <c r="M1236" s="1" t="s">
        <v>53</v>
      </c>
      <c r="N1236" s="1" t="s">
        <v>65</v>
      </c>
      <c r="O1236" s="1" t="s">
        <v>104</v>
      </c>
      <c r="P1236" s="29">
        <v>48200.35</v>
      </c>
      <c r="Q1236" s="1" t="s">
        <v>706</v>
      </c>
      <c r="R1236" s="1">
        <v>11</v>
      </c>
      <c r="S1236" s="1">
        <v>340</v>
      </c>
      <c r="T1236" s="1">
        <v>29</v>
      </c>
      <c r="U1236" s="1" t="s">
        <v>86</v>
      </c>
      <c r="V1236" s="17" t="s">
        <v>33</v>
      </c>
    </row>
    <row r="1237" spans="1:22" ht="15" customHeight="1" x14ac:dyDescent="0.25">
      <c r="A1237" s="16" t="s">
        <v>2345</v>
      </c>
      <c r="B1237" s="3" t="s">
        <v>2346</v>
      </c>
      <c r="C1237">
        <v>92</v>
      </c>
      <c r="D1237" s="3" t="s">
        <v>36</v>
      </c>
      <c r="E1237" s="3" t="s">
        <v>23</v>
      </c>
      <c r="F1237" s="3" t="s">
        <v>99</v>
      </c>
      <c r="G1237" s="3" t="s">
        <v>38</v>
      </c>
      <c r="H1237" s="3" t="s">
        <v>78</v>
      </c>
      <c r="I1237" s="8">
        <v>44786</v>
      </c>
      <c r="J1237" s="8">
        <v>44791</v>
      </c>
      <c r="K1237" s="3">
        <v>5</v>
      </c>
      <c r="L1237" s="3" t="s">
        <v>132</v>
      </c>
      <c r="M1237" s="3" t="s">
        <v>53</v>
      </c>
      <c r="N1237" s="3" t="s">
        <v>203</v>
      </c>
      <c r="O1237" s="3" t="s">
        <v>104</v>
      </c>
      <c r="P1237" s="30">
        <v>11859.34</v>
      </c>
      <c r="Q1237" s="3" t="s">
        <v>305</v>
      </c>
      <c r="R1237" s="3">
        <v>5</v>
      </c>
      <c r="S1237" s="3">
        <v>412</v>
      </c>
      <c r="T1237" s="3">
        <v>35.1</v>
      </c>
      <c r="U1237" s="3" t="s">
        <v>44</v>
      </c>
      <c r="V1237" s="18" t="s">
        <v>33</v>
      </c>
    </row>
    <row r="1238" spans="1:22" ht="15" customHeight="1" x14ac:dyDescent="0.25">
      <c r="A1238" s="15" t="s">
        <v>2347</v>
      </c>
      <c r="B1238" s="2" t="s">
        <v>3576</v>
      </c>
      <c r="C1238">
        <v>46</v>
      </c>
      <c r="D1238" s="1" t="s">
        <v>98</v>
      </c>
      <c r="E1238" s="1" t="s">
        <v>23</v>
      </c>
      <c r="F1238" s="1" t="s">
        <v>99</v>
      </c>
      <c r="G1238" s="1" t="s">
        <v>38</v>
      </c>
      <c r="H1238" s="1" t="s">
        <v>51</v>
      </c>
      <c r="I1238" s="6">
        <v>43868</v>
      </c>
      <c r="J1238" s="7">
        <v>44022</v>
      </c>
      <c r="K1238" s="1">
        <v>8</v>
      </c>
      <c r="L1238" s="1" t="s">
        <v>102</v>
      </c>
      <c r="M1238" s="1" t="s">
        <v>28</v>
      </c>
      <c r="N1238" s="1" t="s">
        <v>41</v>
      </c>
      <c r="O1238" s="1" t="s">
        <v>30</v>
      </c>
      <c r="P1238" s="29">
        <v>11275.38</v>
      </c>
      <c r="Q1238" s="1" t="s">
        <v>567</v>
      </c>
      <c r="R1238" s="1">
        <v>5</v>
      </c>
      <c r="S1238" s="1">
        <v>132</v>
      </c>
      <c r="T1238" s="1">
        <v>23.1</v>
      </c>
      <c r="U1238" s="1" t="s">
        <v>44</v>
      </c>
      <c r="V1238" s="17" t="s">
        <v>33</v>
      </c>
    </row>
    <row r="1239" spans="1:22" ht="15" customHeight="1" x14ac:dyDescent="0.25">
      <c r="A1239" s="16" t="s">
        <v>2348</v>
      </c>
      <c r="B1239" s="3" t="s">
        <v>2349</v>
      </c>
      <c r="C1239">
        <v>45</v>
      </c>
      <c r="D1239" s="3" t="s">
        <v>98</v>
      </c>
      <c r="E1239" s="3" t="s">
        <v>48</v>
      </c>
      <c r="F1239" s="3" t="s">
        <v>37</v>
      </c>
      <c r="G1239" s="3" t="s">
        <v>25</v>
      </c>
      <c r="H1239" s="3" t="s">
        <v>51</v>
      </c>
      <c r="I1239" s="8">
        <v>43886</v>
      </c>
      <c r="J1239" s="8">
        <v>43892</v>
      </c>
      <c r="K1239" s="3">
        <v>6</v>
      </c>
      <c r="L1239" s="3" t="s">
        <v>89</v>
      </c>
      <c r="M1239" s="3" t="s">
        <v>90</v>
      </c>
      <c r="N1239" s="3" t="s">
        <v>248</v>
      </c>
      <c r="O1239" s="3" t="s">
        <v>42</v>
      </c>
      <c r="P1239" s="30">
        <v>35958.15</v>
      </c>
      <c r="Q1239" s="3" t="s">
        <v>515</v>
      </c>
      <c r="R1239" s="3">
        <v>12</v>
      </c>
      <c r="S1239" s="3">
        <v>128</v>
      </c>
      <c r="T1239" s="3">
        <v>28.7</v>
      </c>
      <c r="U1239" s="3" t="s">
        <v>44</v>
      </c>
      <c r="V1239" s="18" t="s">
        <v>33</v>
      </c>
    </row>
    <row r="1240" spans="1:22" ht="15" customHeight="1" x14ac:dyDescent="0.25">
      <c r="A1240" s="15" t="s">
        <v>2350</v>
      </c>
      <c r="B1240" s="1" t="s">
        <v>2351</v>
      </c>
      <c r="C1240">
        <v>46</v>
      </c>
      <c r="D1240" s="1" t="s">
        <v>98</v>
      </c>
      <c r="E1240" s="1" t="s">
        <v>48</v>
      </c>
      <c r="F1240" s="1" t="s">
        <v>24</v>
      </c>
      <c r="G1240" s="1" t="s">
        <v>188</v>
      </c>
      <c r="H1240" s="1" t="s">
        <v>26</v>
      </c>
      <c r="I1240" s="6">
        <v>44470</v>
      </c>
      <c r="J1240" s="7">
        <v>44479</v>
      </c>
      <c r="K1240" s="1">
        <v>9</v>
      </c>
      <c r="L1240" s="1" t="s">
        <v>39</v>
      </c>
      <c r="M1240" s="1" t="s">
        <v>40</v>
      </c>
      <c r="N1240" s="1" t="s">
        <v>94</v>
      </c>
      <c r="O1240" s="1" t="s">
        <v>66</v>
      </c>
      <c r="P1240" s="29">
        <v>71541.490000000005</v>
      </c>
      <c r="Q1240" s="1" t="s">
        <v>100</v>
      </c>
      <c r="R1240" s="1">
        <v>10</v>
      </c>
      <c r="S1240" s="1">
        <v>324</v>
      </c>
      <c r="T1240" s="1">
        <v>23.5</v>
      </c>
      <c r="U1240" s="1" t="s">
        <v>44</v>
      </c>
      <c r="V1240" s="17" t="s">
        <v>33</v>
      </c>
    </row>
    <row r="1241" spans="1:22" ht="15" customHeight="1" x14ac:dyDescent="0.25">
      <c r="A1241" s="16" t="s">
        <v>2352</v>
      </c>
      <c r="B1241" s="3" t="s">
        <v>2353</v>
      </c>
      <c r="C1241">
        <v>70</v>
      </c>
      <c r="D1241" s="3" t="s">
        <v>82</v>
      </c>
      <c r="E1241" s="3" t="s">
        <v>48</v>
      </c>
      <c r="F1241" s="3" t="s">
        <v>83</v>
      </c>
      <c r="G1241" s="3" t="s">
        <v>38</v>
      </c>
      <c r="H1241" s="3" t="s">
        <v>26</v>
      </c>
      <c r="I1241" s="8">
        <v>44111</v>
      </c>
      <c r="J1241" s="8">
        <v>44028</v>
      </c>
      <c r="K1241" s="3">
        <v>6</v>
      </c>
      <c r="L1241" s="3" t="s">
        <v>27</v>
      </c>
      <c r="M1241" s="3" t="s">
        <v>28</v>
      </c>
      <c r="N1241" s="3" t="s">
        <v>203</v>
      </c>
      <c r="O1241" s="3" t="s">
        <v>30</v>
      </c>
      <c r="P1241" s="30">
        <v>43328</v>
      </c>
      <c r="Q1241" s="3" t="s">
        <v>567</v>
      </c>
      <c r="R1241" s="3">
        <v>8</v>
      </c>
      <c r="S1241" s="3">
        <v>246</v>
      </c>
      <c r="T1241" s="4"/>
      <c r="U1241" s="3" t="s">
        <v>44</v>
      </c>
      <c r="V1241" s="18" t="s">
        <v>33</v>
      </c>
    </row>
    <row r="1242" spans="1:22" ht="15" customHeight="1" x14ac:dyDescent="0.25">
      <c r="A1242" s="15" t="s">
        <v>2354</v>
      </c>
      <c r="B1242" s="1" t="s">
        <v>2355</v>
      </c>
      <c r="C1242">
        <v>92</v>
      </c>
      <c r="D1242" s="1" t="s">
        <v>36</v>
      </c>
      <c r="E1242" s="1" t="s">
        <v>23</v>
      </c>
      <c r="F1242" s="1" t="s">
        <v>70</v>
      </c>
      <c r="G1242" s="1" t="s">
        <v>163</v>
      </c>
      <c r="H1242" s="1" t="s">
        <v>51</v>
      </c>
      <c r="I1242" s="7">
        <v>45401</v>
      </c>
      <c r="J1242" s="7">
        <v>45403</v>
      </c>
      <c r="K1242" s="1">
        <v>2</v>
      </c>
      <c r="L1242" s="1" t="s">
        <v>185</v>
      </c>
      <c r="M1242" s="1" t="s">
        <v>186</v>
      </c>
      <c r="N1242" s="1" t="s">
        <v>213</v>
      </c>
      <c r="O1242" s="1" t="s">
        <v>30</v>
      </c>
      <c r="P1242" s="29">
        <v>18331.38</v>
      </c>
      <c r="Q1242" s="1" t="s">
        <v>62</v>
      </c>
      <c r="R1242" s="1">
        <v>4</v>
      </c>
      <c r="S1242" s="1">
        <v>142</v>
      </c>
      <c r="T1242" s="1">
        <v>32</v>
      </c>
      <c r="U1242" s="1" t="s">
        <v>32</v>
      </c>
      <c r="V1242" s="17" t="s">
        <v>33</v>
      </c>
    </row>
    <row r="1243" spans="1:22" ht="15" customHeight="1" x14ac:dyDescent="0.25">
      <c r="A1243" s="16" t="s">
        <v>2356</v>
      </c>
      <c r="B1243" s="3" t="s">
        <v>2357</v>
      </c>
      <c r="C1243">
        <v>35</v>
      </c>
      <c r="D1243" s="3" t="s">
        <v>98</v>
      </c>
      <c r="E1243" s="3" t="s">
        <v>23</v>
      </c>
      <c r="F1243" s="3" t="s">
        <v>24</v>
      </c>
      <c r="G1243" s="3" t="s">
        <v>77</v>
      </c>
      <c r="H1243" s="3" t="s">
        <v>26</v>
      </c>
      <c r="I1243" s="8">
        <v>45049</v>
      </c>
      <c r="J1243" s="8">
        <v>45143</v>
      </c>
      <c r="K1243" s="3">
        <v>5</v>
      </c>
      <c r="L1243" s="3" t="s">
        <v>89</v>
      </c>
      <c r="M1243" s="3" t="s">
        <v>90</v>
      </c>
      <c r="N1243" s="3" t="s">
        <v>79</v>
      </c>
      <c r="O1243" s="3" t="s">
        <v>42</v>
      </c>
      <c r="P1243" s="30">
        <v>107159.02</v>
      </c>
      <c r="Q1243" s="3" t="s">
        <v>223</v>
      </c>
      <c r="R1243" s="3">
        <v>10</v>
      </c>
      <c r="S1243" s="3">
        <v>367</v>
      </c>
      <c r="T1243" s="3">
        <v>27.5</v>
      </c>
      <c r="U1243" s="3" t="s">
        <v>32</v>
      </c>
      <c r="V1243" s="18" t="s">
        <v>33</v>
      </c>
    </row>
    <row r="1244" spans="1:22" ht="15" customHeight="1" x14ac:dyDescent="0.25">
      <c r="A1244" s="15" t="s">
        <v>2358</v>
      </c>
      <c r="B1244" s="1" t="s">
        <v>2359</v>
      </c>
      <c r="C1244">
        <v>53</v>
      </c>
      <c r="D1244" s="1" t="s">
        <v>98</v>
      </c>
      <c r="E1244" s="1" t="s">
        <v>23</v>
      </c>
      <c r="F1244" s="1" t="s">
        <v>83</v>
      </c>
      <c r="G1244" s="1" t="s">
        <v>188</v>
      </c>
      <c r="H1244" s="1" t="s">
        <v>26</v>
      </c>
      <c r="I1244" s="6">
        <v>43700</v>
      </c>
      <c r="J1244" s="7">
        <v>43707</v>
      </c>
      <c r="K1244" s="1">
        <v>7</v>
      </c>
      <c r="L1244" s="1" t="s">
        <v>112</v>
      </c>
      <c r="M1244" s="1" t="s">
        <v>40</v>
      </c>
      <c r="N1244" s="1" t="s">
        <v>94</v>
      </c>
      <c r="O1244" s="1" t="s">
        <v>104</v>
      </c>
      <c r="P1244" s="29">
        <v>69491.45</v>
      </c>
      <c r="Q1244" s="1" t="s">
        <v>91</v>
      </c>
      <c r="R1244" s="1">
        <v>9</v>
      </c>
      <c r="S1244" s="1">
        <v>378</v>
      </c>
      <c r="T1244" s="4"/>
      <c r="U1244" s="1" t="s">
        <v>44</v>
      </c>
      <c r="V1244" s="17" t="s">
        <v>45</v>
      </c>
    </row>
    <row r="1245" spans="1:22" ht="15" customHeight="1" x14ac:dyDescent="0.25">
      <c r="A1245" s="16" t="s">
        <v>2360</v>
      </c>
      <c r="B1245" s="3" t="s">
        <v>1968</v>
      </c>
      <c r="C1245">
        <v>73</v>
      </c>
      <c r="D1245" s="3" t="s">
        <v>82</v>
      </c>
      <c r="E1245" s="3" t="s">
        <v>48</v>
      </c>
      <c r="F1245" s="3" t="s">
        <v>99</v>
      </c>
      <c r="G1245" s="3" t="s">
        <v>60</v>
      </c>
      <c r="H1245" s="3" t="s">
        <v>26</v>
      </c>
      <c r="I1245" s="6">
        <v>44167</v>
      </c>
      <c r="J1245" s="8">
        <v>43878</v>
      </c>
      <c r="K1245" s="3">
        <v>5</v>
      </c>
      <c r="L1245" s="3" t="s">
        <v>27</v>
      </c>
      <c r="M1245" s="3" t="s">
        <v>28</v>
      </c>
      <c r="N1245" s="3" t="s">
        <v>210</v>
      </c>
      <c r="O1245" s="3" t="s">
        <v>30</v>
      </c>
      <c r="P1245" s="30">
        <v>38298.67</v>
      </c>
      <c r="Q1245" s="3" t="s">
        <v>105</v>
      </c>
      <c r="R1245" s="3">
        <v>6</v>
      </c>
      <c r="S1245" s="3">
        <v>207</v>
      </c>
      <c r="T1245" s="3">
        <v>25</v>
      </c>
      <c r="U1245" s="3" t="s">
        <v>32</v>
      </c>
      <c r="V1245" s="18" t="s">
        <v>33</v>
      </c>
    </row>
    <row r="1246" spans="1:22" ht="15" customHeight="1" x14ac:dyDescent="0.25">
      <c r="A1246" s="15" t="s">
        <v>2361</v>
      </c>
      <c r="B1246" s="1" t="s">
        <v>2362</v>
      </c>
      <c r="C1246">
        <v>50</v>
      </c>
      <c r="D1246" s="1" t="s">
        <v>98</v>
      </c>
      <c r="E1246" s="1" t="s">
        <v>48</v>
      </c>
      <c r="F1246" s="1" t="s">
        <v>155</v>
      </c>
      <c r="G1246" s="1" t="s">
        <v>50</v>
      </c>
      <c r="H1246" s="1" t="s">
        <v>26</v>
      </c>
      <c r="I1246" s="7">
        <v>45531</v>
      </c>
      <c r="J1246" s="7">
        <v>45536</v>
      </c>
      <c r="K1246" s="1">
        <v>5</v>
      </c>
      <c r="L1246" s="1" t="s">
        <v>231</v>
      </c>
      <c r="M1246" s="1" t="s">
        <v>53</v>
      </c>
      <c r="N1246" s="1" t="s">
        <v>126</v>
      </c>
      <c r="O1246" s="1" t="s">
        <v>42</v>
      </c>
      <c r="P1246" s="29">
        <v>65445.14</v>
      </c>
      <c r="Q1246" s="1" t="s">
        <v>56</v>
      </c>
      <c r="R1246" s="1">
        <v>9</v>
      </c>
      <c r="S1246" s="1">
        <v>395</v>
      </c>
      <c r="T1246" s="1">
        <v>29.5</v>
      </c>
      <c r="U1246" s="1" t="s">
        <v>32</v>
      </c>
      <c r="V1246" s="17" t="s">
        <v>33</v>
      </c>
    </row>
    <row r="1247" spans="1:22" ht="15" customHeight="1" x14ac:dyDescent="0.25">
      <c r="A1247" s="16" t="s">
        <v>2363</v>
      </c>
      <c r="B1247" s="3" t="s">
        <v>1150</v>
      </c>
      <c r="C1247">
        <v>68</v>
      </c>
      <c r="D1247" s="3" t="s">
        <v>82</v>
      </c>
      <c r="E1247" s="3" t="s">
        <v>23</v>
      </c>
      <c r="F1247" s="2" t="s">
        <v>155</v>
      </c>
      <c r="G1247" s="3" t="s">
        <v>163</v>
      </c>
      <c r="H1247" s="3" t="s">
        <v>26</v>
      </c>
      <c r="I1247" s="8">
        <v>44336</v>
      </c>
      <c r="J1247" s="8">
        <v>44344</v>
      </c>
      <c r="K1247" s="3">
        <v>8</v>
      </c>
      <c r="L1247" s="3" t="s">
        <v>132</v>
      </c>
      <c r="M1247" s="3" t="s">
        <v>53</v>
      </c>
      <c r="N1247" s="3" t="s">
        <v>164</v>
      </c>
      <c r="O1247" s="3" t="s">
        <v>30</v>
      </c>
      <c r="P1247" s="30">
        <v>33253.15</v>
      </c>
      <c r="Q1247" s="3" t="s">
        <v>165</v>
      </c>
      <c r="R1247" s="3">
        <v>3</v>
      </c>
      <c r="S1247" s="3">
        <v>233</v>
      </c>
      <c r="T1247" s="3">
        <v>27</v>
      </c>
      <c r="U1247" s="3" t="s">
        <v>32</v>
      </c>
      <c r="V1247" s="18" t="s">
        <v>33</v>
      </c>
    </row>
    <row r="1248" spans="1:22" ht="15" customHeight="1" x14ac:dyDescent="0.25">
      <c r="A1248" s="15" t="s">
        <v>2364</v>
      </c>
      <c r="B1248" s="1" t="s">
        <v>2365</v>
      </c>
      <c r="C1248">
        <v>63</v>
      </c>
      <c r="D1248" s="1" t="s">
        <v>59</v>
      </c>
      <c r="E1248" s="1" t="s">
        <v>48</v>
      </c>
      <c r="F1248" s="1" t="s">
        <v>49</v>
      </c>
      <c r="G1248" s="1" t="s">
        <v>77</v>
      </c>
      <c r="H1248" s="1" t="s">
        <v>26</v>
      </c>
      <c r="I1248" s="7">
        <v>44206</v>
      </c>
      <c r="J1248" s="7">
        <v>44222</v>
      </c>
      <c r="K1248" s="1">
        <v>16</v>
      </c>
      <c r="L1248" s="1" t="s">
        <v>231</v>
      </c>
      <c r="M1248" s="1" t="s">
        <v>53</v>
      </c>
      <c r="N1248" s="1" t="s">
        <v>216</v>
      </c>
      <c r="O1248" s="1" t="s">
        <v>30</v>
      </c>
      <c r="P1248" s="29">
        <v>70031.75</v>
      </c>
      <c r="Q1248" s="1" t="s">
        <v>80</v>
      </c>
      <c r="R1248" s="1">
        <v>10</v>
      </c>
      <c r="S1248" s="1">
        <v>396</v>
      </c>
      <c r="T1248" s="1">
        <v>36.1</v>
      </c>
      <c r="U1248" s="1" t="s">
        <v>86</v>
      </c>
      <c r="V1248" s="17" t="s">
        <v>45</v>
      </c>
    </row>
    <row r="1249" spans="1:22" ht="15" customHeight="1" x14ac:dyDescent="0.25">
      <c r="A1249" s="16" t="s">
        <v>2366</v>
      </c>
      <c r="B1249" s="3" t="s">
        <v>2367</v>
      </c>
      <c r="C1249">
        <v>76</v>
      </c>
      <c r="D1249" s="3" t="s">
        <v>36</v>
      </c>
      <c r="E1249" s="3" t="s">
        <v>48</v>
      </c>
      <c r="F1249" s="3" t="s">
        <v>24</v>
      </c>
      <c r="G1249" s="3" t="s">
        <v>163</v>
      </c>
      <c r="H1249" s="3" t="s">
        <v>51</v>
      </c>
      <c r="I1249" s="6">
        <v>43495</v>
      </c>
      <c r="J1249" s="8">
        <v>43467</v>
      </c>
      <c r="K1249" s="3">
        <v>2</v>
      </c>
      <c r="L1249" s="3" t="s">
        <v>112</v>
      </c>
      <c r="M1249" s="3" t="s">
        <v>40</v>
      </c>
      <c r="N1249" s="3" t="s">
        <v>164</v>
      </c>
      <c r="O1249" s="3" t="s">
        <v>30</v>
      </c>
      <c r="P1249" s="30">
        <v>62101.65</v>
      </c>
      <c r="Q1249" s="3" t="s">
        <v>382</v>
      </c>
      <c r="R1249" s="3">
        <v>6</v>
      </c>
      <c r="S1249" s="3">
        <v>139</v>
      </c>
      <c r="T1249" s="3">
        <v>25.5</v>
      </c>
      <c r="U1249" s="3" t="s">
        <v>86</v>
      </c>
      <c r="V1249" s="18" t="s">
        <v>33</v>
      </c>
    </row>
    <row r="1250" spans="1:22" ht="15" customHeight="1" x14ac:dyDescent="0.25">
      <c r="A1250" s="15" t="s">
        <v>2368</v>
      </c>
      <c r="B1250" s="1" t="s">
        <v>2369</v>
      </c>
      <c r="C1250">
        <v>46</v>
      </c>
      <c r="D1250" s="1" t="s">
        <v>98</v>
      </c>
      <c r="E1250" s="1" t="s">
        <v>48</v>
      </c>
      <c r="F1250" s="1" t="s">
        <v>99</v>
      </c>
      <c r="G1250" s="1" t="s">
        <v>188</v>
      </c>
      <c r="H1250" s="1" t="s">
        <v>26</v>
      </c>
      <c r="I1250" s="6">
        <v>44079</v>
      </c>
      <c r="J1250" s="7">
        <v>44089</v>
      </c>
      <c r="K1250" s="1">
        <v>10</v>
      </c>
      <c r="L1250" s="1" t="s">
        <v>112</v>
      </c>
      <c r="M1250" s="1" t="s">
        <v>40</v>
      </c>
      <c r="N1250" s="1" t="s">
        <v>94</v>
      </c>
      <c r="O1250" s="1" t="s">
        <v>30</v>
      </c>
      <c r="P1250" s="29">
        <v>53285.71</v>
      </c>
      <c r="Q1250" s="1" t="s">
        <v>592</v>
      </c>
      <c r="R1250" s="1">
        <v>10</v>
      </c>
      <c r="S1250" s="1">
        <v>340</v>
      </c>
      <c r="T1250" s="1">
        <v>46.2</v>
      </c>
      <c r="U1250" s="1" t="s">
        <v>32</v>
      </c>
      <c r="V1250" s="17" t="s">
        <v>33</v>
      </c>
    </row>
    <row r="1251" spans="1:22" ht="15" customHeight="1" x14ac:dyDescent="0.25">
      <c r="A1251" s="16" t="s">
        <v>2370</v>
      </c>
      <c r="B1251" s="3" t="s">
        <v>111</v>
      </c>
      <c r="C1251">
        <v>61</v>
      </c>
      <c r="D1251" s="3" t="s">
        <v>59</v>
      </c>
      <c r="E1251" s="3" t="s">
        <v>23</v>
      </c>
      <c r="F1251" s="3" t="s">
        <v>99</v>
      </c>
      <c r="G1251" s="3" t="s">
        <v>50</v>
      </c>
      <c r="H1251" s="3" t="s">
        <v>26</v>
      </c>
      <c r="I1251" s="6">
        <v>44140</v>
      </c>
      <c r="J1251" s="8">
        <v>43968</v>
      </c>
      <c r="K1251" s="3">
        <v>6</v>
      </c>
      <c r="L1251" s="3" t="s">
        <v>185</v>
      </c>
      <c r="M1251" s="3" t="s">
        <v>186</v>
      </c>
      <c r="N1251" s="3" t="s">
        <v>126</v>
      </c>
      <c r="O1251" s="3" t="s">
        <v>42</v>
      </c>
      <c r="P1251" s="30">
        <v>90947.46</v>
      </c>
      <c r="Q1251" s="3" t="s">
        <v>194</v>
      </c>
      <c r="R1251" s="3">
        <v>5</v>
      </c>
      <c r="S1251" s="3">
        <v>336</v>
      </c>
      <c r="T1251" s="3">
        <v>14.7</v>
      </c>
      <c r="U1251" s="3" t="s">
        <v>32</v>
      </c>
      <c r="V1251" s="18" t="s">
        <v>33</v>
      </c>
    </row>
    <row r="1252" spans="1:22" ht="15" customHeight="1" x14ac:dyDescent="0.25">
      <c r="A1252" s="15" t="s">
        <v>2371</v>
      </c>
      <c r="B1252" s="2" t="s">
        <v>2086</v>
      </c>
      <c r="C1252">
        <v>75</v>
      </c>
      <c r="D1252" s="1" t="s">
        <v>36</v>
      </c>
      <c r="E1252" s="1" t="s">
        <v>23</v>
      </c>
      <c r="F1252" s="1" t="s">
        <v>37</v>
      </c>
      <c r="G1252" s="1" t="s">
        <v>50</v>
      </c>
      <c r="H1252" s="1" t="s">
        <v>78</v>
      </c>
      <c r="I1252" s="6">
        <v>43494</v>
      </c>
      <c r="J1252" s="7">
        <v>43587</v>
      </c>
      <c r="K1252" s="1">
        <v>7</v>
      </c>
      <c r="L1252" s="1" t="s">
        <v>39</v>
      </c>
      <c r="M1252" s="1" t="s">
        <v>40</v>
      </c>
      <c r="N1252" s="1" t="s">
        <v>126</v>
      </c>
      <c r="O1252" s="1" t="s">
        <v>30</v>
      </c>
      <c r="P1252" s="29">
        <v>46377.39</v>
      </c>
      <c r="Q1252" s="1" t="s">
        <v>552</v>
      </c>
      <c r="R1252" s="1">
        <v>7</v>
      </c>
      <c r="S1252" s="1">
        <v>426</v>
      </c>
      <c r="T1252" s="1">
        <v>31</v>
      </c>
      <c r="U1252" s="1" t="s">
        <v>44</v>
      </c>
      <c r="V1252" s="17" t="s">
        <v>45</v>
      </c>
    </row>
    <row r="1253" spans="1:22" ht="15" customHeight="1" x14ac:dyDescent="0.25">
      <c r="A1253" s="16" t="s">
        <v>2372</v>
      </c>
      <c r="B1253" s="2" t="s">
        <v>3657</v>
      </c>
      <c r="C1253">
        <v>71</v>
      </c>
      <c r="D1253" s="3" t="s">
        <v>82</v>
      </c>
      <c r="E1253" s="3" t="s">
        <v>23</v>
      </c>
      <c r="F1253" s="3" t="s">
        <v>49</v>
      </c>
      <c r="G1253" s="3" t="s">
        <v>77</v>
      </c>
      <c r="H1253" s="3" t="s">
        <v>26</v>
      </c>
      <c r="I1253" s="8">
        <v>43588</v>
      </c>
      <c r="J1253" s="8">
        <v>43608</v>
      </c>
      <c r="K1253" s="3">
        <v>20</v>
      </c>
      <c r="L1253" s="3" t="s">
        <v>122</v>
      </c>
      <c r="M1253" s="3" t="s">
        <v>40</v>
      </c>
      <c r="N1253" s="3" t="s">
        <v>94</v>
      </c>
      <c r="O1253" s="3" t="s">
        <v>30</v>
      </c>
      <c r="P1253" s="30">
        <v>54988.73</v>
      </c>
      <c r="Q1253" s="3" t="s">
        <v>91</v>
      </c>
      <c r="R1253" s="3">
        <v>10</v>
      </c>
      <c r="S1253" s="3">
        <v>337</v>
      </c>
      <c r="T1253" s="3">
        <v>32.6</v>
      </c>
      <c r="U1253" s="3" t="s">
        <v>44</v>
      </c>
      <c r="V1253" s="18" t="s">
        <v>33</v>
      </c>
    </row>
    <row r="1254" spans="1:22" ht="15" customHeight="1" x14ac:dyDescent="0.25">
      <c r="A1254" s="15" t="s">
        <v>2373</v>
      </c>
      <c r="B1254" s="1" t="s">
        <v>2374</v>
      </c>
      <c r="C1254">
        <v>63</v>
      </c>
      <c r="D1254" s="1" t="s">
        <v>59</v>
      </c>
      <c r="E1254" s="1" t="s">
        <v>48</v>
      </c>
      <c r="F1254" s="1" t="s">
        <v>99</v>
      </c>
      <c r="G1254" s="1" t="s">
        <v>25</v>
      </c>
      <c r="H1254" s="1" t="s">
        <v>51</v>
      </c>
      <c r="I1254" s="7">
        <v>45393</v>
      </c>
      <c r="J1254" s="7">
        <v>45398</v>
      </c>
      <c r="K1254" s="1">
        <v>5</v>
      </c>
      <c r="L1254" s="1" t="s">
        <v>122</v>
      </c>
      <c r="M1254" s="1" t="s">
        <v>40</v>
      </c>
      <c r="N1254" s="1" t="s">
        <v>248</v>
      </c>
      <c r="O1254" s="1" t="s">
        <v>66</v>
      </c>
      <c r="P1254" s="29">
        <v>112215.22</v>
      </c>
      <c r="Q1254" s="1" t="s">
        <v>67</v>
      </c>
      <c r="R1254" s="1">
        <v>11</v>
      </c>
      <c r="S1254" s="1">
        <v>166</v>
      </c>
      <c r="T1254" s="1">
        <v>18.2</v>
      </c>
      <c r="U1254" s="1" t="s">
        <v>44</v>
      </c>
      <c r="V1254" s="17" t="s">
        <v>33</v>
      </c>
    </row>
    <row r="1255" spans="1:22" ht="15" customHeight="1" x14ac:dyDescent="0.25">
      <c r="A1255" s="16" t="s">
        <v>2375</v>
      </c>
      <c r="B1255" s="3" t="s">
        <v>2376</v>
      </c>
      <c r="C1255">
        <v>41</v>
      </c>
      <c r="D1255" s="3" t="s">
        <v>98</v>
      </c>
      <c r="E1255" s="3" t="s">
        <v>23</v>
      </c>
      <c r="F1255" s="3" t="s">
        <v>155</v>
      </c>
      <c r="G1255" s="3" t="s">
        <v>38</v>
      </c>
      <c r="H1255" s="3" t="s">
        <v>51</v>
      </c>
      <c r="I1255" s="6">
        <v>44722</v>
      </c>
      <c r="J1255" s="8">
        <v>44843</v>
      </c>
      <c r="K1255" s="3">
        <v>3</v>
      </c>
      <c r="L1255" s="3" t="s">
        <v>122</v>
      </c>
      <c r="M1255" s="3" t="s">
        <v>40</v>
      </c>
      <c r="N1255" s="3" t="s">
        <v>203</v>
      </c>
      <c r="O1255" s="3" t="s">
        <v>55</v>
      </c>
      <c r="P1255" s="30">
        <v>9051.82</v>
      </c>
      <c r="Q1255" s="3" t="s">
        <v>174</v>
      </c>
      <c r="R1255" s="3">
        <v>4</v>
      </c>
      <c r="S1255" s="3">
        <v>157</v>
      </c>
      <c r="T1255" s="3">
        <v>27.2</v>
      </c>
      <c r="U1255" s="3" t="s">
        <v>44</v>
      </c>
      <c r="V1255" s="18" t="s">
        <v>45</v>
      </c>
    </row>
    <row r="1256" spans="1:22" ht="15" customHeight="1" x14ac:dyDescent="0.25">
      <c r="A1256" s="15" t="s">
        <v>2377</v>
      </c>
      <c r="B1256" s="1" t="s">
        <v>2378</v>
      </c>
      <c r="C1256">
        <v>72</v>
      </c>
      <c r="D1256" s="1" t="s">
        <v>82</v>
      </c>
      <c r="E1256" s="1" t="s">
        <v>23</v>
      </c>
      <c r="F1256" s="1" t="s">
        <v>24</v>
      </c>
      <c r="G1256" s="1" t="s">
        <v>25</v>
      </c>
      <c r="H1256" s="1" t="s">
        <v>78</v>
      </c>
      <c r="I1256" s="7">
        <v>43573</v>
      </c>
      <c r="J1256" s="7">
        <v>43590</v>
      </c>
      <c r="K1256" s="1">
        <v>17</v>
      </c>
      <c r="L1256" s="1" t="s">
        <v>52</v>
      </c>
      <c r="M1256" s="1" t="s">
        <v>53</v>
      </c>
      <c r="N1256" s="1" t="s">
        <v>29</v>
      </c>
      <c r="O1256" s="1" t="s">
        <v>42</v>
      </c>
      <c r="P1256" s="29">
        <v>131286.74</v>
      </c>
      <c r="Q1256" s="1" t="s">
        <v>322</v>
      </c>
      <c r="R1256" s="1">
        <v>10</v>
      </c>
      <c r="S1256" s="1">
        <v>384</v>
      </c>
      <c r="T1256" s="1">
        <v>18.600000000000001</v>
      </c>
      <c r="U1256" s="1" t="s">
        <v>44</v>
      </c>
      <c r="V1256" s="17" t="s">
        <v>33</v>
      </c>
    </row>
    <row r="1257" spans="1:22" ht="15" customHeight="1" x14ac:dyDescent="0.25">
      <c r="A1257" s="16" t="s">
        <v>2379</v>
      </c>
      <c r="B1257" s="3" t="s">
        <v>2311</v>
      </c>
      <c r="C1257">
        <v>84</v>
      </c>
      <c r="D1257" s="3" t="s">
        <v>36</v>
      </c>
      <c r="E1257" s="3" t="s">
        <v>23</v>
      </c>
      <c r="F1257" s="3" t="s">
        <v>70</v>
      </c>
      <c r="G1257" s="3" t="s">
        <v>77</v>
      </c>
      <c r="H1257" s="3" t="s">
        <v>26</v>
      </c>
      <c r="I1257" s="8">
        <v>43526</v>
      </c>
      <c r="J1257" s="8">
        <v>43506</v>
      </c>
      <c r="K1257" s="3">
        <v>7</v>
      </c>
      <c r="L1257" s="3" t="s">
        <v>122</v>
      </c>
      <c r="M1257" s="3" t="s">
        <v>40</v>
      </c>
      <c r="N1257" s="3" t="s">
        <v>94</v>
      </c>
      <c r="O1257" s="3" t="s">
        <v>55</v>
      </c>
      <c r="P1257" s="30">
        <v>150266.15</v>
      </c>
      <c r="Q1257" s="3" t="s">
        <v>85</v>
      </c>
      <c r="R1257" s="3">
        <v>10</v>
      </c>
      <c r="S1257" s="3">
        <v>397</v>
      </c>
      <c r="T1257" s="3">
        <v>25.6</v>
      </c>
      <c r="U1257" s="3" t="s">
        <v>44</v>
      </c>
      <c r="V1257" s="18" t="s">
        <v>45</v>
      </c>
    </row>
    <row r="1258" spans="1:22" ht="15" customHeight="1" x14ac:dyDescent="0.25">
      <c r="A1258" s="15" t="s">
        <v>2380</v>
      </c>
      <c r="B1258" s="1" t="s">
        <v>2381</v>
      </c>
      <c r="C1258">
        <v>29</v>
      </c>
      <c r="D1258" s="1" t="s">
        <v>47</v>
      </c>
      <c r="E1258" s="1" t="s">
        <v>23</v>
      </c>
      <c r="F1258" s="1" t="s">
        <v>49</v>
      </c>
      <c r="G1258" s="1" t="s">
        <v>71</v>
      </c>
      <c r="H1258" s="1" t="s">
        <v>26</v>
      </c>
      <c r="I1258" s="6">
        <v>45239</v>
      </c>
      <c r="J1258" s="7">
        <v>45242</v>
      </c>
      <c r="K1258" s="1">
        <v>3</v>
      </c>
      <c r="L1258" s="1" t="s">
        <v>122</v>
      </c>
      <c r="M1258" s="1" t="s">
        <v>40</v>
      </c>
      <c r="N1258" s="1" t="s">
        <v>312</v>
      </c>
      <c r="O1258" s="1" t="s">
        <v>55</v>
      </c>
      <c r="P1258" s="29">
        <v>13209.05</v>
      </c>
      <c r="Q1258" s="1" t="s">
        <v>178</v>
      </c>
      <c r="R1258" s="1">
        <v>3</v>
      </c>
      <c r="S1258" s="1">
        <v>106</v>
      </c>
      <c r="T1258" s="4"/>
      <c r="U1258" s="1" t="s">
        <v>32</v>
      </c>
      <c r="V1258" s="17" t="s">
        <v>33</v>
      </c>
    </row>
    <row r="1259" spans="1:22" ht="15" customHeight="1" x14ac:dyDescent="0.25">
      <c r="A1259" s="16" t="s">
        <v>2382</v>
      </c>
      <c r="B1259" s="3" t="s">
        <v>2383</v>
      </c>
      <c r="C1259">
        <v>62</v>
      </c>
      <c r="D1259" s="3" t="s">
        <v>59</v>
      </c>
      <c r="E1259" s="3" t="s">
        <v>23</v>
      </c>
      <c r="F1259" s="3" t="s">
        <v>24</v>
      </c>
      <c r="G1259" s="3" t="s">
        <v>77</v>
      </c>
      <c r="H1259" s="3" t="s">
        <v>78</v>
      </c>
      <c r="I1259" s="8">
        <v>44733</v>
      </c>
      <c r="J1259" s="8">
        <v>44741</v>
      </c>
      <c r="K1259" s="3">
        <v>8</v>
      </c>
      <c r="L1259" s="3" t="s">
        <v>89</v>
      </c>
      <c r="M1259" s="3" t="s">
        <v>90</v>
      </c>
      <c r="N1259" s="3" t="s">
        <v>79</v>
      </c>
      <c r="O1259" s="3" t="s">
        <v>30</v>
      </c>
      <c r="P1259" s="30">
        <v>24367.98</v>
      </c>
      <c r="Q1259" s="3" t="s">
        <v>85</v>
      </c>
      <c r="R1259" s="3">
        <v>10</v>
      </c>
      <c r="S1259" s="3">
        <v>388</v>
      </c>
      <c r="T1259" s="3">
        <v>16.8</v>
      </c>
      <c r="U1259" s="3" t="s">
        <v>32</v>
      </c>
      <c r="V1259" s="18" t="s">
        <v>33</v>
      </c>
    </row>
    <row r="1260" spans="1:22" ht="15" customHeight="1" x14ac:dyDescent="0.25">
      <c r="A1260" s="15" t="s">
        <v>2384</v>
      </c>
      <c r="B1260" s="1" t="s">
        <v>2385</v>
      </c>
      <c r="C1260">
        <v>43</v>
      </c>
      <c r="D1260" s="1" t="s">
        <v>98</v>
      </c>
      <c r="E1260" s="1" t="s">
        <v>48</v>
      </c>
      <c r="F1260" s="1" t="s">
        <v>76</v>
      </c>
      <c r="G1260" s="1" t="s">
        <v>163</v>
      </c>
      <c r="H1260" s="1" t="s">
        <v>26</v>
      </c>
      <c r="I1260" s="7">
        <v>45141</v>
      </c>
      <c r="J1260" s="7">
        <v>45177</v>
      </c>
      <c r="K1260" s="1">
        <v>6</v>
      </c>
      <c r="L1260" s="1" t="s">
        <v>52</v>
      </c>
      <c r="M1260" s="1" t="s">
        <v>53</v>
      </c>
      <c r="N1260" s="1" t="s">
        <v>346</v>
      </c>
      <c r="O1260" s="1" t="s">
        <v>30</v>
      </c>
      <c r="P1260" s="29">
        <v>25027.5</v>
      </c>
      <c r="Q1260" s="1" t="s">
        <v>234</v>
      </c>
      <c r="R1260" s="1">
        <v>4</v>
      </c>
      <c r="S1260" s="1">
        <v>380</v>
      </c>
      <c r="T1260" s="1">
        <v>29.2</v>
      </c>
      <c r="U1260" s="1" t="s">
        <v>32</v>
      </c>
      <c r="V1260" s="17" t="s">
        <v>33</v>
      </c>
    </row>
    <row r="1261" spans="1:22" ht="15" customHeight="1" x14ac:dyDescent="0.25">
      <c r="A1261" s="16" t="s">
        <v>2386</v>
      </c>
      <c r="B1261" s="3" t="s">
        <v>2387</v>
      </c>
      <c r="C1261">
        <v>77</v>
      </c>
      <c r="D1261" s="3" t="s">
        <v>36</v>
      </c>
      <c r="E1261" s="3" t="s">
        <v>48</v>
      </c>
      <c r="F1261" s="3" t="s">
        <v>49</v>
      </c>
      <c r="G1261" s="3" t="s">
        <v>60</v>
      </c>
      <c r="H1261" s="3" t="s">
        <v>78</v>
      </c>
      <c r="I1261" s="8">
        <v>45274</v>
      </c>
      <c r="J1261" s="8">
        <v>45280</v>
      </c>
      <c r="K1261" s="3">
        <v>6</v>
      </c>
      <c r="L1261" s="3" t="s">
        <v>89</v>
      </c>
      <c r="M1261" s="3" t="s">
        <v>90</v>
      </c>
      <c r="N1261" s="3" t="s">
        <v>103</v>
      </c>
      <c r="O1261" s="3" t="s">
        <v>30</v>
      </c>
      <c r="P1261" s="30">
        <v>36662.5</v>
      </c>
      <c r="Q1261" s="3" t="s">
        <v>349</v>
      </c>
      <c r="R1261" s="3">
        <v>5</v>
      </c>
      <c r="S1261" s="3">
        <v>387</v>
      </c>
      <c r="T1261" s="3">
        <v>25.4</v>
      </c>
      <c r="U1261" s="3" t="s">
        <v>44</v>
      </c>
      <c r="V1261" s="18" t="s">
        <v>33</v>
      </c>
    </row>
    <row r="1262" spans="1:22" ht="15" customHeight="1" x14ac:dyDescent="0.25">
      <c r="A1262" s="15" t="s">
        <v>2388</v>
      </c>
      <c r="B1262" s="1" t="s">
        <v>2389</v>
      </c>
      <c r="C1262">
        <v>57</v>
      </c>
      <c r="D1262" s="1" t="s">
        <v>59</v>
      </c>
      <c r="E1262" s="1" t="s">
        <v>23</v>
      </c>
      <c r="F1262" s="1" t="s">
        <v>99</v>
      </c>
      <c r="G1262" s="1" t="s">
        <v>60</v>
      </c>
      <c r="H1262" s="1" t="s">
        <v>78</v>
      </c>
      <c r="I1262" s="7">
        <v>44744</v>
      </c>
      <c r="J1262" s="7">
        <v>44749</v>
      </c>
      <c r="K1262" s="1">
        <v>5</v>
      </c>
      <c r="L1262" s="1" t="s">
        <v>132</v>
      </c>
      <c r="M1262" s="1" t="s">
        <v>53</v>
      </c>
      <c r="N1262" s="1" t="s">
        <v>61</v>
      </c>
      <c r="O1262" s="1" t="s">
        <v>55</v>
      </c>
      <c r="P1262" s="29">
        <v>53030.68</v>
      </c>
      <c r="Q1262" s="1" t="s">
        <v>349</v>
      </c>
      <c r="R1262" s="1">
        <v>5</v>
      </c>
      <c r="S1262" s="1">
        <v>123</v>
      </c>
      <c r="T1262" s="4"/>
      <c r="U1262" s="1" t="s">
        <v>32</v>
      </c>
      <c r="V1262" s="17" t="s">
        <v>33</v>
      </c>
    </row>
    <row r="1263" spans="1:22" ht="15" customHeight="1" x14ac:dyDescent="0.25">
      <c r="A1263" s="16" t="s">
        <v>2390</v>
      </c>
      <c r="B1263" s="3" t="s">
        <v>1451</v>
      </c>
      <c r="C1263">
        <v>78</v>
      </c>
      <c r="D1263" s="3" t="s">
        <v>36</v>
      </c>
      <c r="E1263" s="3" t="s">
        <v>23</v>
      </c>
      <c r="F1263" s="2" t="s">
        <v>3714</v>
      </c>
      <c r="G1263" s="3" t="s">
        <v>38</v>
      </c>
      <c r="H1263" s="3" t="s">
        <v>26</v>
      </c>
      <c r="I1263" s="8">
        <v>43746</v>
      </c>
      <c r="J1263" s="8">
        <v>43752</v>
      </c>
      <c r="K1263" s="3">
        <v>6</v>
      </c>
      <c r="L1263" s="3" t="s">
        <v>122</v>
      </c>
      <c r="M1263" s="3" t="s">
        <v>40</v>
      </c>
      <c r="N1263" s="3" t="s">
        <v>173</v>
      </c>
      <c r="O1263" s="3" t="s">
        <v>55</v>
      </c>
      <c r="P1263" s="30">
        <v>43749.68</v>
      </c>
      <c r="Q1263" s="3" t="s">
        <v>567</v>
      </c>
      <c r="R1263" s="3">
        <v>8</v>
      </c>
      <c r="S1263" s="3">
        <v>334</v>
      </c>
      <c r="T1263" s="3">
        <v>26.4</v>
      </c>
      <c r="U1263" s="3" t="s">
        <v>44</v>
      </c>
      <c r="V1263" s="18" t="s">
        <v>33</v>
      </c>
    </row>
    <row r="1264" spans="1:22" ht="15" customHeight="1" x14ac:dyDescent="0.25">
      <c r="A1264" s="15" t="s">
        <v>2391</v>
      </c>
      <c r="B1264" s="1" t="s">
        <v>2392</v>
      </c>
      <c r="C1264">
        <v>66</v>
      </c>
      <c r="D1264" s="1" t="s">
        <v>82</v>
      </c>
      <c r="E1264" s="1" t="s">
        <v>23</v>
      </c>
      <c r="F1264" s="1" t="s">
        <v>70</v>
      </c>
      <c r="G1264" s="1" t="s">
        <v>77</v>
      </c>
      <c r="H1264" s="1" t="s">
        <v>51</v>
      </c>
      <c r="I1264" s="7">
        <v>43790</v>
      </c>
      <c r="J1264" s="7">
        <v>43793</v>
      </c>
      <c r="K1264" s="1">
        <v>3</v>
      </c>
      <c r="L1264" s="1" t="s">
        <v>112</v>
      </c>
      <c r="M1264" s="1" t="s">
        <v>40</v>
      </c>
      <c r="N1264" s="1" t="s">
        <v>84</v>
      </c>
      <c r="O1264" s="1" t="s">
        <v>42</v>
      </c>
      <c r="P1264" s="29">
        <v>65153.79</v>
      </c>
      <c r="Q1264" s="1" t="s">
        <v>80</v>
      </c>
      <c r="R1264" s="1">
        <v>8</v>
      </c>
      <c r="S1264" s="1">
        <v>129</v>
      </c>
      <c r="T1264" s="1">
        <v>29.2</v>
      </c>
      <c r="U1264" s="1" t="s">
        <v>44</v>
      </c>
      <c r="V1264" s="17" t="s">
        <v>33</v>
      </c>
    </row>
    <row r="1265" spans="1:22" ht="15" customHeight="1" x14ac:dyDescent="0.25">
      <c r="A1265" s="16" t="s">
        <v>2393</v>
      </c>
      <c r="B1265" s="3" t="s">
        <v>2394</v>
      </c>
      <c r="C1265">
        <v>73</v>
      </c>
      <c r="D1265" s="3" t="s">
        <v>82</v>
      </c>
      <c r="E1265" s="3" t="s">
        <v>23</v>
      </c>
      <c r="F1265" s="3" t="s">
        <v>99</v>
      </c>
      <c r="G1265" s="3" t="s">
        <v>163</v>
      </c>
      <c r="H1265" s="3" t="s">
        <v>51</v>
      </c>
      <c r="I1265" s="8">
        <v>45657</v>
      </c>
      <c r="J1265" s="8">
        <v>45689</v>
      </c>
      <c r="K1265" s="3">
        <v>2</v>
      </c>
      <c r="L1265" s="3" t="s">
        <v>231</v>
      </c>
      <c r="M1265" s="3" t="s">
        <v>53</v>
      </c>
      <c r="N1265" s="3" t="s">
        <v>164</v>
      </c>
      <c r="O1265" s="3" t="s">
        <v>42</v>
      </c>
      <c r="P1265" s="30">
        <v>24501.9</v>
      </c>
      <c r="Q1265" s="3" t="s">
        <v>165</v>
      </c>
      <c r="R1265" s="3">
        <v>6</v>
      </c>
      <c r="S1265" s="3">
        <v>160</v>
      </c>
      <c r="T1265" s="3">
        <v>30.7</v>
      </c>
      <c r="U1265" s="3" t="s">
        <v>32</v>
      </c>
      <c r="V1265" s="18" t="s">
        <v>45</v>
      </c>
    </row>
    <row r="1266" spans="1:22" ht="15" customHeight="1" x14ac:dyDescent="0.25">
      <c r="A1266" s="15" t="s">
        <v>2395</v>
      </c>
      <c r="B1266" s="2" t="s">
        <v>3596</v>
      </c>
      <c r="C1266">
        <v>28</v>
      </c>
      <c r="D1266" s="1" t="s">
        <v>47</v>
      </c>
      <c r="E1266" s="1" t="s">
        <v>48</v>
      </c>
      <c r="F1266" s="1" t="s">
        <v>99</v>
      </c>
      <c r="G1266" s="1" t="s">
        <v>38</v>
      </c>
      <c r="H1266" s="1" t="s">
        <v>51</v>
      </c>
      <c r="I1266" s="6">
        <v>44462</v>
      </c>
      <c r="J1266" s="7">
        <v>44464</v>
      </c>
      <c r="K1266" s="1">
        <v>2</v>
      </c>
      <c r="L1266" s="1" t="s">
        <v>132</v>
      </c>
      <c r="M1266" s="1" t="s">
        <v>53</v>
      </c>
      <c r="N1266" s="1" t="s">
        <v>41</v>
      </c>
      <c r="O1266" s="1" t="s">
        <v>42</v>
      </c>
      <c r="P1266" s="29">
        <v>20071.990000000002</v>
      </c>
      <c r="Q1266" s="1" t="s">
        <v>567</v>
      </c>
      <c r="R1266" s="1">
        <v>7</v>
      </c>
      <c r="S1266" s="1">
        <v>131</v>
      </c>
      <c r="T1266" s="1">
        <v>33.700000000000003</v>
      </c>
      <c r="U1266" s="1" t="s">
        <v>86</v>
      </c>
      <c r="V1266" s="17" t="s">
        <v>33</v>
      </c>
    </row>
    <row r="1267" spans="1:22" ht="15" customHeight="1" x14ac:dyDescent="0.25">
      <c r="A1267" s="16" t="s">
        <v>2396</v>
      </c>
      <c r="B1267" s="3" t="s">
        <v>2397</v>
      </c>
      <c r="C1267">
        <v>68</v>
      </c>
      <c r="D1267" s="3" t="s">
        <v>82</v>
      </c>
      <c r="E1267" s="3" t="s">
        <v>48</v>
      </c>
      <c r="F1267" s="3" t="s">
        <v>70</v>
      </c>
      <c r="G1267" s="3" t="s">
        <v>25</v>
      </c>
      <c r="H1267" s="3" t="s">
        <v>78</v>
      </c>
      <c r="I1267" s="6">
        <v>43816</v>
      </c>
      <c r="J1267" s="8">
        <v>43821</v>
      </c>
      <c r="K1267" s="3">
        <v>5</v>
      </c>
      <c r="L1267" s="3" t="s">
        <v>89</v>
      </c>
      <c r="M1267" s="3" t="s">
        <v>90</v>
      </c>
      <c r="N1267" s="3" t="s">
        <v>65</v>
      </c>
      <c r="O1267" s="3" t="s">
        <v>55</v>
      </c>
      <c r="P1267" s="30">
        <v>206909.06</v>
      </c>
      <c r="Q1267" s="3" t="s">
        <v>484</v>
      </c>
      <c r="R1267" s="3">
        <v>12</v>
      </c>
      <c r="S1267" s="3">
        <v>139</v>
      </c>
      <c r="T1267" s="3">
        <v>24.8</v>
      </c>
      <c r="U1267" s="3" t="s">
        <v>44</v>
      </c>
      <c r="V1267" s="18" t="s">
        <v>45</v>
      </c>
    </row>
    <row r="1268" spans="1:22" ht="15" customHeight="1" x14ac:dyDescent="0.25">
      <c r="A1268" s="15" t="s">
        <v>2398</v>
      </c>
      <c r="B1268" s="1" t="s">
        <v>2399</v>
      </c>
      <c r="C1268">
        <v>57</v>
      </c>
      <c r="D1268" s="1" t="s">
        <v>59</v>
      </c>
      <c r="E1268" s="1" t="s">
        <v>23</v>
      </c>
      <c r="F1268" s="1" t="s">
        <v>49</v>
      </c>
      <c r="G1268" s="1" t="s">
        <v>131</v>
      </c>
      <c r="H1268" s="1" t="s">
        <v>26</v>
      </c>
      <c r="I1268" s="6">
        <v>45251</v>
      </c>
      <c r="J1268" s="7">
        <v>45028</v>
      </c>
      <c r="K1268" s="1">
        <v>13</v>
      </c>
      <c r="L1268" s="1" t="s">
        <v>27</v>
      </c>
      <c r="M1268" s="1" t="s">
        <v>28</v>
      </c>
      <c r="N1268" s="1" t="s">
        <v>147</v>
      </c>
      <c r="O1268" s="1" t="s">
        <v>104</v>
      </c>
      <c r="P1268" s="29">
        <v>16261.62</v>
      </c>
      <c r="Q1268" s="1" t="s">
        <v>148</v>
      </c>
      <c r="R1268" s="1">
        <v>7</v>
      </c>
      <c r="S1268" s="1">
        <v>371</v>
      </c>
      <c r="T1268" s="1">
        <v>32.700000000000003</v>
      </c>
      <c r="U1268" s="1" t="s">
        <v>32</v>
      </c>
      <c r="V1268" s="17" t="s">
        <v>33</v>
      </c>
    </row>
    <row r="1269" spans="1:22" ht="15" customHeight="1" x14ac:dyDescent="0.25">
      <c r="A1269" s="16" t="s">
        <v>2400</v>
      </c>
      <c r="B1269" s="3" t="s">
        <v>1008</v>
      </c>
      <c r="C1269">
        <v>61</v>
      </c>
      <c r="D1269" s="3" t="s">
        <v>59</v>
      </c>
      <c r="E1269" s="3" t="s">
        <v>48</v>
      </c>
      <c r="F1269" s="3" t="s">
        <v>24</v>
      </c>
      <c r="G1269" s="3" t="s">
        <v>50</v>
      </c>
      <c r="H1269" s="3" t="s">
        <v>51</v>
      </c>
      <c r="I1269" s="6">
        <v>45327</v>
      </c>
      <c r="J1269" s="8">
        <v>45431</v>
      </c>
      <c r="K1269" s="3">
        <v>17</v>
      </c>
      <c r="L1269" s="3" t="s">
        <v>102</v>
      </c>
      <c r="M1269" s="3" t="s">
        <v>28</v>
      </c>
      <c r="N1269" s="3" t="s">
        <v>116</v>
      </c>
      <c r="O1269" s="3" t="s">
        <v>104</v>
      </c>
      <c r="P1269" s="30">
        <v>20970.22</v>
      </c>
      <c r="Q1269" s="3" t="s">
        <v>144</v>
      </c>
      <c r="R1269" s="3">
        <v>7</v>
      </c>
      <c r="S1269" s="3">
        <v>109</v>
      </c>
      <c r="T1269" s="3">
        <v>27.1</v>
      </c>
      <c r="U1269" s="3" t="s">
        <v>44</v>
      </c>
      <c r="V1269" s="18" t="s">
        <v>45</v>
      </c>
    </row>
    <row r="1270" spans="1:22" ht="15" customHeight="1" x14ac:dyDescent="0.25">
      <c r="A1270" s="15" t="s">
        <v>2401</v>
      </c>
      <c r="B1270" s="1" t="s">
        <v>2402</v>
      </c>
      <c r="C1270">
        <v>44</v>
      </c>
      <c r="D1270" s="1" t="s">
        <v>98</v>
      </c>
      <c r="E1270" s="1" t="s">
        <v>23</v>
      </c>
      <c r="F1270" s="1" t="s">
        <v>83</v>
      </c>
      <c r="G1270" s="1" t="s">
        <v>2140</v>
      </c>
      <c r="H1270" s="1" t="s">
        <v>26</v>
      </c>
      <c r="I1270" s="6">
        <v>43483</v>
      </c>
      <c r="J1270" s="7">
        <v>43488</v>
      </c>
      <c r="K1270" s="1">
        <v>5</v>
      </c>
      <c r="L1270" s="1" t="s">
        <v>102</v>
      </c>
      <c r="M1270" s="1" t="s">
        <v>28</v>
      </c>
      <c r="N1270" s="1" t="s">
        <v>312</v>
      </c>
      <c r="O1270" s="1" t="s">
        <v>30</v>
      </c>
      <c r="P1270" s="29">
        <v>12618.33</v>
      </c>
      <c r="Q1270" s="1" t="s">
        <v>503</v>
      </c>
      <c r="R1270" s="1">
        <v>5</v>
      </c>
      <c r="S1270" s="1">
        <v>206</v>
      </c>
      <c r="T1270" s="4"/>
      <c r="U1270" s="1" t="s">
        <v>32</v>
      </c>
      <c r="V1270" s="17" t="s">
        <v>45</v>
      </c>
    </row>
    <row r="1271" spans="1:22" ht="15" customHeight="1" x14ac:dyDescent="0.25">
      <c r="A1271" s="16" t="s">
        <v>2403</v>
      </c>
      <c r="B1271" s="2" t="s">
        <v>3658</v>
      </c>
      <c r="C1271">
        <v>55</v>
      </c>
      <c r="D1271" s="3" t="s">
        <v>59</v>
      </c>
      <c r="E1271" s="3" t="s">
        <v>23</v>
      </c>
      <c r="F1271" s="3" t="s">
        <v>83</v>
      </c>
      <c r="G1271" s="3" t="s">
        <v>50</v>
      </c>
      <c r="H1271" s="3" t="s">
        <v>51</v>
      </c>
      <c r="I1271" s="8">
        <v>43505</v>
      </c>
      <c r="J1271" s="8">
        <v>43511</v>
      </c>
      <c r="K1271" s="3">
        <v>6</v>
      </c>
      <c r="L1271" s="3" t="s">
        <v>112</v>
      </c>
      <c r="M1271" s="3" t="s">
        <v>40</v>
      </c>
      <c r="N1271" s="3" t="s">
        <v>54</v>
      </c>
      <c r="O1271" s="3" t="s">
        <v>104</v>
      </c>
      <c r="P1271" s="30">
        <v>14558.12</v>
      </c>
      <c r="Q1271" s="3" t="s">
        <v>552</v>
      </c>
      <c r="R1271" s="3">
        <v>9</v>
      </c>
      <c r="S1271" s="3">
        <v>186</v>
      </c>
      <c r="T1271" s="3">
        <v>32.4</v>
      </c>
      <c r="U1271" s="3" t="s">
        <v>86</v>
      </c>
      <c r="V1271" s="18" t="s">
        <v>45</v>
      </c>
    </row>
    <row r="1272" spans="1:22" ht="15" customHeight="1" x14ac:dyDescent="0.25">
      <c r="A1272" s="15" t="s">
        <v>2404</v>
      </c>
      <c r="B1272" s="1" t="s">
        <v>2405</v>
      </c>
      <c r="C1272">
        <v>60</v>
      </c>
      <c r="D1272" s="1" t="s">
        <v>59</v>
      </c>
      <c r="E1272" s="1" t="s">
        <v>23</v>
      </c>
      <c r="F1272" s="1" t="s">
        <v>83</v>
      </c>
      <c r="G1272" s="1" t="s">
        <v>188</v>
      </c>
      <c r="H1272" s="1" t="s">
        <v>26</v>
      </c>
      <c r="I1272" s="7">
        <v>45410</v>
      </c>
      <c r="J1272" s="7">
        <v>45417</v>
      </c>
      <c r="K1272" s="1">
        <v>7</v>
      </c>
      <c r="L1272" s="1" t="s">
        <v>185</v>
      </c>
      <c r="M1272" s="1" t="s">
        <v>186</v>
      </c>
      <c r="N1272" s="1" t="s">
        <v>94</v>
      </c>
      <c r="O1272" s="1" t="s">
        <v>55</v>
      </c>
      <c r="P1272" s="29">
        <v>126025.78</v>
      </c>
      <c r="Q1272" s="1" t="s">
        <v>95</v>
      </c>
      <c r="R1272" s="1">
        <v>8</v>
      </c>
      <c r="S1272" s="1">
        <v>336</v>
      </c>
      <c r="T1272" s="1">
        <v>34.700000000000003</v>
      </c>
      <c r="U1272" s="1" t="s">
        <v>32</v>
      </c>
      <c r="V1272" s="17" t="s">
        <v>33</v>
      </c>
    </row>
    <row r="1273" spans="1:22" ht="15" customHeight="1" x14ac:dyDescent="0.25">
      <c r="A1273" s="16" t="s">
        <v>2406</v>
      </c>
      <c r="B1273" s="3" t="s">
        <v>2407</v>
      </c>
      <c r="C1273">
        <v>61</v>
      </c>
      <c r="D1273" s="3" t="s">
        <v>59</v>
      </c>
      <c r="E1273" s="3" t="s">
        <v>48</v>
      </c>
      <c r="F1273" s="3" t="s">
        <v>24</v>
      </c>
      <c r="G1273" s="3" t="s">
        <v>77</v>
      </c>
      <c r="H1273" s="3" t="s">
        <v>26</v>
      </c>
      <c r="I1273" s="8">
        <v>44139</v>
      </c>
      <c r="J1273" s="8">
        <v>44147</v>
      </c>
      <c r="K1273" s="3">
        <v>8</v>
      </c>
      <c r="L1273" s="3" t="s">
        <v>39</v>
      </c>
      <c r="M1273" s="3" t="s">
        <v>40</v>
      </c>
      <c r="N1273" s="3" t="s">
        <v>79</v>
      </c>
      <c r="O1273" s="3" t="s">
        <v>30</v>
      </c>
      <c r="P1273" s="30">
        <v>63826.85</v>
      </c>
      <c r="Q1273" s="3" t="s">
        <v>181</v>
      </c>
      <c r="R1273" s="3">
        <v>10</v>
      </c>
      <c r="S1273" s="3">
        <v>302</v>
      </c>
      <c r="T1273" s="3">
        <v>35.1</v>
      </c>
      <c r="U1273" s="3" t="s">
        <v>86</v>
      </c>
      <c r="V1273" s="18" t="s">
        <v>33</v>
      </c>
    </row>
    <row r="1274" spans="1:22" ht="15" customHeight="1" x14ac:dyDescent="0.25">
      <c r="A1274" s="15" t="s">
        <v>2408</v>
      </c>
      <c r="B1274" s="1" t="s">
        <v>2409</v>
      </c>
      <c r="C1274">
        <v>8</v>
      </c>
      <c r="D1274" s="1" t="s">
        <v>22</v>
      </c>
      <c r="E1274" s="1" t="s">
        <v>23</v>
      </c>
      <c r="F1274" s="1" t="s">
        <v>76</v>
      </c>
      <c r="G1274" s="1" t="s">
        <v>77</v>
      </c>
      <c r="H1274" s="1" t="s">
        <v>26</v>
      </c>
      <c r="I1274" s="7">
        <v>43671</v>
      </c>
      <c r="J1274" s="7">
        <v>43682</v>
      </c>
      <c r="K1274" s="1">
        <v>11</v>
      </c>
      <c r="L1274" s="1" t="s">
        <v>89</v>
      </c>
      <c r="M1274" s="1" t="s">
        <v>90</v>
      </c>
      <c r="N1274" s="1" t="s">
        <v>84</v>
      </c>
      <c r="O1274" s="1" t="s">
        <v>42</v>
      </c>
      <c r="P1274" s="29">
        <v>52699.59</v>
      </c>
      <c r="Q1274" s="1" t="s">
        <v>100</v>
      </c>
      <c r="R1274" s="1">
        <v>9</v>
      </c>
      <c r="S1274" s="1">
        <v>395</v>
      </c>
      <c r="T1274" s="1">
        <v>36.9</v>
      </c>
      <c r="U1274" s="1" t="s">
        <v>44</v>
      </c>
      <c r="V1274" s="17" t="s">
        <v>33</v>
      </c>
    </row>
    <row r="1275" spans="1:22" ht="15" customHeight="1" x14ac:dyDescent="0.25">
      <c r="A1275" s="16" t="s">
        <v>2410</v>
      </c>
      <c r="B1275" s="3" t="s">
        <v>2411</v>
      </c>
      <c r="C1275">
        <v>67</v>
      </c>
      <c r="D1275" s="3" t="s">
        <v>82</v>
      </c>
      <c r="E1275" s="3" t="s">
        <v>23</v>
      </c>
      <c r="F1275" s="3" t="s">
        <v>76</v>
      </c>
      <c r="G1275" s="3" t="s">
        <v>71</v>
      </c>
      <c r="H1275" s="3" t="s">
        <v>26</v>
      </c>
      <c r="I1275" s="8">
        <v>44134</v>
      </c>
      <c r="J1275" s="8">
        <v>44139</v>
      </c>
      <c r="K1275" s="3">
        <v>5</v>
      </c>
      <c r="L1275" s="3" t="s">
        <v>89</v>
      </c>
      <c r="M1275" s="3" t="s">
        <v>90</v>
      </c>
      <c r="N1275" s="3" t="s">
        <v>72</v>
      </c>
      <c r="O1275" s="3" t="s">
        <v>30</v>
      </c>
      <c r="P1275" s="30">
        <v>27192.97</v>
      </c>
      <c r="Q1275" s="3" t="s">
        <v>73</v>
      </c>
      <c r="R1275" s="3">
        <v>5</v>
      </c>
      <c r="S1275" s="3">
        <v>129</v>
      </c>
      <c r="T1275" s="3">
        <v>24.2</v>
      </c>
      <c r="U1275" s="3" t="s">
        <v>32</v>
      </c>
      <c r="V1275" s="18" t="s">
        <v>33</v>
      </c>
    </row>
    <row r="1276" spans="1:22" ht="15" customHeight="1" x14ac:dyDescent="0.25">
      <c r="A1276" s="15" t="s">
        <v>2412</v>
      </c>
      <c r="B1276" s="1" t="s">
        <v>2413</v>
      </c>
      <c r="C1276">
        <v>58</v>
      </c>
      <c r="D1276" s="1" t="s">
        <v>59</v>
      </c>
      <c r="E1276" s="1" t="s">
        <v>23</v>
      </c>
      <c r="F1276" s="1" t="s">
        <v>76</v>
      </c>
      <c r="G1276" s="1" t="s">
        <v>417</v>
      </c>
      <c r="H1276" s="1" t="s">
        <v>26</v>
      </c>
      <c r="I1276" s="7">
        <v>45632</v>
      </c>
      <c r="J1276" s="7">
        <v>45459</v>
      </c>
      <c r="K1276" s="1">
        <v>4</v>
      </c>
      <c r="L1276" s="1" t="s">
        <v>185</v>
      </c>
      <c r="M1276" s="1" t="s">
        <v>186</v>
      </c>
      <c r="N1276" s="1" t="s">
        <v>41</v>
      </c>
      <c r="O1276" s="1" t="s">
        <v>3565</v>
      </c>
      <c r="P1276" s="29">
        <v>49728.66</v>
      </c>
      <c r="Q1276" s="1" t="s">
        <v>567</v>
      </c>
      <c r="R1276" s="1">
        <v>8</v>
      </c>
      <c r="S1276" s="1">
        <v>398</v>
      </c>
      <c r="T1276" s="1">
        <v>23.8</v>
      </c>
      <c r="U1276" s="1" t="s">
        <v>44</v>
      </c>
      <c r="V1276" s="17" t="s">
        <v>33</v>
      </c>
    </row>
    <row r="1277" spans="1:22" ht="15" customHeight="1" x14ac:dyDescent="0.25">
      <c r="A1277" s="16" t="s">
        <v>2414</v>
      </c>
      <c r="B1277" s="3" t="s">
        <v>1990</v>
      </c>
      <c r="C1277">
        <v>55</v>
      </c>
      <c r="D1277" s="3" t="s">
        <v>59</v>
      </c>
      <c r="E1277" s="3" t="s">
        <v>48</v>
      </c>
      <c r="F1277" s="3" t="s">
        <v>155</v>
      </c>
      <c r="G1277" s="3" t="s">
        <v>25</v>
      </c>
      <c r="H1277" s="3" t="s">
        <v>156</v>
      </c>
      <c r="I1277" s="6">
        <v>45394</v>
      </c>
      <c r="J1277" s="8">
        <v>45639</v>
      </c>
      <c r="K1277" s="3">
        <v>9</v>
      </c>
      <c r="L1277" s="3" t="s">
        <v>89</v>
      </c>
      <c r="M1277" s="3" t="s">
        <v>90</v>
      </c>
      <c r="N1277" s="3" t="s">
        <v>29</v>
      </c>
      <c r="O1277" s="3" t="s">
        <v>55</v>
      </c>
      <c r="P1277" s="30">
        <v>48524.94</v>
      </c>
      <c r="Q1277" s="3" t="s">
        <v>198</v>
      </c>
      <c r="R1277" s="3">
        <v>12</v>
      </c>
      <c r="S1277" s="3">
        <v>218</v>
      </c>
      <c r="T1277" s="3">
        <v>17.2</v>
      </c>
      <c r="U1277" s="3" t="s">
        <v>32</v>
      </c>
      <c r="V1277" s="18" t="s">
        <v>33</v>
      </c>
    </row>
    <row r="1278" spans="1:22" ht="15" customHeight="1" x14ac:dyDescent="0.25">
      <c r="A1278" s="15" t="s">
        <v>2415</v>
      </c>
      <c r="B1278" s="2" t="s">
        <v>3659</v>
      </c>
      <c r="C1278">
        <v>70</v>
      </c>
      <c r="D1278" s="1" t="s">
        <v>82</v>
      </c>
      <c r="E1278" s="1" t="s">
        <v>23</v>
      </c>
      <c r="F1278" s="1" t="s">
        <v>83</v>
      </c>
      <c r="G1278" s="1" t="s">
        <v>77</v>
      </c>
      <c r="H1278" s="1" t="s">
        <v>26</v>
      </c>
      <c r="I1278" s="7">
        <v>45320</v>
      </c>
      <c r="J1278" s="7">
        <v>45414</v>
      </c>
      <c r="K1278" s="1">
        <v>7</v>
      </c>
      <c r="L1278" s="1" t="s">
        <v>89</v>
      </c>
      <c r="M1278" s="1" t="s">
        <v>90</v>
      </c>
      <c r="N1278" s="1" t="s">
        <v>79</v>
      </c>
      <c r="O1278" s="1" t="s">
        <v>55</v>
      </c>
      <c r="P1278" s="29">
        <v>47067.91</v>
      </c>
      <c r="Q1278" s="1" t="s">
        <v>91</v>
      </c>
      <c r="R1278" s="1">
        <v>10</v>
      </c>
      <c r="S1278" s="1">
        <v>300</v>
      </c>
      <c r="T1278" s="1">
        <v>35</v>
      </c>
      <c r="U1278" s="1" t="s">
        <v>44</v>
      </c>
      <c r="V1278" s="17" t="s">
        <v>45</v>
      </c>
    </row>
    <row r="1279" spans="1:22" ht="15" customHeight="1" x14ac:dyDescent="0.25">
      <c r="A1279" s="16" t="s">
        <v>2416</v>
      </c>
      <c r="B1279" s="3" t="s">
        <v>1856</v>
      </c>
      <c r="C1279">
        <v>28</v>
      </c>
      <c r="D1279" s="3" t="s">
        <v>47</v>
      </c>
      <c r="E1279" s="3" t="s">
        <v>23</v>
      </c>
      <c r="F1279" s="3" t="s">
        <v>76</v>
      </c>
      <c r="G1279" s="3" t="s">
        <v>60</v>
      </c>
      <c r="H1279" s="3" t="s">
        <v>51</v>
      </c>
      <c r="I1279" s="6">
        <v>45346</v>
      </c>
      <c r="J1279" s="8">
        <v>45349</v>
      </c>
      <c r="K1279" s="3">
        <v>3</v>
      </c>
      <c r="L1279" s="3" t="s">
        <v>27</v>
      </c>
      <c r="M1279" s="3" t="s">
        <v>28</v>
      </c>
      <c r="N1279" s="3" t="s">
        <v>210</v>
      </c>
      <c r="O1279" s="3" t="s">
        <v>42</v>
      </c>
      <c r="P1279" s="30">
        <v>21929.09</v>
      </c>
      <c r="Q1279" s="3" t="s">
        <v>137</v>
      </c>
      <c r="R1279" s="3">
        <v>2</v>
      </c>
      <c r="S1279" s="3">
        <v>198</v>
      </c>
      <c r="T1279" s="3">
        <v>15.2</v>
      </c>
      <c r="U1279" s="3" t="s">
        <v>86</v>
      </c>
      <c r="V1279" s="18" t="s">
        <v>33</v>
      </c>
    </row>
    <row r="1280" spans="1:22" ht="15" customHeight="1" x14ac:dyDescent="0.25">
      <c r="A1280" s="15" t="s">
        <v>2417</v>
      </c>
      <c r="B1280" s="1" t="s">
        <v>2418</v>
      </c>
      <c r="C1280">
        <v>62</v>
      </c>
      <c r="D1280" s="1" t="s">
        <v>59</v>
      </c>
      <c r="E1280" s="1" t="s">
        <v>23</v>
      </c>
      <c r="F1280" s="1" t="s">
        <v>70</v>
      </c>
      <c r="G1280" s="1" t="s">
        <v>1502</v>
      </c>
      <c r="H1280" s="1" t="s">
        <v>26</v>
      </c>
      <c r="I1280" s="7">
        <v>45119</v>
      </c>
      <c r="J1280" s="10"/>
      <c r="K1280" s="1"/>
      <c r="L1280" s="1" t="s">
        <v>132</v>
      </c>
      <c r="M1280" s="1" t="s">
        <v>53</v>
      </c>
      <c r="N1280" s="1" t="s">
        <v>116</v>
      </c>
      <c r="O1280" s="1" t="s">
        <v>42</v>
      </c>
      <c r="P1280" s="29">
        <v>29831.99</v>
      </c>
      <c r="Q1280" s="1" t="s">
        <v>127</v>
      </c>
      <c r="R1280" s="1">
        <v>8</v>
      </c>
      <c r="S1280" s="1">
        <v>372</v>
      </c>
      <c r="T1280" s="1">
        <v>25.3</v>
      </c>
      <c r="U1280" s="1" t="s">
        <v>32</v>
      </c>
      <c r="V1280" s="17" t="s">
        <v>33</v>
      </c>
    </row>
    <row r="1281" spans="1:22" ht="15" customHeight="1" x14ac:dyDescent="0.25">
      <c r="A1281" s="16" t="s">
        <v>2419</v>
      </c>
      <c r="B1281" s="3" t="s">
        <v>2420</v>
      </c>
      <c r="C1281">
        <v>59</v>
      </c>
      <c r="D1281" s="3" t="s">
        <v>59</v>
      </c>
      <c r="E1281" s="3" t="s">
        <v>48</v>
      </c>
      <c r="F1281" s="3" t="s">
        <v>37</v>
      </c>
      <c r="G1281" s="3" t="s">
        <v>131</v>
      </c>
      <c r="H1281" s="3" t="s">
        <v>51</v>
      </c>
      <c r="I1281" s="6">
        <v>43664</v>
      </c>
      <c r="J1281" s="8">
        <v>43675</v>
      </c>
      <c r="K1281" s="3">
        <v>11</v>
      </c>
      <c r="L1281" s="3" t="s">
        <v>39</v>
      </c>
      <c r="M1281" s="3" t="s">
        <v>40</v>
      </c>
      <c r="N1281" s="3" t="s">
        <v>147</v>
      </c>
      <c r="O1281" s="3" t="s">
        <v>30</v>
      </c>
      <c r="P1281" s="30">
        <v>38361.35</v>
      </c>
      <c r="Q1281" s="3" t="s">
        <v>266</v>
      </c>
      <c r="R1281" s="3">
        <v>7</v>
      </c>
      <c r="S1281" s="3">
        <v>131</v>
      </c>
      <c r="T1281" s="3">
        <v>20.399999999999999</v>
      </c>
      <c r="U1281" s="3" t="s">
        <v>32</v>
      </c>
      <c r="V1281" s="18" t="s">
        <v>33</v>
      </c>
    </row>
    <row r="1282" spans="1:22" ht="15" customHeight="1" x14ac:dyDescent="0.25">
      <c r="A1282" s="15" t="s">
        <v>2421</v>
      </c>
      <c r="B1282" s="1" t="s">
        <v>2422</v>
      </c>
      <c r="C1282">
        <v>64</v>
      </c>
      <c r="D1282" s="1" t="s">
        <v>59</v>
      </c>
      <c r="E1282" s="1" t="s">
        <v>23</v>
      </c>
      <c r="F1282" s="1" t="s">
        <v>83</v>
      </c>
      <c r="G1282" s="1" t="s">
        <v>131</v>
      </c>
      <c r="H1282" s="1" t="s">
        <v>26</v>
      </c>
      <c r="I1282" s="6">
        <v>44010</v>
      </c>
      <c r="J1282" s="7">
        <v>44016</v>
      </c>
      <c r="K1282" s="1">
        <v>6</v>
      </c>
      <c r="L1282" s="1" t="s">
        <v>52</v>
      </c>
      <c r="M1282" s="1" t="s">
        <v>53</v>
      </c>
      <c r="N1282" s="1" t="s">
        <v>133</v>
      </c>
      <c r="O1282" s="1" t="s">
        <v>30</v>
      </c>
      <c r="P1282" s="29">
        <v>19843.39</v>
      </c>
      <c r="Q1282" s="1" t="s">
        <v>266</v>
      </c>
      <c r="R1282" s="1">
        <v>6</v>
      </c>
      <c r="S1282" s="1">
        <v>330</v>
      </c>
      <c r="T1282" s="1">
        <v>26.7</v>
      </c>
      <c r="U1282" s="1" t="s">
        <v>32</v>
      </c>
      <c r="V1282" s="17" t="s">
        <v>33</v>
      </c>
    </row>
    <row r="1283" spans="1:22" ht="15" customHeight="1" x14ac:dyDescent="0.25">
      <c r="A1283" s="16" t="s">
        <v>2423</v>
      </c>
      <c r="B1283" s="3" t="s">
        <v>1541</v>
      </c>
      <c r="C1283">
        <v>37</v>
      </c>
      <c r="D1283" s="3" t="s">
        <v>98</v>
      </c>
      <c r="E1283" s="3" t="s">
        <v>48</v>
      </c>
      <c r="F1283" s="3" t="s">
        <v>24</v>
      </c>
      <c r="G1283" s="3" t="s">
        <v>131</v>
      </c>
      <c r="H1283" s="3" t="s">
        <v>51</v>
      </c>
      <c r="I1283" s="6">
        <v>44956</v>
      </c>
      <c r="J1283" s="8">
        <v>44959</v>
      </c>
      <c r="K1283" s="3">
        <v>3</v>
      </c>
      <c r="L1283" s="3" t="s">
        <v>102</v>
      </c>
      <c r="M1283" s="3" t="s">
        <v>28</v>
      </c>
      <c r="N1283" s="3" t="s">
        <v>133</v>
      </c>
      <c r="O1283" s="3" t="s">
        <v>30</v>
      </c>
      <c r="P1283" s="30">
        <v>8709</v>
      </c>
      <c r="Q1283" s="3" t="s">
        <v>695</v>
      </c>
      <c r="R1283" s="3">
        <v>5</v>
      </c>
      <c r="S1283" s="3">
        <v>132</v>
      </c>
      <c r="T1283" s="3">
        <v>18.5</v>
      </c>
      <c r="U1283" s="3" t="s">
        <v>86</v>
      </c>
      <c r="V1283" s="18" t="s">
        <v>33</v>
      </c>
    </row>
    <row r="1284" spans="1:22" ht="15" customHeight="1" x14ac:dyDescent="0.25">
      <c r="A1284" s="15" t="s">
        <v>2424</v>
      </c>
      <c r="B1284" s="1" t="s">
        <v>757</v>
      </c>
      <c r="C1284">
        <v>56</v>
      </c>
      <c r="D1284" s="1" t="s">
        <v>59</v>
      </c>
      <c r="E1284" s="1" t="s">
        <v>23</v>
      </c>
      <c r="F1284" s="1" t="s">
        <v>83</v>
      </c>
      <c r="G1284" s="1" t="s">
        <v>71</v>
      </c>
      <c r="H1284" s="1" t="s">
        <v>51</v>
      </c>
      <c r="I1284" s="6">
        <v>44176</v>
      </c>
      <c r="J1284" s="7">
        <v>44180</v>
      </c>
      <c r="K1284" s="1">
        <v>4</v>
      </c>
      <c r="L1284" s="1" t="s">
        <v>27</v>
      </c>
      <c r="M1284" s="1" t="s">
        <v>28</v>
      </c>
      <c r="N1284" s="1" t="s">
        <v>177</v>
      </c>
      <c r="O1284" s="1" t="s">
        <v>30</v>
      </c>
      <c r="P1284" s="29">
        <v>15312.34</v>
      </c>
      <c r="Q1284" s="1" t="s">
        <v>503</v>
      </c>
      <c r="R1284" s="1">
        <v>5</v>
      </c>
      <c r="S1284" s="1">
        <v>133</v>
      </c>
      <c r="T1284" s="1">
        <v>24.7</v>
      </c>
      <c r="U1284" s="1" t="s">
        <v>86</v>
      </c>
      <c r="V1284" s="17" t="s">
        <v>33</v>
      </c>
    </row>
    <row r="1285" spans="1:22" ht="15" customHeight="1" x14ac:dyDescent="0.25">
      <c r="A1285" s="16" t="s">
        <v>2425</v>
      </c>
      <c r="B1285" s="2" t="s">
        <v>3660</v>
      </c>
      <c r="C1285">
        <v>52</v>
      </c>
      <c r="D1285" s="3" t="s">
        <v>98</v>
      </c>
      <c r="E1285" s="3" t="s">
        <v>48</v>
      </c>
      <c r="F1285" s="3" t="s">
        <v>155</v>
      </c>
      <c r="G1285" s="3" t="s">
        <v>50</v>
      </c>
      <c r="H1285" s="3" t="s">
        <v>51</v>
      </c>
      <c r="I1285" s="6">
        <v>45452</v>
      </c>
      <c r="J1285" s="8">
        <v>45547</v>
      </c>
      <c r="K1285" s="3">
        <v>6</v>
      </c>
      <c r="L1285" s="3" t="s">
        <v>27</v>
      </c>
      <c r="M1285" s="3" t="s">
        <v>28</v>
      </c>
      <c r="N1285" s="3" t="s">
        <v>126</v>
      </c>
      <c r="O1285" s="3" t="s">
        <v>30</v>
      </c>
      <c r="P1285" s="30">
        <v>34167.64</v>
      </c>
      <c r="Q1285" s="3" t="s">
        <v>127</v>
      </c>
      <c r="R1285" s="3">
        <v>9</v>
      </c>
      <c r="S1285" s="3">
        <v>117</v>
      </c>
      <c r="T1285" s="3">
        <v>20.399999999999999</v>
      </c>
      <c r="U1285" s="3" t="s">
        <v>32</v>
      </c>
      <c r="V1285" s="18" t="s">
        <v>33</v>
      </c>
    </row>
    <row r="1286" spans="1:22" ht="15" customHeight="1" x14ac:dyDescent="0.25">
      <c r="A1286" s="15" t="s">
        <v>2426</v>
      </c>
      <c r="B1286" s="2" t="s">
        <v>1231</v>
      </c>
      <c r="C1286">
        <v>71</v>
      </c>
      <c r="D1286" s="1" t="s">
        <v>82</v>
      </c>
      <c r="E1286" s="1" t="s">
        <v>48</v>
      </c>
      <c r="F1286" s="1" t="s">
        <v>99</v>
      </c>
      <c r="G1286" s="1" t="s">
        <v>60</v>
      </c>
      <c r="H1286" s="1" t="s">
        <v>51</v>
      </c>
      <c r="I1286" s="7">
        <v>43858</v>
      </c>
      <c r="J1286" s="7">
        <v>43866</v>
      </c>
      <c r="K1286" s="1">
        <v>8</v>
      </c>
      <c r="L1286" s="1" t="s">
        <v>52</v>
      </c>
      <c r="M1286" s="1" t="s">
        <v>53</v>
      </c>
      <c r="N1286" s="1" t="s">
        <v>61</v>
      </c>
      <c r="O1286" s="1" t="s">
        <v>30</v>
      </c>
      <c r="P1286" s="29">
        <v>26538.13</v>
      </c>
      <c r="Q1286" s="1" t="s">
        <v>170</v>
      </c>
      <c r="R1286" s="1">
        <v>6</v>
      </c>
      <c r="S1286" s="1">
        <v>170</v>
      </c>
      <c r="T1286" s="1">
        <v>23.2</v>
      </c>
      <c r="U1286" s="1" t="s">
        <v>44</v>
      </c>
      <c r="V1286" s="17" t="s">
        <v>33</v>
      </c>
    </row>
    <row r="1287" spans="1:22" ht="15" customHeight="1" x14ac:dyDescent="0.25">
      <c r="A1287" s="16" t="s">
        <v>2427</v>
      </c>
      <c r="B1287" s="3" t="s">
        <v>2428</v>
      </c>
      <c r="C1287">
        <v>81</v>
      </c>
      <c r="D1287" s="3" t="s">
        <v>36</v>
      </c>
      <c r="E1287" s="3" t="s">
        <v>23</v>
      </c>
      <c r="F1287" s="3" t="s">
        <v>70</v>
      </c>
      <c r="G1287" s="3" t="s">
        <v>77</v>
      </c>
      <c r="H1287" s="3" t="s">
        <v>51</v>
      </c>
      <c r="I1287" s="8">
        <v>43621</v>
      </c>
      <c r="J1287" s="8">
        <v>43805</v>
      </c>
      <c r="K1287" s="3">
        <v>7</v>
      </c>
      <c r="L1287" s="3" t="s">
        <v>27</v>
      </c>
      <c r="M1287" s="3" t="s">
        <v>28</v>
      </c>
      <c r="N1287" s="3" t="s">
        <v>94</v>
      </c>
      <c r="O1287" s="3" t="s">
        <v>104</v>
      </c>
      <c r="P1287" s="30">
        <v>52170.66</v>
      </c>
      <c r="Q1287" s="3" t="s">
        <v>85</v>
      </c>
      <c r="R1287" s="3">
        <v>10</v>
      </c>
      <c r="S1287" s="3">
        <v>163</v>
      </c>
      <c r="T1287" s="3">
        <v>30.7</v>
      </c>
      <c r="U1287" s="3" t="s">
        <v>32</v>
      </c>
      <c r="V1287" s="18" t="s">
        <v>33</v>
      </c>
    </row>
    <row r="1288" spans="1:22" ht="15" customHeight="1" x14ac:dyDescent="0.25">
      <c r="A1288" s="15" t="s">
        <v>2429</v>
      </c>
      <c r="B1288" s="2" t="s">
        <v>1056</v>
      </c>
      <c r="C1288">
        <v>68</v>
      </c>
      <c r="D1288" s="1" t="s">
        <v>82</v>
      </c>
      <c r="E1288" s="1" t="s">
        <v>48</v>
      </c>
      <c r="F1288" s="1" t="s">
        <v>70</v>
      </c>
      <c r="G1288" s="1" t="s">
        <v>38</v>
      </c>
      <c r="H1288" s="1" t="s">
        <v>51</v>
      </c>
      <c r="I1288" s="6">
        <v>44913</v>
      </c>
      <c r="J1288" s="7">
        <v>44918</v>
      </c>
      <c r="K1288" s="1">
        <v>5</v>
      </c>
      <c r="L1288" s="1" t="s">
        <v>52</v>
      </c>
      <c r="M1288" s="1" t="s">
        <v>53</v>
      </c>
      <c r="N1288" s="1" t="s">
        <v>173</v>
      </c>
      <c r="O1288" s="1" t="s">
        <v>42</v>
      </c>
      <c r="P1288" s="29">
        <v>26625.83</v>
      </c>
      <c r="Q1288" s="1" t="s">
        <v>236</v>
      </c>
      <c r="R1288" s="1">
        <v>8</v>
      </c>
      <c r="S1288" s="1">
        <v>182</v>
      </c>
      <c r="T1288" s="1">
        <v>43.8</v>
      </c>
      <c r="U1288" s="1" t="s">
        <v>44</v>
      </c>
      <c r="V1288" s="17" t="s">
        <v>33</v>
      </c>
    </row>
    <row r="1289" spans="1:22" ht="15" customHeight="1" x14ac:dyDescent="0.25">
      <c r="A1289" s="16" t="s">
        <v>2430</v>
      </c>
      <c r="B1289" s="3" t="s">
        <v>2431</v>
      </c>
      <c r="C1289">
        <v>65</v>
      </c>
      <c r="D1289" s="3" t="s">
        <v>82</v>
      </c>
      <c r="E1289" s="3" t="s">
        <v>48</v>
      </c>
      <c r="F1289" s="2" t="s">
        <v>99</v>
      </c>
      <c r="G1289" s="3" t="s">
        <v>38</v>
      </c>
      <c r="H1289" s="3" t="s">
        <v>51</v>
      </c>
      <c r="I1289" s="6">
        <v>45381</v>
      </c>
      <c r="J1289" s="8">
        <v>45355</v>
      </c>
      <c r="K1289" s="3">
        <v>4</v>
      </c>
      <c r="L1289" s="3" t="s">
        <v>112</v>
      </c>
      <c r="M1289" s="3" t="s">
        <v>40</v>
      </c>
      <c r="N1289" s="3" t="s">
        <v>173</v>
      </c>
      <c r="O1289" s="3" t="s">
        <v>42</v>
      </c>
      <c r="P1289" s="30">
        <v>20963</v>
      </c>
      <c r="Q1289" s="3" t="s">
        <v>567</v>
      </c>
      <c r="R1289" s="3">
        <v>5</v>
      </c>
      <c r="S1289" s="3">
        <v>106</v>
      </c>
      <c r="T1289" s="3">
        <v>24.8</v>
      </c>
      <c r="U1289" s="3" t="s">
        <v>44</v>
      </c>
      <c r="V1289" s="18" t="s">
        <v>33</v>
      </c>
    </row>
    <row r="1290" spans="1:22" ht="15" customHeight="1" x14ac:dyDescent="0.25">
      <c r="A1290" s="15" t="s">
        <v>2432</v>
      </c>
      <c r="B1290" s="1" t="s">
        <v>2433</v>
      </c>
      <c r="C1290">
        <v>59</v>
      </c>
      <c r="D1290" s="1" t="s">
        <v>59</v>
      </c>
      <c r="E1290" s="1" t="s">
        <v>48</v>
      </c>
      <c r="F1290" s="1" t="s">
        <v>49</v>
      </c>
      <c r="G1290" s="1" t="s">
        <v>77</v>
      </c>
      <c r="H1290" s="1" t="s">
        <v>51</v>
      </c>
      <c r="I1290" s="7">
        <v>43791</v>
      </c>
      <c r="J1290" s="7">
        <v>43797</v>
      </c>
      <c r="K1290" s="1">
        <v>6</v>
      </c>
      <c r="L1290" s="1" t="s">
        <v>231</v>
      </c>
      <c r="M1290" s="1" t="s">
        <v>53</v>
      </c>
      <c r="N1290" s="1" t="s">
        <v>94</v>
      </c>
      <c r="O1290" s="1" t="s">
        <v>42</v>
      </c>
      <c r="P1290" s="29">
        <v>63240</v>
      </c>
      <c r="Q1290" s="1" t="s">
        <v>91</v>
      </c>
      <c r="R1290" s="1">
        <v>10</v>
      </c>
      <c r="S1290" s="1">
        <v>132</v>
      </c>
      <c r="T1290" s="1">
        <v>19.899999999999999</v>
      </c>
      <c r="U1290" s="1" t="s">
        <v>44</v>
      </c>
      <c r="V1290" s="17" t="s">
        <v>33</v>
      </c>
    </row>
    <row r="1291" spans="1:22" ht="15" customHeight="1" x14ac:dyDescent="0.25">
      <c r="A1291" s="16" t="s">
        <v>2434</v>
      </c>
      <c r="B1291" s="2" t="s">
        <v>3661</v>
      </c>
      <c r="C1291">
        <v>88</v>
      </c>
      <c r="D1291" s="3" t="s">
        <v>36</v>
      </c>
      <c r="E1291" s="3" t="s">
        <v>48</v>
      </c>
      <c r="F1291" s="3" t="s">
        <v>49</v>
      </c>
      <c r="G1291" s="3" t="s">
        <v>25</v>
      </c>
      <c r="H1291" s="3" t="s">
        <v>51</v>
      </c>
      <c r="I1291" s="8">
        <v>45280</v>
      </c>
      <c r="J1291" s="8">
        <v>45290</v>
      </c>
      <c r="K1291" s="3">
        <v>10</v>
      </c>
      <c r="L1291" s="3" t="s">
        <v>122</v>
      </c>
      <c r="M1291" s="3" t="s">
        <v>40</v>
      </c>
      <c r="N1291" s="3" t="s">
        <v>248</v>
      </c>
      <c r="O1291" s="3" t="s">
        <v>104</v>
      </c>
      <c r="P1291" s="30">
        <v>78119</v>
      </c>
      <c r="Q1291" s="3" t="s">
        <v>105</v>
      </c>
      <c r="R1291" s="3">
        <v>10</v>
      </c>
      <c r="S1291" s="3">
        <v>128</v>
      </c>
      <c r="T1291" s="3">
        <v>14</v>
      </c>
      <c r="U1291" s="3" t="s">
        <v>44</v>
      </c>
      <c r="V1291" s="18" t="s">
        <v>45</v>
      </c>
    </row>
    <row r="1292" spans="1:22" ht="15" customHeight="1" x14ac:dyDescent="0.25">
      <c r="A1292" s="15" t="s">
        <v>2435</v>
      </c>
      <c r="B1292" s="1" t="s">
        <v>2436</v>
      </c>
      <c r="C1292">
        <v>33</v>
      </c>
      <c r="D1292" s="1" t="s">
        <v>47</v>
      </c>
      <c r="E1292" s="1" t="s">
        <v>23</v>
      </c>
      <c r="F1292" s="1" t="s">
        <v>83</v>
      </c>
      <c r="G1292" s="1" t="s">
        <v>60</v>
      </c>
      <c r="H1292" s="1" t="s">
        <v>26</v>
      </c>
      <c r="I1292" s="6">
        <v>44681</v>
      </c>
      <c r="J1292" s="7">
        <v>44747</v>
      </c>
      <c r="K1292" s="1">
        <v>7</v>
      </c>
      <c r="L1292" s="1" t="s">
        <v>89</v>
      </c>
      <c r="M1292" s="1" t="s">
        <v>90</v>
      </c>
      <c r="N1292" s="1" t="s">
        <v>210</v>
      </c>
      <c r="O1292" s="1" t="s">
        <v>30</v>
      </c>
      <c r="P1292" s="29">
        <v>20466.02</v>
      </c>
      <c r="Q1292" s="1" t="s">
        <v>137</v>
      </c>
      <c r="R1292" s="1">
        <v>6</v>
      </c>
      <c r="S1292" s="1">
        <v>370</v>
      </c>
      <c r="T1292" s="1">
        <v>27.4</v>
      </c>
      <c r="U1292" s="1" t="s">
        <v>44</v>
      </c>
      <c r="V1292" s="17" t="s">
        <v>33</v>
      </c>
    </row>
    <row r="1293" spans="1:22" ht="15" customHeight="1" x14ac:dyDescent="0.25">
      <c r="A1293" s="16" t="s">
        <v>2437</v>
      </c>
      <c r="B1293" s="3" t="s">
        <v>2438</v>
      </c>
      <c r="C1293">
        <v>36</v>
      </c>
      <c r="D1293" s="3" t="s">
        <v>98</v>
      </c>
      <c r="E1293" s="3" t="s">
        <v>23</v>
      </c>
      <c r="F1293" s="3" t="s">
        <v>83</v>
      </c>
      <c r="G1293" s="3" t="s">
        <v>77</v>
      </c>
      <c r="H1293" s="3" t="s">
        <v>26</v>
      </c>
      <c r="I1293" s="6">
        <v>45569</v>
      </c>
      <c r="J1293" s="8">
        <v>45577</v>
      </c>
      <c r="K1293" s="3">
        <v>8</v>
      </c>
      <c r="L1293" s="3" t="s">
        <v>132</v>
      </c>
      <c r="M1293" s="3" t="s">
        <v>53</v>
      </c>
      <c r="N1293" s="3" t="s">
        <v>84</v>
      </c>
      <c r="O1293" s="3" t="s">
        <v>42</v>
      </c>
      <c r="P1293" s="30">
        <v>48968.19</v>
      </c>
      <c r="Q1293" s="3" t="s">
        <v>85</v>
      </c>
      <c r="R1293" s="3">
        <v>10</v>
      </c>
      <c r="S1293" s="3">
        <v>359</v>
      </c>
      <c r="T1293" s="3">
        <v>23.1</v>
      </c>
      <c r="U1293" s="3" t="s">
        <v>44</v>
      </c>
      <c r="V1293" s="18" t="s">
        <v>33</v>
      </c>
    </row>
    <row r="1294" spans="1:22" ht="15" customHeight="1" x14ac:dyDescent="0.25">
      <c r="A1294" s="15" t="s">
        <v>2439</v>
      </c>
      <c r="B1294" s="1" t="s">
        <v>2440</v>
      </c>
      <c r="C1294">
        <v>50</v>
      </c>
      <c r="D1294" s="1" t="s">
        <v>98</v>
      </c>
      <c r="E1294" s="1" t="s">
        <v>48</v>
      </c>
      <c r="F1294" s="2" t="s">
        <v>155</v>
      </c>
      <c r="G1294" s="1" t="s">
        <v>163</v>
      </c>
      <c r="H1294" s="1" t="s">
        <v>51</v>
      </c>
      <c r="I1294" s="7">
        <v>45444</v>
      </c>
      <c r="J1294" s="7">
        <v>45447</v>
      </c>
      <c r="K1294" s="1">
        <v>3</v>
      </c>
      <c r="L1294" s="1" t="s">
        <v>52</v>
      </c>
      <c r="M1294" s="1" t="s">
        <v>53</v>
      </c>
      <c r="N1294" s="1" t="s">
        <v>213</v>
      </c>
      <c r="O1294" s="1" t="s">
        <v>42</v>
      </c>
      <c r="P1294" s="29">
        <v>21229.08</v>
      </c>
      <c r="Q1294" s="1" t="s">
        <v>257</v>
      </c>
      <c r="R1294" s="1">
        <v>4</v>
      </c>
      <c r="S1294" s="1">
        <v>198</v>
      </c>
      <c r="T1294" s="1">
        <v>26.4</v>
      </c>
      <c r="U1294" s="1" t="s">
        <v>44</v>
      </c>
      <c r="V1294" s="17" t="s">
        <v>33</v>
      </c>
    </row>
    <row r="1295" spans="1:22" ht="15" customHeight="1" x14ac:dyDescent="0.25">
      <c r="A1295" s="16" t="s">
        <v>2441</v>
      </c>
      <c r="B1295" s="2" t="s">
        <v>3662</v>
      </c>
      <c r="C1295">
        <v>74</v>
      </c>
      <c r="D1295" s="3" t="s">
        <v>82</v>
      </c>
      <c r="E1295" s="3" t="s">
        <v>23</v>
      </c>
      <c r="F1295" s="3" t="s">
        <v>155</v>
      </c>
      <c r="G1295" s="3" t="s">
        <v>77</v>
      </c>
      <c r="H1295" s="3" t="s">
        <v>26</v>
      </c>
      <c r="I1295" s="8">
        <v>44043</v>
      </c>
      <c r="J1295" s="8">
        <v>44067</v>
      </c>
      <c r="K1295" s="3">
        <v>24</v>
      </c>
      <c r="L1295" s="3" t="s">
        <v>102</v>
      </c>
      <c r="M1295" s="3" t="s">
        <v>28</v>
      </c>
      <c r="N1295" s="3" t="s">
        <v>94</v>
      </c>
      <c r="O1295" s="3" t="s">
        <v>30</v>
      </c>
      <c r="P1295" s="30">
        <v>114325.53</v>
      </c>
      <c r="Q1295" s="3" t="s">
        <v>181</v>
      </c>
      <c r="R1295" s="3">
        <v>6</v>
      </c>
      <c r="S1295" s="3">
        <v>370</v>
      </c>
      <c r="T1295" s="3">
        <v>32.299999999999997</v>
      </c>
      <c r="U1295" s="3" t="s">
        <v>86</v>
      </c>
      <c r="V1295" s="18" t="s">
        <v>33</v>
      </c>
    </row>
    <row r="1296" spans="1:22" ht="15" customHeight="1" x14ac:dyDescent="0.25">
      <c r="A1296" s="15" t="s">
        <v>2442</v>
      </c>
      <c r="B1296" s="1" t="s">
        <v>2443</v>
      </c>
      <c r="C1296">
        <v>63</v>
      </c>
      <c r="D1296" s="1" t="s">
        <v>59</v>
      </c>
      <c r="E1296" s="1" t="s">
        <v>48</v>
      </c>
      <c r="F1296" s="1" t="s">
        <v>70</v>
      </c>
      <c r="G1296" s="1" t="s">
        <v>25</v>
      </c>
      <c r="H1296" s="1" t="s">
        <v>78</v>
      </c>
      <c r="I1296" s="7">
        <v>44414</v>
      </c>
      <c r="J1296" s="7">
        <v>44434</v>
      </c>
      <c r="K1296" s="1">
        <v>20</v>
      </c>
      <c r="L1296" s="1" t="s">
        <v>39</v>
      </c>
      <c r="M1296" s="1" t="s">
        <v>40</v>
      </c>
      <c r="N1296" s="1" t="s">
        <v>65</v>
      </c>
      <c r="O1296" s="1" t="s">
        <v>104</v>
      </c>
      <c r="P1296" s="29">
        <v>42040.800000000003</v>
      </c>
      <c r="Q1296" s="1" t="s">
        <v>31</v>
      </c>
      <c r="R1296" s="1">
        <v>12</v>
      </c>
      <c r="S1296" s="1">
        <v>165</v>
      </c>
      <c r="T1296" s="1">
        <v>32.4</v>
      </c>
      <c r="U1296" s="1" t="s">
        <v>44</v>
      </c>
      <c r="V1296" s="17" t="s">
        <v>33</v>
      </c>
    </row>
    <row r="1297" spans="1:22" ht="15" customHeight="1" x14ac:dyDescent="0.25">
      <c r="A1297" s="16" t="s">
        <v>2444</v>
      </c>
      <c r="B1297" s="3" t="s">
        <v>2445</v>
      </c>
      <c r="C1297">
        <v>66</v>
      </c>
      <c r="D1297" s="3" t="s">
        <v>82</v>
      </c>
      <c r="E1297" s="3" t="s">
        <v>23</v>
      </c>
      <c r="F1297" s="3" t="s">
        <v>76</v>
      </c>
      <c r="G1297" s="3" t="s">
        <v>77</v>
      </c>
      <c r="H1297" s="3" t="s">
        <v>26</v>
      </c>
      <c r="I1297" s="8">
        <v>44724</v>
      </c>
      <c r="J1297" s="8">
        <v>44731</v>
      </c>
      <c r="K1297" s="3">
        <v>7</v>
      </c>
      <c r="L1297" s="3" t="s">
        <v>27</v>
      </c>
      <c r="M1297" s="3" t="s">
        <v>28</v>
      </c>
      <c r="N1297" s="3" t="s">
        <v>84</v>
      </c>
      <c r="O1297" s="3" t="s">
        <v>104</v>
      </c>
      <c r="P1297" s="30">
        <v>63297.42</v>
      </c>
      <c r="Q1297" s="3" t="s">
        <v>85</v>
      </c>
      <c r="R1297" s="3">
        <v>5</v>
      </c>
      <c r="S1297" s="3">
        <v>373</v>
      </c>
      <c r="T1297" s="3">
        <v>33.4</v>
      </c>
      <c r="U1297" s="3" t="s">
        <v>44</v>
      </c>
      <c r="V1297" s="18" t="s">
        <v>33</v>
      </c>
    </row>
    <row r="1298" spans="1:22" ht="15" customHeight="1" x14ac:dyDescent="0.25">
      <c r="A1298" s="15" t="s">
        <v>2446</v>
      </c>
      <c r="B1298" s="1" t="s">
        <v>1070</v>
      </c>
      <c r="C1298">
        <v>68</v>
      </c>
      <c r="D1298" s="1" t="s">
        <v>82</v>
      </c>
      <c r="E1298" s="1" t="s">
        <v>48</v>
      </c>
      <c r="F1298" s="1" t="s">
        <v>24</v>
      </c>
      <c r="G1298" s="1" t="s">
        <v>77</v>
      </c>
      <c r="H1298" s="1" t="s">
        <v>51</v>
      </c>
      <c r="I1298" s="7">
        <v>45622</v>
      </c>
      <c r="J1298" s="7">
        <v>45455</v>
      </c>
      <c r="K1298" s="1">
        <v>10</v>
      </c>
      <c r="L1298" s="1" t="s">
        <v>122</v>
      </c>
      <c r="M1298" s="1" t="s">
        <v>40</v>
      </c>
      <c r="N1298" s="1" t="s">
        <v>94</v>
      </c>
      <c r="O1298" s="1" t="s">
        <v>55</v>
      </c>
      <c r="P1298" s="29">
        <v>42662.14</v>
      </c>
      <c r="Q1298" s="1" t="s">
        <v>80</v>
      </c>
      <c r="R1298" s="1">
        <v>9</v>
      </c>
      <c r="S1298" s="1">
        <v>190</v>
      </c>
      <c r="T1298" s="1">
        <v>28.6</v>
      </c>
      <c r="U1298" s="1" t="s">
        <v>86</v>
      </c>
      <c r="V1298" s="17" t="s">
        <v>45</v>
      </c>
    </row>
    <row r="1299" spans="1:22" ht="15" customHeight="1" x14ac:dyDescent="0.25">
      <c r="A1299" s="16" t="s">
        <v>2447</v>
      </c>
      <c r="B1299" s="3" t="s">
        <v>2448</v>
      </c>
      <c r="C1299">
        <v>69</v>
      </c>
      <c r="D1299" s="3" t="s">
        <v>82</v>
      </c>
      <c r="E1299" s="3" t="s">
        <v>23</v>
      </c>
      <c r="F1299" s="3" t="s">
        <v>70</v>
      </c>
      <c r="G1299" s="3" t="s">
        <v>77</v>
      </c>
      <c r="H1299" s="3" t="s">
        <v>51</v>
      </c>
      <c r="I1299" s="8">
        <v>45650</v>
      </c>
      <c r="J1299" s="8">
        <v>45657</v>
      </c>
      <c r="K1299" s="3">
        <v>7</v>
      </c>
      <c r="L1299" s="3" t="s">
        <v>122</v>
      </c>
      <c r="M1299" s="3" t="s">
        <v>40</v>
      </c>
      <c r="N1299" s="3" t="s">
        <v>79</v>
      </c>
      <c r="O1299" s="3" t="s">
        <v>104</v>
      </c>
      <c r="P1299" s="30">
        <v>73362.649999999994</v>
      </c>
      <c r="Q1299" s="3" t="s">
        <v>100</v>
      </c>
      <c r="R1299" s="3">
        <v>10</v>
      </c>
      <c r="S1299" s="3">
        <v>188</v>
      </c>
      <c r="T1299" s="3">
        <v>33.700000000000003</v>
      </c>
      <c r="U1299" s="3" t="s">
        <v>86</v>
      </c>
      <c r="V1299" s="18" t="s">
        <v>33</v>
      </c>
    </row>
    <row r="1300" spans="1:22" ht="15" customHeight="1" x14ac:dyDescent="0.25">
      <c r="A1300" s="15" t="s">
        <v>2449</v>
      </c>
      <c r="B1300" s="1" t="s">
        <v>2450</v>
      </c>
      <c r="C1300">
        <v>68</v>
      </c>
      <c r="D1300" s="1" t="s">
        <v>82</v>
      </c>
      <c r="E1300" s="1" t="s">
        <v>23</v>
      </c>
      <c r="F1300" s="1" t="s">
        <v>37</v>
      </c>
      <c r="G1300" s="1" t="s">
        <v>587</v>
      </c>
      <c r="H1300" s="1" t="s">
        <v>51</v>
      </c>
      <c r="I1300" s="7">
        <v>43852</v>
      </c>
      <c r="J1300" s="7">
        <v>44076</v>
      </c>
      <c r="K1300" s="1">
        <v>18</v>
      </c>
      <c r="L1300" s="1" t="s">
        <v>89</v>
      </c>
      <c r="M1300" s="1" t="s">
        <v>90</v>
      </c>
      <c r="N1300" s="1" t="s">
        <v>29</v>
      </c>
      <c r="O1300" s="1" t="s">
        <v>30</v>
      </c>
      <c r="P1300" s="29">
        <v>54847.199999999997</v>
      </c>
      <c r="Q1300" s="1" t="s">
        <v>310</v>
      </c>
      <c r="R1300" s="1">
        <v>12</v>
      </c>
      <c r="S1300" s="1">
        <v>186</v>
      </c>
      <c r="T1300" s="1">
        <v>20.6</v>
      </c>
      <c r="U1300" s="1" t="s">
        <v>44</v>
      </c>
      <c r="V1300" s="17" t="s">
        <v>33</v>
      </c>
    </row>
    <row r="1301" spans="1:22" ht="15" customHeight="1" x14ac:dyDescent="0.25">
      <c r="A1301" s="16" t="s">
        <v>2451</v>
      </c>
      <c r="B1301" s="3" t="s">
        <v>1372</v>
      </c>
      <c r="C1301">
        <v>39</v>
      </c>
      <c r="D1301" s="3" t="s">
        <v>98</v>
      </c>
      <c r="E1301" s="3" t="s">
        <v>23</v>
      </c>
      <c r="F1301" s="3" t="s">
        <v>37</v>
      </c>
      <c r="G1301" s="3" t="s">
        <v>131</v>
      </c>
      <c r="H1301" s="3" t="s">
        <v>26</v>
      </c>
      <c r="I1301" s="8">
        <v>45275</v>
      </c>
      <c r="J1301" s="8">
        <v>45283</v>
      </c>
      <c r="K1301" s="3">
        <v>8</v>
      </c>
      <c r="L1301" s="3" t="s">
        <v>231</v>
      </c>
      <c r="M1301" s="3" t="s">
        <v>53</v>
      </c>
      <c r="N1301" s="3" t="s">
        <v>157</v>
      </c>
      <c r="O1301" s="3" t="s">
        <v>30</v>
      </c>
      <c r="P1301" s="30">
        <v>19856.16</v>
      </c>
      <c r="Q1301" s="3" t="s">
        <v>695</v>
      </c>
      <c r="R1301" s="3">
        <v>7</v>
      </c>
      <c r="S1301" s="3">
        <v>351</v>
      </c>
      <c r="T1301" s="3">
        <v>24.9</v>
      </c>
      <c r="U1301" s="3" t="s">
        <v>44</v>
      </c>
      <c r="V1301" s="18" t="s">
        <v>33</v>
      </c>
    </row>
    <row r="1302" spans="1:22" ht="15" customHeight="1" x14ac:dyDescent="0.25">
      <c r="A1302" s="15" t="s">
        <v>2452</v>
      </c>
      <c r="B1302" s="1" t="s">
        <v>2453</v>
      </c>
      <c r="C1302">
        <v>50</v>
      </c>
      <c r="D1302" s="1" t="s">
        <v>98</v>
      </c>
      <c r="E1302" s="1" t="s">
        <v>23</v>
      </c>
      <c r="F1302" s="1" t="s">
        <v>83</v>
      </c>
      <c r="G1302" s="1" t="s">
        <v>38</v>
      </c>
      <c r="H1302" s="1" t="s">
        <v>26</v>
      </c>
      <c r="I1302" s="7">
        <v>45326</v>
      </c>
      <c r="J1302" s="7">
        <v>45475</v>
      </c>
      <c r="K1302" s="1">
        <v>3</v>
      </c>
      <c r="L1302" s="1" t="s">
        <v>112</v>
      </c>
      <c r="M1302" s="1" t="s">
        <v>40</v>
      </c>
      <c r="N1302" s="1" t="s">
        <v>41</v>
      </c>
      <c r="O1302" s="1" t="s">
        <v>42</v>
      </c>
      <c r="P1302" s="29">
        <v>21233</v>
      </c>
      <c r="Q1302" s="1" t="s">
        <v>437</v>
      </c>
      <c r="R1302" s="1">
        <v>8</v>
      </c>
      <c r="S1302" s="1">
        <v>323</v>
      </c>
      <c r="T1302" s="1">
        <v>28.1</v>
      </c>
      <c r="U1302" s="1" t="s">
        <v>44</v>
      </c>
      <c r="V1302" s="17" t="s">
        <v>33</v>
      </c>
    </row>
    <row r="1303" spans="1:22" ht="15" customHeight="1" x14ac:dyDescent="0.25">
      <c r="A1303" s="16" t="s">
        <v>2454</v>
      </c>
      <c r="B1303" s="3" t="s">
        <v>2455</v>
      </c>
      <c r="C1303">
        <v>57</v>
      </c>
      <c r="D1303" s="3" t="s">
        <v>59</v>
      </c>
      <c r="E1303" s="3" t="s">
        <v>48</v>
      </c>
      <c r="F1303" s="3" t="s">
        <v>76</v>
      </c>
      <c r="G1303" s="3" t="s">
        <v>131</v>
      </c>
      <c r="H1303" s="3" t="s">
        <v>51</v>
      </c>
      <c r="I1303" s="6">
        <v>45483</v>
      </c>
      <c r="J1303" s="8">
        <v>45576</v>
      </c>
      <c r="K1303" s="3">
        <v>4</v>
      </c>
      <c r="L1303" s="3" t="s">
        <v>89</v>
      </c>
      <c r="M1303" s="3" t="s">
        <v>90</v>
      </c>
      <c r="N1303" s="3" t="s">
        <v>157</v>
      </c>
      <c r="O1303" s="3" t="s">
        <v>55</v>
      </c>
      <c r="P1303" s="30">
        <v>16354.51</v>
      </c>
      <c r="Q1303" s="3" t="s">
        <v>152</v>
      </c>
      <c r="R1303" s="3">
        <v>7</v>
      </c>
      <c r="S1303" s="3">
        <v>182</v>
      </c>
      <c r="T1303" s="3">
        <v>33</v>
      </c>
      <c r="U1303" s="3" t="s">
        <v>32</v>
      </c>
      <c r="V1303" s="18" t="s">
        <v>45</v>
      </c>
    </row>
    <row r="1304" spans="1:22" ht="15" customHeight="1" x14ac:dyDescent="0.25">
      <c r="A1304" s="15" t="s">
        <v>2456</v>
      </c>
      <c r="B1304" s="1" t="s">
        <v>1774</v>
      </c>
      <c r="C1304">
        <v>58</v>
      </c>
      <c r="D1304" s="1" t="s">
        <v>59</v>
      </c>
      <c r="E1304" s="1" t="s">
        <v>48</v>
      </c>
      <c r="F1304" s="1" t="s">
        <v>99</v>
      </c>
      <c r="G1304" s="1" t="s">
        <v>50</v>
      </c>
      <c r="H1304" s="1" t="s">
        <v>51</v>
      </c>
      <c r="I1304" s="7">
        <v>44017</v>
      </c>
      <c r="J1304" s="7">
        <v>44111</v>
      </c>
      <c r="K1304" s="1">
        <v>5</v>
      </c>
      <c r="L1304" s="1" t="s">
        <v>27</v>
      </c>
      <c r="M1304" s="1" t="s">
        <v>28</v>
      </c>
      <c r="N1304" s="1" t="s">
        <v>126</v>
      </c>
      <c r="O1304" s="1" t="s">
        <v>66</v>
      </c>
      <c r="P1304" s="29">
        <v>77439.850000000006</v>
      </c>
      <c r="Q1304" s="1" t="s">
        <v>194</v>
      </c>
      <c r="R1304" s="1">
        <v>6</v>
      </c>
      <c r="S1304" s="1">
        <v>132</v>
      </c>
      <c r="T1304" s="1">
        <v>33.6</v>
      </c>
      <c r="U1304" s="1" t="s">
        <v>44</v>
      </c>
      <c r="V1304" s="17" t="s">
        <v>33</v>
      </c>
    </row>
    <row r="1305" spans="1:22" ht="15" customHeight="1" x14ac:dyDescent="0.25">
      <c r="A1305" s="16" t="s">
        <v>2457</v>
      </c>
      <c r="B1305" s="3" t="s">
        <v>1196</v>
      </c>
      <c r="C1305">
        <v>73</v>
      </c>
      <c r="D1305" s="3" t="s">
        <v>82</v>
      </c>
      <c r="E1305" s="3" t="s">
        <v>23</v>
      </c>
      <c r="F1305" s="3" t="s">
        <v>37</v>
      </c>
      <c r="G1305" s="3" t="s">
        <v>188</v>
      </c>
      <c r="H1305" s="3" t="s">
        <v>26</v>
      </c>
      <c r="I1305" s="8">
        <v>45059</v>
      </c>
      <c r="J1305" s="8">
        <v>45066</v>
      </c>
      <c r="K1305" s="3">
        <v>7</v>
      </c>
      <c r="L1305" s="3" t="s">
        <v>122</v>
      </c>
      <c r="M1305" s="3" t="s">
        <v>40</v>
      </c>
      <c r="N1305" s="3" t="s">
        <v>79</v>
      </c>
      <c r="O1305" s="3" t="s">
        <v>55</v>
      </c>
      <c r="P1305" s="30">
        <v>119927.77</v>
      </c>
      <c r="Q1305" s="3" t="s">
        <v>85</v>
      </c>
      <c r="R1305" s="3">
        <v>9</v>
      </c>
      <c r="S1305" s="3">
        <v>322</v>
      </c>
      <c r="T1305" s="3">
        <v>40.200000000000003</v>
      </c>
      <c r="U1305" s="3" t="s">
        <v>44</v>
      </c>
      <c r="V1305" s="18" t="s">
        <v>33</v>
      </c>
    </row>
    <row r="1306" spans="1:22" ht="15" customHeight="1" x14ac:dyDescent="0.25">
      <c r="A1306" s="15" t="s">
        <v>2458</v>
      </c>
      <c r="B1306" s="1" t="s">
        <v>2459</v>
      </c>
      <c r="C1306">
        <v>65</v>
      </c>
      <c r="D1306" s="1" t="s">
        <v>82</v>
      </c>
      <c r="E1306" s="1" t="s">
        <v>48</v>
      </c>
      <c r="F1306" s="1" t="s">
        <v>49</v>
      </c>
      <c r="G1306" s="1" t="s">
        <v>77</v>
      </c>
      <c r="H1306" s="1" t="s">
        <v>26</v>
      </c>
      <c r="I1306" s="7">
        <v>44472</v>
      </c>
      <c r="J1306" s="7">
        <v>44279</v>
      </c>
      <c r="K1306" s="1">
        <v>14</v>
      </c>
      <c r="L1306" s="1" t="s">
        <v>27</v>
      </c>
      <c r="M1306" s="1" t="s">
        <v>28</v>
      </c>
      <c r="N1306" s="1" t="s">
        <v>79</v>
      </c>
      <c r="O1306" s="1" t="s">
        <v>30</v>
      </c>
      <c r="P1306" s="29">
        <v>120770.11</v>
      </c>
      <c r="Q1306" s="1" t="s">
        <v>91</v>
      </c>
      <c r="R1306" s="1">
        <v>9</v>
      </c>
      <c r="S1306" s="1">
        <v>321</v>
      </c>
      <c r="T1306" s="4"/>
      <c r="U1306" s="1" t="s">
        <v>44</v>
      </c>
      <c r="V1306" s="17" t="s">
        <v>33</v>
      </c>
    </row>
    <row r="1307" spans="1:22" ht="15" customHeight="1" x14ac:dyDescent="0.25">
      <c r="A1307" s="16" t="s">
        <v>2460</v>
      </c>
      <c r="B1307" s="2" t="s">
        <v>3663</v>
      </c>
      <c r="C1307">
        <v>87</v>
      </c>
      <c r="D1307" s="3" t="s">
        <v>36</v>
      </c>
      <c r="E1307" s="3" t="s">
        <v>23</v>
      </c>
      <c r="F1307" s="3" t="s">
        <v>83</v>
      </c>
      <c r="G1307" s="3" t="s">
        <v>38</v>
      </c>
      <c r="H1307" s="3" t="s">
        <v>26</v>
      </c>
      <c r="I1307" s="6">
        <v>43476</v>
      </c>
      <c r="J1307" s="8">
        <v>43482</v>
      </c>
      <c r="K1307" s="3">
        <v>6</v>
      </c>
      <c r="L1307" s="3" t="s">
        <v>185</v>
      </c>
      <c r="M1307" s="3" t="s">
        <v>186</v>
      </c>
      <c r="N1307" s="3" t="s">
        <v>203</v>
      </c>
      <c r="O1307" s="3" t="s">
        <v>66</v>
      </c>
      <c r="P1307" s="30">
        <v>70970.17</v>
      </c>
      <c r="Q1307" s="3" t="s">
        <v>567</v>
      </c>
      <c r="R1307" s="3">
        <v>8</v>
      </c>
      <c r="S1307" s="3">
        <v>460</v>
      </c>
      <c r="T1307" s="3">
        <v>22.2</v>
      </c>
      <c r="U1307" s="3" t="s">
        <v>44</v>
      </c>
      <c r="V1307" s="18" t="s">
        <v>45</v>
      </c>
    </row>
    <row r="1308" spans="1:22" ht="15" customHeight="1" x14ac:dyDescent="0.25">
      <c r="A1308" s="15" t="s">
        <v>2461</v>
      </c>
      <c r="B1308" s="1" t="s">
        <v>2462</v>
      </c>
      <c r="C1308">
        <v>90</v>
      </c>
      <c r="D1308" s="1" t="s">
        <v>36</v>
      </c>
      <c r="E1308" s="1" t="s">
        <v>48</v>
      </c>
      <c r="F1308" s="1" t="s">
        <v>24</v>
      </c>
      <c r="G1308" s="1" t="s">
        <v>71</v>
      </c>
      <c r="H1308" s="1" t="s">
        <v>78</v>
      </c>
      <c r="I1308" s="7">
        <v>44406</v>
      </c>
      <c r="J1308" s="7">
        <v>44412</v>
      </c>
      <c r="K1308" s="1">
        <v>6</v>
      </c>
      <c r="L1308" s="1" t="s">
        <v>52</v>
      </c>
      <c r="M1308" s="1" t="s">
        <v>53</v>
      </c>
      <c r="N1308" s="1" t="s">
        <v>177</v>
      </c>
      <c r="O1308" s="1" t="s">
        <v>30</v>
      </c>
      <c r="P1308" s="29">
        <v>17787.95</v>
      </c>
      <c r="Q1308" s="1" t="s">
        <v>503</v>
      </c>
      <c r="R1308" s="1">
        <v>3</v>
      </c>
      <c r="S1308" s="1">
        <v>349</v>
      </c>
      <c r="T1308" s="4"/>
      <c r="U1308" s="1" t="s">
        <v>32</v>
      </c>
      <c r="V1308" s="17" t="s">
        <v>45</v>
      </c>
    </row>
    <row r="1309" spans="1:22" ht="15" customHeight="1" x14ac:dyDescent="0.25">
      <c r="A1309" s="16" t="s">
        <v>2463</v>
      </c>
      <c r="B1309" s="3" t="s">
        <v>2464</v>
      </c>
      <c r="C1309">
        <v>19</v>
      </c>
      <c r="D1309" s="3" t="s">
        <v>47</v>
      </c>
      <c r="E1309" s="3" t="s">
        <v>48</v>
      </c>
      <c r="F1309" s="3" t="s">
        <v>49</v>
      </c>
      <c r="G1309" s="3" t="s">
        <v>25</v>
      </c>
      <c r="H1309" s="3" t="s">
        <v>51</v>
      </c>
      <c r="I1309" s="6">
        <v>44318</v>
      </c>
      <c r="J1309" s="8">
        <v>44243</v>
      </c>
      <c r="K1309" s="3">
        <v>11</v>
      </c>
      <c r="L1309" s="3" t="s">
        <v>52</v>
      </c>
      <c r="M1309" s="3" t="s">
        <v>53</v>
      </c>
      <c r="N1309" s="3" t="s">
        <v>65</v>
      </c>
      <c r="O1309" s="3" t="s">
        <v>30</v>
      </c>
      <c r="P1309" s="30">
        <v>46068.03</v>
      </c>
      <c r="Q1309" s="3" t="s">
        <v>515</v>
      </c>
      <c r="R1309" s="3">
        <v>12</v>
      </c>
      <c r="S1309" s="3">
        <v>143</v>
      </c>
      <c r="T1309" s="3">
        <v>14.2</v>
      </c>
      <c r="U1309" s="3" t="s">
        <v>32</v>
      </c>
      <c r="V1309" s="18" t="s">
        <v>33</v>
      </c>
    </row>
    <row r="1310" spans="1:22" ht="15" customHeight="1" x14ac:dyDescent="0.25">
      <c r="A1310" s="15" t="s">
        <v>2465</v>
      </c>
      <c r="B1310" s="1" t="s">
        <v>2466</v>
      </c>
      <c r="C1310">
        <v>36</v>
      </c>
      <c r="D1310" s="1" t="s">
        <v>98</v>
      </c>
      <c r="E1310" s="1" t="s">
        <v>48</v>
      </c>
      <c r="F1310" s="1" t="s">
        <v>37</v>
      </c>
      <c r="G1310" s="1" t="s">
        <v>131</v>
      </c>
      <c r="H1310" s="1" t="s">
        <v>51</v>
      </c>
      <c r="I1310" s="7">
        <v>45602</v>
      </c>
      <c r="J1310" s="7">
        <v>45515</v>
      </c>
      <c r="K1310" s="1">
        <v>2</v>
      </c>
      <c r="L1310" s="1" t="s">
        <v>27</v>
      </c>
      <c r="M1310" s="1" t="s">
        <v>28</v>
      </c>
      <c r="N1310" s="1" t="s">
        <v>157</v>
      </c>
      <c r="O1310" s="1" t="s">
        <v>66</v>
      </c>
      <c r="P1310" s="29">
        <v>30114.94</v>
      </c>
      <c r="Q1310" s="1" t="s">
        <v>158</v>
      </c>
      <c r="R1310" s="1">
        <v>7</v>
      </c>
      <c r="S1310" s="1">
        <v>197</v>
      </c>
      <c r="T1310" s="1">
        <v>19.899999999999999</v>
      </c>
      <c r="U1310" s="1" t="s">
        <v>32</v>
      </c>
      <c r="V1310" s="17" t="s">
        <v>33</v>
      </c>
    </row>
    <row r="1311" spans="1:22" ht="15" customHeight="1" x14ac:dyDescent="0.25">
      <c r="A1311" s="16" t="s">
        <v>2467</v>
      </c>
      <c r="B1311" s="2" t="s">
        <v>3664</v>
      </c>
      <c r="C1311">
        <v>71</v>
      </c>
      <c r="D1311" s="3" t="s">
        <v>82</v>
      </c>
      <c r="E1311" s="3" t="s">
        <v>48</v>
      </c>
      <c r="F1311" s="3" t="s">
        <v>76</v>
      </c>
      <c r="G1311" s="3" t="s">
        <v>163</v>
      </c>
      <c r="H1311" s="3" t="s">
        <v>51</v>
      </c>
      <c r="I1311" s="8">
        <v>44090</v>
      </c>
      <c r="J1311" s="8">
        <v>44093</v>
      </c>
      <c r="K1311" s="3">
        <v>3</v>
      </c>
      <c r="L1311" s="3" t="s">
        <v>27</v>
      </c>
      <c r="M1311" s="3" t="s">
        <v>28</v>
      </c>
      <c r="N1311" s="3" t="s">
        <v>213</v>
      </c>
      <c r="O1311" s="3" t="s">
        <v>30</v>
      </c>
      <c r="P1311" s="30">
        <v>35169.96</v>
      </c>
      <c r="Q1311" s="3" t="s">
        <v>62</v>
      </c>
      <c r="R1311" s="3">
        <v>6</v>
      </c>
      <c r="S1311" s="3">
        <v>188</v>
      </c>
      <c r="T1311" s="3">
        <v>27.5</v>
      </c>
      <c r="U1311" s="3" t="s">
        <v>44</v>
      </c>
      <c r="V1311" s="18" t="s">
        <v>33</v>
      </c>
    </row>
    <row r="1312" spans="1:22" ht="15" customHeight="1" x14ac:dyDescent="0.25">
      <c r="A1312" s="15" t="s">
        <v>2468</v>
      </c>
      <c r="B1312" s="1" t="s">
        <v>2469</v>
      </c>
      <c r="C1312">
        <v>90</v>
      </c>
      <c r="D1312" s="1" t="s">
        <v>36</v>
      </c>
      <c r="E1312" s="1" t="s">
        <v>48</v>
      </c>
      <c r="F1312" s="1" t="s">
        <v>49</v>
      </c>
      <c r="G1312" s="1" t="s">
        <v>131</v>
      </c>
      <c r="H1312" s="1" t="s">
        <v>78</v>
      </c>
      <c r="I1312" s="7">
        <v>45267</v>
      </c>
      <c r="J1312" s="7">
        <v>45242</v>
      </c>
      <c r="K1312" s="1">
        <v>4</v>
      </c>
      <c r="L1312" s="1" t="s">
        <v>89</v>
      </c>
      <c r="M1312" s="1" t="s">
        <v>90</v>
      </c>
      <c r="N1312" s="1" t="s">
        <v>147</v>
      </c>
      <c r="O1312" s="1" t="s">
        <v>104</v>
      </c>
      <c r="P1312" s="29">
        <v>40608</v>
      </c>
      <c r="Q1312" s="1" t="s">
        <v>291</v>
      </c>
      <c r="R1312" s="1">
        <v>7</v>
      </c>
      <c r="S1312" s="1">
        <v>496</v>
      </c>
      <c r="T1312" s="1">
        <v>24.2</v>
      </c>
      <c r="U1312" s="1" t="s">
        <v>86</v>
      </c>
      <c r="V1312" s="17" t="s">
        <v>33</v>
      </c>
    </row>
    <row r="1313" spans="1:22" ht="15" customHeight="1" x14ac:dyDescent="0.25">
      <c r="A1313" s="16" t="s">
        <v>2470</v>
      </c>
      <c r="B1313" s="3" t="s">
        <v>2471</v>
      </c>
      <c r="C1313">
        <v>74</v>
      </c>
      <c r="D1313" s="3" t="s">
        <v>82</v>
      </c>
      <c r="E1313" s="3" t="s">
        <v>23</v>
      </c>
      <c r="F1313" s="3" t="s">
        <v>76</v>
      </c>
      <c r="G1313" s="3" t="s">
        <v>226</v>
      </c>
      <c r="H1313" s="3" t="s">
        <v>51</v>
      </c>
      <c r="I1313" s="8">
        <v>45432</v>
      </c>
      <c r="J1313" s="8">
        <v>45436</v>
      </c>
      <c r="K1313" s="3">
        <v>4</v>
      </c>
      <c r="L1313" s="3" t="s">
        <v>102</v>
      </c>
      <c r="M1313" s="3" t="s">
        <v>28</v>
      </c>
      <c r="N1313" s="3" t="s">
        <v>94</v>
      </c>
      <c r="O1313" s="3" t="s">
        <v>66</v>
      </c>
      <c r="P1313" s="30">
        <v>72122.09</v>
      </c>
      <c r="Q1313" s="3" t="s">
        <v>181</v>
      </c>
      <c r="R1313" s="3">
        <v>10</v>
      </c>
      <c r="S1313" s="3">
        <v>165</v>
      </c>
      <c r="T1313" s="3">
        <v>25.8</v>
      </c>
      <c r="U1313" s="3" t="s">
        <v>44</v>
      </c>
      <c r="V1313" s="18" t="s">
        <v>45</v>
      </c>
    </row>
    <row r="1314" spans="1:22" ht="15" customHeight="1" x14ac:dyDescent="0.25">
      <c r="A1314" s="15" t="s">
        <v>2472</v>
      </c>
      <c r="B1314" s="1" t="s">
        <v>2473</v>
      </c>
      <c r="C1314">
        <v>61</v>
      </c>
      <c r="D1314" s="1" t="s">
        <v>59</v>
      </c>
      <c r="E1314" s="1" t="s">
        <v>48</v>
      </c>
      <c r="F1314" s="1" t="s">
        <v>49</v>
      </c>
      <c r="G1314" s="1" t="s">
        <v>77</v>
      </c>
      <c r="H1314" s="1" t="s">
        <v>51</v>
      </c>
      <c r="I1314" s="7">
        <v>45549</v>
      </c>
      <c r="J1314" s="7">
        <v>45554</v>
      </c>
      <c r="K1314" s="1">
        <v>5</v>
      </c>
      <c r="L1314" s="1" t="s">
        <v>132</v>
      </c>
      <c r="M1314" s="1" t="s">
        <v>53</v>
      </c>
      <c r="N1314" s="1" t="s">
        <v>94</v>
      </c>
      <c r="O1314" s="1" t="s">
        <v>42</v>
      </c>
      <c r="P1314" s="29">
        <v>42635.519999999997</v>
      </c>
      <c r="Q1314" s="1" t="s">
        <v>592</v>
      </c>
      <c r="R1314" s="1">
        <v>10</v>
      </c>
      <c r="S1314" s="1">
        <v>115</v>
      </c>
      <c r="T1314" s="1">
        <v>18.600000000000001</v>
      </c>
      <c r="U1314" s="1" t="s">
        <v>32</v>
      </c>
      <c r="V1314" s="17" t="s">
        <v>33</v>
      </c>
    </row>
    <row r="1315" spans="1:22" ht="15" customHeight="1" x14ac:dyDescent="0.25">
      <c r="A1315" s="16" t="s">
        <v>2474</v>
      </c>
      <c r="B1315" s="3" t="s">
        <v>2475</v>
      </c>
      <c r="C1315">
        <v>70</v>
      </c>
      <c r="D1315" s="3" t="s">
        <v>82</v>
      </c>
      <c r="E1315" s="3" t="s">
        <v>48</v>
      </c>
      <c r="F1315" s="3" t="s">
        <v>83</v>
      </c>
      <c r="G1315" s="3" t="s">
        <v>131</v>
      </c>
      <c r="H1315" s="3" t="s">
        <v>78</v>
      </c>
      <c r="I1315" s="6">
        <v>45221</v>
      </c>
      <c r="J1315" s="8">
        <v>45228</v>
      </c>
      <c r="K1315" s="3">
        <v>7</v>
      </c>
      <c r="L1315" s="3" t="s">
        <v>185</v>
      </c>
      <c r="M1315" s="3" t="s">
        <v>186</v>
      </c>
      <c r="N1315" s="3" t="s">
        <v>147</v>
      </c>
      <c r="O1315" s="3" t="s">
        <v>42</v>
      </c>
      <c r="P1315" s="30">
        <v>31474</v>
      </c>
      <c r="Q1315" s="3" t="s">
        <v>695</v>
      </c>
      <c r="R1315" s="3">
        <v>7</v>
      </c>
      <c r="S1315" s="3">
        <v>379</v>
      </c>
      <c r="T1315" s="3">
        <v>33</v>
      </c>
      <c r="U1315" s="3" t="s">
        <v>32</v>
      </c>
      <c r="V1315" s="18" t="s">
        <v>33</v>
      </c>
    </row>
    <row r="1316" spans="1:22" ht="15" customHeight="1" x14ac:dyDescent="0.25">
      <c r="A1316" s="15" t="s">
        <v>2476</v>
      </c>
      <c r="B1316" s="1" t="s">
        <v>2477</v>
      </c>
      <c r="C1316">
        <v>38</v>
      </c>
      <c r="D1316" s="1" t="s">
        <v>98</v>
      </c>
      <c r="E1316" s="1" t="s">
        <v>48</v>
      </c>
      <c r="F1316" s="1" t="s">
        <v>70</v>
      </c>
      <c r="G1316" s="1" t="s">
        <v>131</v>
      </c>
      <c r="H1316" s="1" t="s">
        <v>26</v>
      </c>
      <c r="I1316" s="7">
        <v>45431</v>
      </c>
      <c r="J1316" s="7">
        <v>45438</v>
      </c>
      <c r="K1316" s="1">
        <v>7</v>
      </c>
      <c r="L1316" s="1" t="s">
        <v>89</v>
      </c>
      <c r="M1316" s="1" t="s">
        <v>90</v>
      </c>
      <c r="N1316" s="1" t="s">
        <v>133</v>
      </c>
      <c r="O1316" s="1" t="s">
        <v>104</v>
      </c>
      <c r="P1316" s="29">
        <v>35996.19</v>
      </c>
      <c r="Q1316" s="1" t="s">
        <v>291</v>
      </c>
      <c r="R1316" s="1">
        <v>7</v>
      </c>
      <c r="S1316" s="1">
        <v>392</v>
      </c>
      <c r="T1316" s="1">
        <v>24.6</v>
      </c>
      <c r="U1316" s="1" t="s">
        <v>44</v>
      </c>
      <c r="V1316" s="17" t="s">
        <v>33</v>
      </c>
    </row>
    <row r="1317" spans="1:22" ht="15" customHeight="1" x14ac:dyDescent="0.25">
      <c r="A1317" s="16" t="s">
        <v>2478</v>
      </c>
      <c r="B1317" s="2" t="s">
        <v>1813</v>
      </c>
      <c r="C1317">
        <v>65</v>
      </c>
      <c r="D1317" s="3" t="s">
        <v>82</v>
      </c>
      <c r="E1317" s="3" t="s">
        <v>48</v>
      </c>
      <c r="F1317" s="3" t="s">
        <v>83</v>
      </c>
      <c r="G1317" s="3" t="s">
        <v>163</v>
      </c>
      <c r="H1317" s="3" t="s">
        <v>78</v>
      </c>
      <c r="I1317" s="6">
        <v>44839</v>
      </c>
      <c r="J1317" s="8">
        <v>44696</v>
      </c>
      <c r="K1317" s="3">
        <v>5</v>
      </c>
      <c r="L1317" s="3" t="s">
        <v>102</v>
      </c>
      <c r="M1317" s="3" t="s">
        <v>28</v>
      </c>
      <c r="N1317" s="3" t="s">
        <v>164</v>
      </c>
      <c r="O1317" s="3" t="s">
        <v>30</v>
      </c>
      <c r="P1317" s="30">
        <v>27199.67</v>
      </c>
      <c r="Q1317" s="3" t="s">
        <v>257</v>
      </c>
      <c r="R1317" s="3">
        <v>6</v>
      </c>
      <c r="S1317" s="3">
        <v>155</v>
      </c>
      <c r="T1317" s="4"/>
      <c r="U1317" s="3" t="s">
        <v>32</v>
      </c>
      <c r="V1317" s="18" t="s">
        <v>45</v>
      </c>
    </row>
    <row r="1318" spans="1:22" ht="15" customHeight="1" x14ac:dyDescent="0.25">
      <c r="A1318" s="15" t="s">
        <v>2479</v>
      </c>
      <c r="B1318" s="1" t="s">
        <v>1541</v>
      </c>
      <c r="C1318">
        <v>57</v>
      </c>
      <c r="D1318" s="1" t="s">
        <v>59</v>
      </c>
      <c r="E1318" s="1" t="s">
        <v>48</v>
      </c>
      <c r="F1318" s="1" t="s">
        <v>83</v>
      </c>
      <c r="G1318" s="1" t="s">
        <v>25</v>
      </c>
      <c r="H1318" s="1" t="s">
        <v>78</v>
      </c>
      <c r="I1318" s="7">
        <v>43694</v>
      </c>
      <c r="J1318" s="7">
        <v>43702</v>
      </c>
      <c r="K1318" s="1">
        <v>8</v>
      </c>
      <c r="L1318" s="1" t="s">
        <v>112</v>
      </c>
      <c r="M1318" s="1" t="s">
        <v>40</v>
      </c>
      <c r="N1318" s="1" t="s">
        <v>248</v>
      </c>
      <c r="O1318" s="1" t="s">
        <v>30</v>
      </c>
      <c r="P1318" s="29">
        <v>22962.43</v>
      </c>
      <c r="Q1318" s="1" t="s">
        <v>105</v>
      </c>
      <c r="R1318" s="1">
        <v>12</v>
      </c>
      <c r="S1318" s="1">
        <v>128</v>
      </c>
      <c r="T1318" s="1">
        <v>22.6</v>
      </c>
      <c r="U1318" s="1" t="s">
        <v>44</v>
      </c>
      <c r="V1318" s="17" t="s">
        <v>33</v>
      </c>
    </row>
    <row r="1319" spans="1:22" ht="15" customHeight="1" x14ac:dyDescent="0.25">
      <c r="A1319" s="16" t="s">
        <v>2480</v>
      </c>
      <c r="B1319" s="2" t="s">
        <v>586</v>
      </c>
      <c r="C1319">
        <v>34</v>
      </c>
      <c r="D1319" s="3" t="s">
        <v>47</v>
      </c>
      <c r="E1319" s="3" t="s">
        <v>48</v>
      </c>
      <c r="F1319" s="3" t="s">
        <v>37</v>
      </c>
      <c r="G1319" s="3" t="s">
        <v>71</v>
      </c>
      <c r="H1319" s="3" t="s">
        <v>26</v>
      </c>
      <c r="I1319" s="6">
        <v>44316</v>
      </c>
      <c r="J1319" s="8">
        <v>44319</v>
      </c>
      <c r="K1319" s="3">
        <v>3</v>
      </c>
      <c r="L1319" s="3" t="s">
        <v>132</v>
      </c>
      <c r="M1319" s="3" t="s">
        <v>53</v>
      </c>
      <c r="N1319" s="3" t="s">
        <v>72</v>
      </c>
      <c r="O1319" s="3" t="s">
        <v>104</v>
      </c>
      <c r="P1319" s="30">
        <v>8535.32</v>
      </c>
      <c r="Q1319" s="3" t="s">
        <v>503</v>
      </c>
      <c r="R1319" s="3">
        <v>4</v>
      </c>
      <c r="S1319" s="3">
        <v>284</v>
      </c>
      <c r="T1319" s="3">
        <v>18.8</v>
      </c>
      <c r="U1319" s="3" t="s">
        <v>32</v>
      </c>
      <c r="V1319" s="18" t="s">
        <v>33</v>
      </c>
    </row>
    <row r="1320" spans="1:22" ht="15" customHeight="1" x14ac:dyDescent="0.25">
      <c r="A1320" s="15" t="s">
        <v>2481</v>
      </c>
      <c r="B1320" s="1" t="s">
        <v>2482</v>
      </c>
      <c r="C1320">
        <v>70</v>
      </c>
      <c r="D1320" s="1" t="s">
        <v>82</v>
      </c>
      <c r="E1320" s="1" t="s">
        <v>48</v>
      </c>
      <c r="F1320" s="1" t="s">
        <v>24</v>
      </c>
      <c r="G1320" s="1" t="s">
        <v>25</v>
      </c>
      <c r="H1320" s="1" t="s">
        <v>51</v>
      </c>
      <c r="I1320" s="7">
        <v>44544</v>
      </c>
      <c r="J1320" s="7">
        <v>44561</v>
      </c>
      <c r="K1320" s="1">
        <v>17</v>
      </c>
      <c r="L1320" s="1" t="s">
        <v>231</v>
      </c>
      <c r="M1320" s="1" t="s">
        <v>53</v>
      </c>
      <c r="N1320" s="1" t="s">
        <v>29</v>
      </c>
      <c r="O1320" s="1" t="s">
        <v>42</v>
      </c>
      <c r="P1320" s="29">
        <v>111493.7</v>
      </c>
      <c r="Q1320" s="1" t="s">
        <v>105</v>
      </c>
      <c r="R1320" s="1">
        <v>12</v>
      </c>
      <c r="S1320" s="1">
        <v>130</v>
      </c>
      <c r="T1320" s="4"/>
      <c r="U1320" s="1" t="s">
        <v>44</v>
      </c>
      <c r="V1320" s="17" t="s">
        <v>33</v>
      </c>
    </row>
    <row r="1321" spans="1:22" ht="15" customHeight="1" x14ac:dyDescent="0.25">
      <c r="A1321" s="16" t="s">
        <v>2483</v>
      </c>
      <c r="B1321" s="3" t="s">
        <v>2484</v>
      </c>
      <c r="C1321">
        <v>35</v>
      </c>
      <c r="D1321" s="3" t="s">
        <v>98</v>
      </c>
      <c r="E1321" s="3" t="s">
        <v>23</v>
      </c>
      <c r="F1321" s="3" t="s">
        <v>99</v>
      </c>
      <c r="G1321" s="3" t="s">
        <v>77</v>
      </c>
      <c r="H1321" s="3" t="s">
        <v>51</v>
      </c>
      <c r="I1321" s="8">
        <v>45215</v>
      </c>
      <c r="J1321" s="8">
        <v>45221</v>
      </c>
      <c r="K1321" s="3">
        <v>6</v>
      </c>
      <c r="L1321" s="3" t="s">
        <v>52</v>
      </c>
      <c r="M1321" s="3" t="s">
        <v>53</v>
      </c>
      <c r="N1321" s="3" t="s">
        <v>94</v>
      </c>
      <c r="O1321" s="3" t="s">
        <v>30</v>
      </c>
      <c r="P1321" s="30">
        <v>23559.35</v>
      </c>
      <c r="Q1321" s="3" t="s">
        <v>223</v>
      </c>
      <c r="R1321" s="3">
        <v>8</v>
      </c>
      <c r="S1321" s="3">
        <v>156</v>
      </c>
      <c r="T1321" s="3">
        <v>35.1</v>
      </c>
      <c r="U1321" s="3" t="s">
        <v>44</v>
      </c>
      <c r="V1321" s="18" t="s">
        <v>33</v>
      </c>
    </row>
    <row r="1322" spans="1:22" ht="15" customHeight="1" x14ac:dyDescent="0.25">
      <c r="A1322" s="15" t="s">
        <v>2485</v>
      </c>
      <c r="B1322" s="1" t="s">
        <v>2486</v>
      </c>
      <c r="C1322">
        <v>86</v>
      </c>
      <c r="D1322" s="1" t="s">
        <v>36</v>
      </c>
      <c r="E1322" s="1" t="s">
        <v>23</v>
      </c>
      <c r="F1322" s="1" t="s">
        <v>24</v>
      </c>
      <c r="G1322" s="1" t="s">
        <v>77</v>
      </c>
      <c r="H1322" s="1" t="s">
        <v>78</v>
      </c>
      <c r="I1322" s="6">
        <v>45056</v>
      </c>
      <c r="J1322" s="10"/>
      <c r="K1322" s="1"/>
      <c r="L1322" s="1" t="s">
        <v>122</v>
      </c>
      <c r="M1322" s="1" t="s">
        <v>40</v>
      </c>
      <c r="N1322" s="1" t="s">
        <v>79</v>
      </c>
      <c r="O1322" s="1" t="s">
        <v>104</v>
      </c>
      <c r="P1322" s="29">
        <v>34030.400000000001</v>
      </c>
      <c r="Q1322" s="1" t="s">
        <v>85</v>
      </c>
      <c r="R1322" s="1">
        <v>10</v>
      </c>
      <c r="S1322" s="1">
        <v>354</v>
      </c>
      <c r="T1322" s="1">
        <v>23</v>
      </c>
      <c r="U1322" s="1" t="s">
        <v>44</v>
      </c>
      <c r="V1322" s="17" t="s">
        <v>33</v>
      </c>
    </row>
    <row r="1323" spans="1:22" ht="15" customHeight="1" x14ac:dyDescent="0.25">
      <c r="A1323" s="16" t="s">
        <v>2487</v>
      </c>
      <c r="B1323" s="3" t="s">
        <v>2488</v>
      </c>
      <c r="C1323">
        <v>40</v>
      </c>
      <c r="D1323" s="3" t="s">
        <v>98</v>
      </c>
      <c r="E1323" s="3" t="s">
        <v>23</v>
      </c>
      <c r="F1323" s="3" t="s">
        <v>155</v>
      </c>
      <c r="G1323" s="3" t="s">
        <v>163</v>
      </c>
      <c r="H1323" s="3" t="s">
        <v>51</v>
      </c>
      <c r="I1323" s="8">
        <v>43618</v>
      </c>
      <c r="J1323" s="8">
        <v>43620</v>
      </c>
      <c r="K1323" s="3">
        <v>2</v>
      </c>
      <c r="L1323" s="3" t="s">
        <v>122</v>
      </c>
      <c r="M1323" s="3" t="s">
        <v>40</v>
      </c>
      <c r="N1323" s="3" t="s">
        <v>164</v>
      </c>
      <c r="O1323" s="3" t="s">
        <v>104</v>
      </c>
      <c r="P1323" s="30">
        <v>9563.0300000000007</v>
      </c>
      <c r="Q1323" s="3" t="s">
        <v>382</v>
      </c>
      <c r="R1323" s="3">
        <v>6</v>
      </c>
      <c r="S1323" s="3">
        <v>170</v>
      </c>
      <c r="T1323" s="3">
        <v>31.5</v>
      </c>
      <c r="U1323" s="3" t="s">
        <v>86</v>
      </c>
      <c r="V1323" s="18" t="s">
        <v>33</v>
      </c>
    </row>
    <row r="1324" spans="1:22" ht="15" customHeight="1" x14ac:dyDescent="0.25">
      <c r="A1324" s="15" t="s">
        <v>2489</v>
      </c>
      <c r="B1324" s="1" t="s">
        <v>2490</v>
      </c>
      <c r="C1324">
        <v>56</v>
      </c>
      <c r="D1324" s="1" t="s">
        <v>59</v>
      </c>
      <c r="E1324" s="1" t="s">
        <v>23</v>
      </c>
      <c r="F1324" s="1" t="s">
        <v>76</v>
      </c>
      <c r="G1324" s="1" t="s">
        <v>77</v>
      </c>
      <c r="H1324" s="1" t="s">
        <v>51</v>
      </c>
      <c r="I1324" s="7">
        <v>44136</v>
      </c>
      <c r="J1324" s="10"/>
      <c r="K1324" s="1"/>
      <c r="L1324" s="1" t="s">
        <v>39</v>
      </c>
      <c r="M1324" s="1" t="s">
        <v>40</v>
      </c>
      <c r="N1324" s="1" t="s">
        <v>94</v>
      </c>
      <c r="O1324" s="1" t="s">
        <v>30</v>
      </c>
      <c r="P1324" s="29">
        <v>25105.52</v>
      </c>
      <c r="Q1324" s="1" t="s">
        <v>91</v>
      </c>
      <c r="R1324" s="1">
        <v>9</v>
      </c>
      <c r="S1324" s="1">
        <v>142</v>
      </c>
      <c r="T1324" s="4"/>
      <c r="U1324" s="1" t="s">
        <v>44</v>
      </c>
      <c r="V1324" s="17" t="s">
        <v>33</v>
      </c>
    </row>
    <row r="1325" spans="1:22" ht="15" customHeight="1" x14ac:dyDescent="0.25">
      <c r="A1325" s="16" t="s">
        <v>2491</v>
      </c>
      <c r="B1325" s="3" t="s">
        <v>2492</v>
      </c>
      <c r="C1325">
        <v>62</v>
      </c>
      <c r="D1325" s="3" t="s">
        <v>59</v>
      </c>
      <c r="E1325" s="3" t="s">
        <v>48</v>
      </c>
      <c r="F1325" s="3" t="s">
        <v>83</v>
      </c>
      <c r="G1325" s="3" t="s">
        <v>131</v>
      </c>
      <c r="H1325" s="3" t="s">
        <v>78</v>
      </c>
      <c r="I1325" s="8">
        <v>45288</v>
      </c>
      <c r="J1325" s="8">
        <v>45294</v>
      </c>
      <c r="K1325" s="3">
        <v>6</v>
      </c>
      <c r="L1325" s="3" t="s">
        <v>27</v>
      </c>
      <c r="M1325" s="3" t="s">
        <v>28</v>
      </c>
      <c r="N1325" s="3" t="s">
        <v>133</v>
      </c>
      <c r="O1325" s="3" t="s">
        <v>30</v>
      </c>
      <c r="P1325" s="30">
        <v>7726</v>
      </c>
      <c r="Q1325" s="3" t="s">
        <v>148</v>
      </c>
      <c r="R1325" s="3">
        <v>7</v>
      </c>
      <c r="S1325" s="3">
        <v>348</v>
      </c>
      <c r="T1325" s="3">
        <v>35.9</v>
      </c>
      <c r="U1325" s="3" t="s">
        <v>32</v>
      </c>
      <c r="V1325" s="18" t="s">
        <v>33</v>
      </c>
    </row>
    <row r="1326" spans="1:22" ht="15" customHeight="1" x14ac:dyDescent="0.25">
      <c r="A1326" s="15" t="s">
        <v>2493</v>
      </c>
      <c r="B1326" s="1" t="s">
        <v>2494</v>
      </c>
      <c r="C1326">
        <v>57</v>
      </c>
      <c r="D1326" s="1" t="s">
        <v>59</v>
      </c>
      <c r="E1326" s="1" t="s">
        <v>23</v>
      </c>
      <c r="F1326" s="1" t="s">
        <v>49</v>
      </c>
      <c r="G1326" s="1" t="s">
        <v>131</v>
      </c>
      <c r="H1326" s="1" t="s">
        <v>51</v>
      </c>
      <c r="I1326" s="6">
        <v>45600</v>
      </c>
      <c r="J1326" s="7">
        <v>45407</v>
      </c>
      <c r="K1326" s="1">
        <v>14</v>
      </c>
      <c r="L1326" s="1" t="s">
        <v>52</v>
      </c>
      <c r="M1326" s="1" t="s">
        <v>53</v>
      </c>
      <c r="N1326" s="1" t="s">
        <v>147</v>
      </c>
      <c r="O1326" s="1" t="s">
        <v>30</v>
      </c>
      <c r="P1326" s="29">
        <v>11209.43</v>
      </c>
      <c r="Q1326" s="1" t="s">
        <v>266</v>
      </c>
      <c r="R1326" s="1">
        <v>7</v>
      </c>
      <c r="S1326" s="1">
        <v>122</v>
      </c>
      <c r="T1326" s="1">
        <v>38.9</v>
      </c>
      <c r="U1326" s="1" t="s">
        <v>44</v>
      </c>
      <c r="V1326" s="17" t="s">
        <v>33</v>
      </c>
    </row>
    <row r="1327" spans="1:22" ht="15" customHeight="1" x14ac:dyDescent="0.25">
      <c r="A1327" s="16" t="s">
        <v>2495</v>
      </c>
      <c r="B1327" s="3" t="s">
        <v>2496</v>
      </c>
      <c r="C1327">
        <v>35</v>
      </c>
      <c r="D1327" s="3" t="s">
        <v>98</v>
      </c>
      <c r="E1327" s="3" t="s">
        <v>48</v>
      </c>
      <c r="F1327" s="3" t="s">
        <v>83</v>
      </c>
      <c r="G1327" s="3" t="s">
        <v>77</v>
      </c>
      <c r="H1327" s="3" t="s">
        <v>26</v>
      </c>
      <c r="I1327" s="8">
        <v>44123</v>
      </c>
      <c r="J1327" s="8">
        <v>44128</v>
      </c>
      <c r="K1327" s="3">
        <v>5</v>
      </c>
      <c r="L1327" s="3" t="s">
        <v>185</v>
      </c>
      <c r="M1327" s="3" t="s">
        <v>186</v>
      </c>
      <c r="N1327" s="3" t="s">
        <v>79</v>
      </c>
      <c r="O1327" s="3" t="s">
        <v>66</v>
      </c>
      <c r="P1327" s="30">
        <v>107687.09</v>
      </c>
      <c r="Q1327" s="3" t="s">
        <v>85</v>
      </c>
      <c r="R1327" s="3">
        <v>10</v>
      </c>
      <c r="S1327" s="3">
        <v>345</v>
      </c>
      <c r="T1327" s="3">
        <v>25.4</v>
      </c>
      <c r="U1327" s="3" t="s">
        <v>44</v>
      </c>
      <c r="V1327" s="18" t="s">
        <v>33</v>
      </c>
    </row>
    <row r="1328" spans="1:22" ht="15" customHeight="1" x14ac:dyDescent="0.25">
      <c r="A1328" s="15" t="s">
        <v>2497</v>
      </c>
      <c r="B1328" s="1" t="s">
        <v>2168</v>
      </c>
      <c r="C1328">
        <v>82</v>
      </c>
      <c r="D1328" s="1" t="s">
        <v>36</v>
      </c>
      <c r="E1328" s="1" t="s">
        <v>23</v>
      </c>
      <c r="F1328" s="2" t="s">
        <v>99</v>
      </c>
      <c r="G1328" s="1" t="s">
        <v>50</v>
      </c>
      <c r="H1328" s="1" t="s">
        <v>51</v>
      </c>
      <c r="I1328" s="7">
        <v>43554</v>
      </c>
      <c r="J1328" s="7">
        <v>43557</v>
      </c>
      <c r="K1328" s="1">
        <v>3</v>
      </c>
      <c r="L1328" s="1" t="s">
        <v>52</v>
      </c>
      <c r="M1328" s="1" t="s">
        <v>53</v>
      </c>
      <c r="N1328" s="1" t="s">
        <v>54</v>
      </c>
      <c r="O1328" s="1" t="s">
        <v>104</v>
      </c>
      <c r="P1328" s="29">
        <v>32377</v>
      </c>
      <c r="Q1328" s="1" t="s">
        <v>85</v>
      </c>
      <c r="R1328" s="1">
        <v>8</v>
      </c>
      <c r="S1328" s="1">
        <v>171</v>
      </c>
      <c r="T1328" s="1">
        <v>28</v>
      </c>
      <c r="U1328" s="1" t="s">
        <v>44</v>
      </c>
      <c r="V1328" s="17" t="s">
        <v>33</v>
      </c>
    </row>
    <row r="1329" spans="1:22" ht="15" customHeight="1" x14ac:dyDescent="0.25">
      <c r="A1329" s="16" t="s">
        <v>2498</v>
      </c>
      <c r="B1329" s="3" t="s">
        <v>2499</v>
      </c>
      <c r="C1329">
        <v>59</v>
      </c>
      <c r="D1329" s="3" t="s">
        <v>59</v>
      </c>
      <c r="E1329" s="3" t="s">
        <v>23</v>
      </c>
      <c r="F1329" s="3" t="s">
        <v>24</v>
      </c>
      <c r="G1329" s="3" t="s">
        <v>25</v>
      </c>
      <c r="H1329" s="3" t="s">
        <v>51</v>
      </c>
      <c r="I1329" s="6">
        <v>44488</v>
      </c>
      <c r="J1329" s="8">
        <v>44499</v>
      </c>
      <c r="K1329" s="3">
        <v>11</v>
      </c>
      <c r="L1329" s="3" t="s">
        <v>39</v>
      </c>
      <c r="M1329" s="3" t="s">
        <v>40</v>
      </c>
      <c r="N1329" s="3" t="s">
        <v>248</v>
      </c>
      <c r="O1329" s="3" t="s">
        <v>30</v>
      </c>
      <c r="P1329" s="30">
        <v>78316.86</v>
      </c>
      <c r="Q1329" s="3" t="s">
        <v>67</v>
      </c>
      <c r="R1329" s="3">
        <v>12</v>
      </c>
      <c r="S1329" s="3">
        <v>185</v>
      </c>
      <c r="T1329" s="3">
        <v>30.4</v>
      </c>
      <c r="U1329" s="3" t="s">
        <v>44</v>
      </c>
      <c r="V1329" s="18" t="s">
        <v>45</v>
      </c>
    </row>
    <row r="1330" spans="1:22" ht="15" customHeight="1" x14ac:dyDescent="0.25">
      <c r="A1330" s="15" t="s">
        <v>2500</v>
      </c>
      <c r="B1330" s="1" t="s">
        <v>2501</v>
      </c>
      <c r="C1330">
        <v>70</v>
      </c>
      <c r="D1330" s="1" t="s">
        <v>82</v>
      </c>
      <c r="E1330" s="1" t="s">
        <v>23</v>
      </c>
      <c r="F1330" s="2" t="s">
        <v>37</v>
      </c>
      <c r="G1330" s="1" t="s">
        <v>77</v>
      </c>
      <c r="H1330" s="1" t="s">
        <v>26</v>
      </c>
      <c r="I1330" s="7">
        <v>45544</v>
      </c>
      <c r="J1330" s="7">
        <v>45559</v>
      </c>
      <c r="K1330" s="1">
        <v>15</v>
      </c>
      <c r="L1330" s="1" t="s">
        <v>185</v>
      </c>
      <c r="M1330" s="1" t="s">
        <v>186</v>
      </c>
      <c r="N1330" s="1" t="s">
        <v>79</v>
      </c>
      <c r="O1330" s="1" t="s">
        <v>30</v>
      </c>
      <c r="P1330" s="29">
        <v>78276.679999999993</v>
      </c>
      <c r="Q1330" s="1" t="s">
        <v>100</v>
      </c>
      <c r="R1330" s="1">
        <v>10</v>
      </c>
      <c r="S1330" s="1">
        <v>393</v>
      </c>
      <c r="T1330" s="1">
        <v>30.9</v>
      </c>
      <c r="U1330" s="1" t="s">
        <v>44</v>
      </c>
      <c r="V1330" s="17" t="s">
        <v>45</v>
      </c>
    </row>
    <row r="1331" spans="1:22" ht="15" customHeight="1" x14ac:dyDescent="0.25">
      <c r="A1331" s="16" t="s">
        <v>2502</v>
      </c>
      <c r="B1331" s="2" t="s">
        <v>603</v>
      </c>
      <c r="C1331">
        <v>36</v>
      </c>
      <c r="D1331" s="3" t="s">
        <v>98</v>
      </c>
      <c r="E1331" s="3" t="s">
        <v>48</v>
      </c>
      <c r="F1331" s="3" t="s">
        <v>76</v>
      </c>
      <c r="G1331" s="3" t="s">
        <v>131</v>
      </c>
      <c r="H1331" s="3" t="s">
        <v>26</v>
      </c>
      <c r="I1331" s="8">
        <v>43810</v>
      </c>
      <c r="J1331" s="8">
        <v>43816</v>
      </c>
      <c r="K1331" s="3">
        <v>6</v>
      </c>
      <c r="L1331" s="3" t="s">
        <v>112</v>
      </c>
      <c r="M1331" s="3" t="s">
        <v>40</v>
      </c>
      <c r="N1331" s="3" t="s">
        <v>157</v>
      </c>
      <c r="O1331" s="3" t="s">
        <v>55</v>
      </c>
      <c r="P1331" s="30">
        <v>21341.54</v>
      </c>
      <c r="Q1331" s="3" t="s">
        <v>695</v>
      </c>
      <c r="R1331" s="3">
        <v>7</v>
      </c>
      <c r="S1331" s="3">
        <v>348</v>
      </c>
      <c r="T1331" s="4"/>
      <c r="U1331" s="3" t="s">
        <v>44</v>
      </c>
      <c r="V1331" s="18" t="s">
        <v>33</v>
      </c>
    </row>
    <row r="1332" spans="1:22" ht="15" customHeight="1" x14ac:dyDescent="0.25">
      <c r="A1332" s="15" t="s">
        <v>2503</v>
      </c>
      <c r="B1332" s="1" t="s">
        <v>2504</v>
      </c>
      <c r="C1332">
        <v>49</v>
      </c>
      <c r="D1332" s="1" t="s">
        <v>98</v>
      </c>
      <c r="E1332" s="1" t="s">
        <v>48</v>
      </c>
      <c r="F1332" s="1" t="s">
        <v>155</v>
      </c>
      <c r="G1332" s="1" t="s">
        <v>60</v>
      </c>
      <c r="H1332" s="1" t="s">
        <v>26</v>
      </c>
      <c r="I1332" s="6">
        <v>44671</v>
      </c>
      <c r="J1332" s="7">
        <v>44677</v>
      </c>
      <c r="K1332" s="1">
        <v>6</v>
      </c>
      <c r="L1332" s="1" t="s">
        <v>122</v>
      </c>
      <c r="M1332" s="1" t="s">
        <v>40</v>
      </c>
      <c r="N1332" s="1" t="s">
        <v>103</v>
      </c>
      <c r="O1332" s="1" t="s">
        <v>42</v>
      </c>
      <c r="P1332" s="29">
        <v>47264.36</v>
      </c>
      <c r="Q1332" s="1" t="s">
        <v>511</v>
      </c>
      <c r="R1332" s="1">
        <v>6</v>
      </c>
      <c r="S1332" s="1">
        <v>198</v>
      </c>
      <c r="T1332" s="1">
        <v>30.7</v>
      </c>
      <c r="U1332" s="1" t="s">
        <v>44</v>
      </c>
      <c r="V1332" s="17" t="s">
        <v>33</v>
      </c>
    </row>
    <row r="1333" spans="1:22" ht="15" customHeight="1" x14ac:dyDescent="0.25">
      <c r="A1333" s="16" t="s">
        <v>2505</v>
      </c>
      <c r="B1333" s="3" t="s">
        <v>2411</v>
      </c>
      <c r="C1333">
        <v>35</v>
      </c>
      <c r="D1333" s="3" t="s">
        <v>98</v>
      </c>
      <c r="E1333" s="3" t="s">
        <v>23</v>
      </c>
      <c r="F1333" s="2" t="s">
        <v>99</v>
      </c>
      <c r="G1333" s="3" t="s">
        <v>71</v>
      </c>
      <c r="H1333" s="3" t="s">
        <v>26</v>
      </c>
      <c r="I1333" s="6">
        <v>43766</v>
      </c>
      <c r="J1333" s="8">
        <v>43775</v>
      </c>
      <c r="K1333" s="3">
        <v>9</v>
      </c>
      <c r="L1333" s="3" t="s">
        <v>102</v>
      </c>
      <c r="M1333" s="3" t="s">
        <v>28</v>
      </c>
      <c r="N1333" s="3" t="s">
        <v>312</v>
      </c>
      <c r="O1333" s="3" t="s">
        <v>30</v>
      </c>
      <c r="P1333" s="30">
        <v>11102.7</v>
      </c>
      <c r="Q1333" s="3" t="s">
        <v>503</v>
      </c>
      <c r="R1333" s="3">
        <v>5</v>
      </c>
      <c r="S1333" s="3">
        <v>283</v>
      </c>
      <c r="T1333" s="4"/>
      <c r="U1333" s="3" t="s">
        <v>32</v>
      </c>
      <c r="V1333" s="18" t="s">
        <v>33</v>
      </c>
    </row>
    <row r="1334" spans="1:22" ht="15" customHeight="1" x14ac:dyDescent="0.25">
      <c r="A1334" s="15" t="s">
        <v>2506</v>
      </c>
      <c r="B1334" s="1" t="s">
        <v>2507</v>
      </c>
      <c r="C1334">
        <v>85</v>
      </c>
      <c r="D1334" s="1" t="s">
        <v>36</v>
      </c>
      <c r="E1334" s="1" t="s">
        <v>23</v>
      </c>
      <c r="F1334" s="1" t="s">
        <v>76</v>
      </c>
      <c r="G1334" s="1" t="s">
        <v>77</v>
      </c>
      <c r="H1334" s="1" t="s">
        <v>51</v>
      </c>
      <c r="I1334" s="6">
        <v>45212</v>
      </c>
      <c r="J1334" s="7">
        <v>45217</v>
      </c>
      <c r="K1334" s="1">
        <v>5</v>
      </c>
      <c r="L1334" s="1" t="s">
        <v>112</v>
      </c>
      <c r="M1334" s="1" t="s">
        <v>40</v>
      </c>
      <c r="N1334" s="1" t="s">
        <v>79</v>
      </c>
      <c r="O1334" s="1" t="s">
        <v>66</v>
      </c>
      <c r="P1334" s="29">
        <v>123241.28</v>
      </c>
      <c r="Q1334" s="1" t="s">
        <v>95</v>
      </c>
      <c r="R1334" s="1">
        <v>7</v>
      </c>
      <c r="S1334" s="1">
        <v>115</v>
      </c>
      <c r="T1334" s="1">
        <v>25</v>
      </c>
      <c r="U1334" s="1" t="s">
        <v>44</v>
      </c>
      <c r="V1334" s="17" t="s">
        <v>33</v>
      </c>
    </row>
    <row r="1335" spans="1:22" ht="15" customHeight="1" x14ac:dyDescent="0.25">
      <c r="A1335" s="16" t="s">
        <v>2508</v>
      </c>
      <c r="B1335" s="3" t="s">
        <v>2509</v>
      </c>
      <c r="C1335">
        <v>35</v>
      </c>
      <c r="D1335" s="3" t="s">
        <v>98</v>
      </c>
      <c r="E1335" s="3" t="s">
        <v>23</v>
      </c>
      <c r="F1335" s="3" t="s">
        <v>83</v>
      </c>
      <c r="G1335" s="3" t="s">
        <v>71</v>
      </c>
      <c r="H1335" s="3" t="s">
        <v>26</v>
      </c>
      <c r="I1335" s="8">
        <v>43547</v>
      </c>
      <c r="J1335" s="8">
        <v>43553</v>
      </c>
      <c r="K1335" s="3">
        <v>6</v>
      </c>
      <c r="L1335" s="3" t="s">
        <v>89</v>
      </c>
      <c r="M1335" s="3" t="s">
        <v>90</v>
      </c>
      <c r="N1335" s="3" t="s">
        <v>177</v>
      </c>
      <c r="O1335" s="3" t="s">
        <v>30</v>
      </c>
      <c r="P1335" s="30">
        <v>20838.12</v>
      </c>
      <c r="Q1335" s="3" t="s">
        <v>170</v>
      </c>
      <c r="R1335" s="3">
        <v>3</v>
      </c>
      <c r="S1335" s="3">
        <v>150</v>
      </c>
      <c r="T1335" s="4"/>
      <c r="U1335" s="3" t="s">
        <v>32</v>
      </c>
      <c r="V1335" s="18" t="s">
        <v>33</v>
      </c>
    </row>
    <row r="1336" spans="1:22" ht="15" customHeight="1" x14ac:dyDescent="0.25">
      <c r="A1336" s="15" t="s">
        <v>2510</v>
      </c>
      <c r="B1336" s="1" t="s">
        <v>2511</v>
      </c>
      <c r="C1336">
        <v>91</v>
      </c>
      <c r="D1336" s="1" t="s">
        <v>36</v>
      </c>
      <c r="E1336" s="1" t="s">
        <v>23</v>
      </c>
      <c r="F1336" s="1" t="s">
        <v>70</v>
      </c>
      <c r="G1336" s="1" t="s">
        <v>188</v>
      </c>
      <c r="H1336" s="1" t="s">
        <v>51</v>
      </c>
      <c r="I1336" s="6">
        <v>44923</v>
      </c>
      <c r="J1336" s="7">
        <v>44930</v>
      </c>
      <c r="K1336" s="1">
        <v>7</v>
      </c>
      <c r="L1336" s="1" t="s">
        <v>52</v>
      </c>
      <c r="M1336" s="1" t="s">
        <v>53</v>
      </c>
      <c r="N1336" s="1" t="s">
        <v>79</v>
      </c>
      <c r="O1336" s="1" t="s">
        <v>30</v>
      </c>
      <c r="P1336" s="29">
        <v>38945.449999999997</v>
      </c>
      <c r="Q1336" s="1" t="s">
        <v>95</v>
      </c>
      <c r="R1336" s="1">
        <v>9</v>
      </c>
      <c r="S1336" s="1">
        <v>135</v>
      </c>
      <c r="T1336" s="1">
        <v>25.5</v>
      </c>
      <c r="U1336" s="1" t="s">
        <v>44</v>
      </c>
      <c r="V1336" s="17" t="s">
        <v>33</v>
      </c>
    </row>
    <row r="1337" spans="1:22" ht="15" customHeight="1" x14ac:dyDescent="0.25">
      <c r="A1337" s="16" t="s">
        <v>2512</v>
      </c>
      <c r="B1337" s="3" t="s">
        <v>2513</v>
      </c>
      <c r="C1337">
        <v>74</v>
      </c>
      <c r="D1337" s="3" t="s">
        <v>82</v>
      </c>
      <c r="E1337" s="3" t="s">
        <v>48</v>
      </c>
      <c r="F1337" s="3" t="s">
        <v>24</v>
      </c>
      <c r="G1337" s="3" t="s">
        <v>77</v>
      </c>
      <c r="H1337" s="3" t="s">
        <v>51</v>
      </c>
      <c r="I1337" s="8">
        <v>45504</v>
      </c>
      <c r="J1337" s="8">
        <v>45481</v>
      </c>
      <c r="K1337" s="3">
        <v>7</v>
      </c>
      <c r="L1337" s="3" t="s">
        <v>112</v>
      </c>
      <c r="M1337" s="3" t="s">
        <v>40</v>
      </c>
      <c r="N1337" s="3" t="s">
        <v>94</v>
      </c>
      <c r="O1337" s="3" t="s">
        <v>55</v>
      </c>
      <c r="P1337" s="30">
        <v>52979.73</v>
      </c>
      <c r="Q1337" s="3" t="s">
        <v>100</v>
      </c>
      <c r="R1337" s="3">
        <v>6</v>
      </c>
      <c r="S1337" s="3">
        <v>128</v>
      </c>
      <c r="T1337" s="3">
        <v>29</v>
      </c>
      <c r="U1337" s="3" t="s">
        <v>86</v>
      </c>
      <c r="V1337" s="18" t="s">
        <v>33</v>
      </c>
    </row>
    <row r="1338" spans="1:22" ht="15" customHeight="1" x14ac:dyDescent="0.25">
      <c r="A1338" s="15" t="s">
        <v>2514</v>
      </c>
      <c r="B1338" s="1" t="s">
        <v>1745</v>
      </c>
      <c r="C1338">
        <v>52</v>
      </c>
      <c r="D1338" s="1" t="s">
        <v>98</v>
      </c>
      <c r="E1338" s="1" t="s">
        <v>23</v>
      </c>
      <c r="F1338" s="1" t="s">
        <v>83</v>
      </c>
      <c r="G1338" s="1" t="s">
        <v>38</v>
      </c>
      <c r="H1338" s="1" t="s">
        <v>78</v>
      </c>
      <c r="I1338" s="7">
        <v>44084</v>
      </c>
      <c r="J1338" s="7">
        <v>44089</v>
      </c>
      <c r="K1338" s="1">
        <v>5</v>
      </c>
      <c r="L1338" s="1" t="s">
        <v>102</v>
      </c>
      <c r="M1338" s="1" t="s">
        <v>28</v>
      </c>
      <c r="N1338" s="1" t="s">
        <v>173</v>
      </c>
      <c r="O1338" s="1" t="s">
        <v>42</v>
      </c>
      <c r="P1338" s="29">
        <v>27462.3</v>
      </c>
      <c r="Q1338" s="1" t="s">
        <v>437</v>
      </c>
      <c r="R1338" s="1">
        <v>8</v>
      </c>
      <c r="S1338" s="1">
        <v>390</v>
      </c>
      <c r="T1338" s="1">
        <v>32.200000000000003</v>
      </c>
      <c r="U1338" s="1" t="s">
        <v>32</v>
      </c>
      <c r="V1338" s="17" t="s">
        <v>33</v>
      </c>
    </row>
    <row r="1339" spans="1:22" ht="15" customHeight="1" x14ac:dyDescent="0.25">
      <c r="A1339" s="16" t="s">
        <v>2515</v>
      </c>
      <c r="B1339" s="3" t="s">
        <v>2516</v>
      </c>
      <c r="C1339">
        <v>81</v>
      </c>
      <c r="D1339" s="3" t="s">
        <v>36</v>
      </c>
      <c r="E1339" s="3" t="s">
        <v>48</v>
      </c>
      <c r="F1339" s="3" t="s">
        <v>155</v>
      </c>
      <c r="G1339" s="3" t="s">
        <v>444</v>
      </c>
      <c r="H1339" s="3" t="s">
        <v>51</v>
      </c>
      <c r="I1339" s="6">
        <v>44885</v>
      </c>
      <c r="J1339" s="8">
        <v>44888</v>
      </c>
      <c r="K1339" s="3">
        <v>3</v>
      </c>
      <c r="L1339" s="3" t="s">
        <v>231</v>
      </c>
      <c r="M1339" s="3" t="s">
        <v>53</v>
      </c>
      <c r="N1339" s="3" t="s">
        <v>203</v>
      </c>
      <c r="O1339" s="3" t="s">
        <v>30</v>
      </c>
      <c r="P1339" s="30">
        <v>27252.53</v>
      </c>
      <c r="Q1339" s="3" t="s">
        <v>204</v>
      </c>
      <c r="R1339" s="3">
        <v>8</v>
      </c>
      <c r="S1339" s="3">
        <v>153</v>
      </c>
      <c r="T1339" s="3">
        <v>31.6</v>
      </c>
      <c r="U1339" s="3" t="s">
        <v>44</v>
      </c>
      <c r="V1339" s="18" t="s">
        <v>45</v>
      </c>
    </row>
    <row r="1340" spans="1:22" ht="15" customHeight="1" x14ac:dyDescent="0.25">
      <c r="A1340" s="15" t="s">
        <v>2517</v>
      </c>
      <c r="B1340" s="1" t="s">
        <v>2518</v>
      </c>
      <c r="C1340">
        <v>65</v>
      </c>
      <c r="D1340" s="1" t="s">
        <v>82</v>
      </c>
      <c r="E1340" s="1" t="s">
        <v>23</v>
      </c>
      <c r="F1340" s="1" t="s">
        <v>49</v>
      </c>
      <c r="G1340" s="1" t="s">
        <v>163</v>
      </c>
      <c r="H1340" s="1" t="s">
        <v>78</v>
      </c>
      <c r="I1340" s="6">
        <v>43742</v>
      </c>
      <c r="J1340" s="7">
        <v>43746</v>
      </c>
      <c r="K1340" s="1">
        <v>4</v>
      </c>
      <c r="L1340" s="1" t="s">
        <v>89</v>
      </c>
      <c r="M1340" s="1" t="s">
        <v>90</v>
      </c>
      <c r="N1340" s="1" t="s">
        <v>213</v>
      </c>
      <c r="O1340" s="1" t="s">
        <v>55</v>
      </c>
      <c r="P1340" s="29">
        <v>47175.77</v>
      </c>
      <c r="Q1340" s="1" t="s">
        <v>165</v>
      </c>
      <c r="R1340" s="1">
        <v>6</v>
      </c>
      <c r="S1340" s="1">
        <v>412</v>
      </c>
      <c r="T1340" s="1">
        <v>21.8</v>
      </c>
      <c r="U1340" s="1" t="s">
        <v>32</v>
      </c>
      <c r="V1340" s="17" t="s">
        <v>45</v>
      </c>
    </row>
    <row r="1341" spans="1:22" ht="15" customHeight="1" x14ac:dyDescent="0.25">
      <c r="A1341" s="16" t="s">
        <v>2519</v>
      </c>
      <c r="B1341" s="3" t="s">
        <v>2520</v>
      </c>
      <c r="C1341">
        <v>6</v>
      </c>
      <c r="D1341" s="3" t="s">
        <v>22</v>
      </c>
      <c r="E1341" s="3" t="s">
        <v>48</v>
      </c>
      <c r="F1341" s="3" t="s">
        <v>37</v>
      </c>
      <c r="G1341" s="3" t="s">
        <v>131</v>
      </c>
      <c r="H1341" s="3" t="s">
        <v>156</v>
      </c>
      <c r="I1341" s="8">
        <v>45249</v>
      </c>
      <c r="J1341" s="8">
        <v>45254</v>
      </c>
      <c r="K1341" s="3">
        <v>5</v>
      </c>
      <c r="L1341" s="3" t="s">
        <v>52</v>
      </c>
      <c r="M1341" s="3" t="s">
        <v>53</v>
      </c>
      <c r="N1341" s="3" t="s">
        <v>157</v>
      </c>
      <c r="O1341" s="3" t="s">
        <v>55</v>
      </c>
      <c r="P1341" s="30">
        <v>6104.65</v>
      </c>
      <c r="Q1341" s="3" t="s">
        <v>148</v>
      </c>
      <c r="R1341" s="3">
        <v>7</v>
      </c>
      <c r="S1341" s="3">
        <v>264</v>
      </c>
      <c r="T1341" s="3">
        <v>21.3</v>
      </c>
      <c r="U1341" s="3" t="s">
        <v>44</v>
      </c>
      <c r="V1341" s="18" t="s">
        <v>33</v>
      </c>
    </row>
    <row r="1342" spans="1:22" ht="15" customHeight="1" x14ac:dyDescent="0.25">
      <c r="A1342" s="15" t="s">
        <v>2521</v>
      </c>
      <c r="B1342" s="1" t="s">
        <v>2522</v>
      </c>
      <c r="C1342">
        <v>76</v>
      </c>
      <c r="D1342" s="1" t="s">
        <v>36</v>
      </c>
      <c r="E1342" s="1" t="s">
        <v>23</v>
      </c>
      <c r="F1342" s="1" t="s">
        <v>155</v>
      </c>
      <c r="G1342" s="1" t="s">
        <v>131</v>
      </c>
      <c r="H1342" s="1" t="s">
        <v>51</v>
      </c>
      <c r="I1342" s="6">
        <v>44299</v>
      </c>
      <c r="J1342" s="7">
        <v>44304</v>
      </c>
      <c r="K1342" s="1">
        <v>5</v>
      </c>
      <c r="L1342" s="1" t="s">
        <v>132</v>
      </c>
      <c r="M1342" s="1" t="s">
        <v>53</v>
      </c>
      <c r="N1342" s="1" t="s">
        <v>157</v>
      </c>
      <c r="O1342" s="1" t="s">
        <v>55</v>
      </c>
      <c r="P1342" s="29">
        <v>17566</v>
      </c>
      <c r="Q1342" s="1" t="s">
        <v>148</v>
      </c>
      <c r="R1342" s="1">
        <v>7</v>
      </c>
      <c r="S1342" s="1">
        <v>111</v>
      </c>
      <c r="T1342" s="1">
        <v>25.7</v>
      </c>
      <c r="U1342" s="1" t="s">
        <v>44</v>
      </c>
      <c r="V1342" s="17" t="s">
        <v>45</v>
      </c>
    </row>
    <row r="1343" spans="1:22" ht="15" customHeight="1" x14ac:dyDescent="0.25">
      <c r="A1343" s="16" t="s">
        <v>2523</v>
      </c>
      <c r="B1343" s="3" t="s">
        <v>2524</v>
      </c>
      <c r="C1343">
        <v>91</v>
      </c>
      <c r="D1343" s="3" t="s">
        <v>36</v>
      </c>
      <c r="E1343" s="3" t="s">
        <v>23</v>
      </c>
      <c r="F1343" s="3" t="s">
        <v>83</v>
      </c>
      <c r="G1343" s="3" t="s">
        <v>77</v>
      </c>
      <c r="H1343" s="3" t="s">
        <v>26</v>
      </c>
      <c r="I1343" s="6">
        <v>45469</v>
      </c>
      <c r="J1343" s="8">
        <v>45488</v>
      </c>
      <c r="K1343" s="3">
        <v>19</v>
      </c>
      <c r="L1343" s="3" t="s">
        <v>102</v>
      </c>
      <c r="M1343" s="3" t="s">
        <v>28</v>
      </c>
      <c r="N1343" s="3" t="s">
        <v>79</v>
      </c>
      <c r="O1343" s="3" t="s">
        <v>30</v>
      </c>
      <c r="P1343" s="30">
        <v>56047</v>
      </c>
      <c r="Q1343" s="3" t="s">
        <v>100</v>
      </c>
      <c r="R1343" s="3">
        <v>10</v>
      </c>
      <c r="S1343" s="3">
        <v>390</v>
      </c>
      <c r="T1343" s="4"/>
      <c r="U1343" s="3" t="s">
        <v>44</v>
      </c>
      <c r="V1343" s="18" t="s">
        <v>33</v>
      </c>
    </row>
    <row r="1344" spans="1:22" ht="15" customHeight="1" x14ac:dyDescent="0.25">
      <c r="A1344" s="15" t="s">
        <v>2525</v>
      </c>
      <c r="B1344" s="1" t="s">
        <v>2526</v>
      </c>
      <c r="C1344">
        <v>40</v>
      </c>
      <c r="D1344" s="1" t="s">
        <v>98</v>
      </c>
      <c r="E1344" s="1" t="s">
        <v>48</v>
      </c>
      <c r="F1344" s="1" t="s">
        <v>70</v>
      </c>
      <c r="G1344" s="1" t="s">
        <v>60</v>
      </c>
      <c r="H1344" s="1" t="s">
        <v>78</v>
      </c>
      <c r="I1344" s="6">
        <v>43620</v>
      </c>
      <c r="J1344" s="7">
        <v>43624</v>
      </c>
      <c r="K1344" s="1">
        <v>4</v>
      </c>
      <c r="L1344" s="1" t="s">
        <v>122</v>
      </c>
      <c r="M1344" s="1" t="s">
        <v>40</v>
      </c>
      <c r="N1344" s="1" t="s">
        <v>103</v>
      </c>
      <c r="O1344" s="1" t="s">
        <v>104</v>
      </c>
      <c r="P1344" s="29">
        <v>30204.81</v>
      </c>
      <c r="Q1344" s="1" t="s">
        <v>105</v>
      </c>
      <c r="R1344" s="1">
        <v>5</v>
      </c>
      <c r="S1344" s="1">
        <v>394</v>
      </c>
      <c r="T1344" s="1">
        <v>22.1</v>
      </c>
      <c r="U1344" s="1" t="s">
        <v>44</v>
      </c>
      <c r="V1344" s="17" t="s">
        <v>33</v>
      </c>
    </row>
    <row r="1345" spans="1:22" ht="15" customHeight="1" x14ac:dyDescent="0.25">
      <c r="A1345" s="16" t="s">
        <v>2527</v>
      </c>
      <c r="B1345" s="2" t="s">
        <v>88</v>
      </c>
      <c r="C1345">
        <v>41</v>
      </c>
      <c r="D1345" s="3" t="s">
        <v>98</v>
      </c>
      <c r="E1345" s="3" t="s">
        <v>48</v>
      </c>
      <c r="F1345" s="3" t="s">
        <v>76</v>
      </c>
      <c r="G1345" s="3" t="s">
        <v>38</v>
      </c>
      <c r="H1345" s="3" t="s">
        <v>51</v>
      </c>
      <c r="I1345" s="6">
        <v>44710</v>
      </c>
      <c r="J1345" s="8">
        <v>44713</v>
      </c>
      <c r="K1345" s="3">
        <v>3</v>
      </c>
      <c r="L1345" s="3" t="s">
        <v>231</v>
      </c>
      <c r="M1345" s="3" t="s">
        <v>53</v>
      </c>
      <c r="N1345" s="3" t="s">
        <v>173</v>
      </c>
      <c r="O1345" s="3" t="s">
        <v>42</v>
      </c>
      <c r="P1345" s="30">
        <v>8654.82</v>
      </c>
      <c r="Q1345" s="3" t="s">
        <v>204</v>
      </c>
      <c r="R1345" s="3">
        <v>8</v>
      </c>
      <c r="S1345" s="3">
        <v>159</v>
      </c>
      <c r="T1345" s="3">
        <v>43</v>
      </c>
      <c r="U1345" s="3" t="s">
        <v>32</v>
      </c>
      <c r="V1345" s="18" t="s">
        <v>33</v>
      </c>
    </row>
    <row r="1346" spans="1:22" ht="15" customHeight="1" x14ac:dyDescent="0.25">
      <c r="A1346" s="15" t="s">
        <v>2528</v>
      </c>
      <c r="B1346" s="1" t="s">
        <v>2529</v>
      </c>
      <c r="C1346">
        <v>69</v>
      </c>
      <c r="D1346" s="1" t="s">
        <v>82</v>
      </c>
      <c r="E1346" s="1" t="s">
        <v>23</v>
      </c>
      <c r="F1346" s="2" t="s">
        <v>99</v>
      </c>
      <c r="G1346" s="1" t="s">
        <v>77</v>
      </c>
      <c r="H1346" s="1" t="s">
        <v>78</v>
      </c>
      <c r="I1346" s="7">
        <v>44296</v>
      </c>
      <c r="J1346" s="7">
        <v>44302</v>
      </c>
      <c r="K1346" s="1">
        <v>6</v>
      </c>
      <c r="L1346" s="1" t="s">
        <v>52</v>
      </c>
      <c r="M1346" s="1" t="s">
        <v>53</v>
      </c>
      <c r="N1346" s="1" t="s">
        <v>79</v>
      </c>
      <c r="O1346" s="1" t="s">
        <v>30</v>
      </c>
      <c r="P1346" s="29">
        <v>69736.75</v>
      </c>
      <c r="Q1346" s="1" t="s">
        <v>181</v>
      </c>
      <c r="R1346" s="1">
        <v>9</v>
      </c>
      <c r="S1346" s="1">
        <v>418</v>
      </c>
      <c r="T1346" s="1">
        <v>36</v>
      </c>
      <c r="U1346" s="1" t="s">
        <v>44</v>
      </c>
      <c r="V1346" s="17" t="s">
        <v>33</v>
      </c>
    </row>
    <row r="1347" spans="1:22" ht="15" customHeight="1" x14ac:dyDescent="0.25">
      <c r="A1347" s="16" t="s">
        <v>2530</v>
      </c>
      <c r="B1347" s="3" t="s">
        <v>169</v>
      </c>
      <c r="C1347">
        <v>61</v>
      </c>
      <c r="D1347" s="3" t="s">
        <v>59</v>
      </c>
      <c r="E1347" s="3" t="s">
        <v>23</v>
      </c>
      <c r="F1347" s="3" t="s">
        <v>155</v>
      </c>
      <c r="G1347" s="3" t="s">
        <v>77</v>
      </c>
      <c r="H1347" s="3" t="s">
        <v>26</v>
      </c>
      <c r="I1347" s="8">
        <v>44672</v>
      </c>
      <c r="J1347" s="8">
        <v>44685</v>
      </c>
      <c r="K1347" s="3">
        <v>13</v>
      </c>
      <c r="L1347" s="3" t="s">
        <v>39</v>
      </c>
      <c r="M1347" s="3" t="s">
        <v>40</v>
      </c>
      <c r="N1347" s="3" t="s">
        <v>79</v>
      </c>
      <c r="O1347" s="3" t="s">
        <v>30</v>
      </c>
      <c r="P1347" s="30">
        <v>73996.149999999994</v>
      </c>
      <c r="Q1347" s="3" t="s">
        <v>181</v>
      </c>
      <c r="R1347" s="3">
        <v>10</v>
      </c>
      <c r="S1347" s="3">
        <v>367</v>
      </c>
      <c r="T1347" s="3">
        <v>25</v>
      </c>
      <c r="U1347" s="3" t="s">
        <v>86</v>
      </c>
      <c r="V1347" s="18" t="s">
        <v>33</v>
      </c>
    </row>
    <row r="1348" spans="1:22" ht="15" customHeight="1" x14ac:dyDescent="0.25">
      <c r="A1348" s="15" t="s">
        <v>2531</v>
      </c>
      <c r="B1348" s="1" t="s">
        <v>2532</v>
      </c>
      <c r="C1348">
        <v>58</v>
      </c>
      <c r="D1348" s="1" t="s">
        <v>59</v>
      </c>
      <c r="E1348" s="1" t="s">
        <v>23</v>
      </c>
      <c r="F1348" s="1" t="s">
        <v>99</v>
      </c>
      <c r="G1348" s="1" t="s">
        <v>38</v>
      </c>
      <c r="H1348" s="1" t="s">
        <v>51</v>
      </c>
      <c r="I1348" s="7">
        <v>44659</v>
      </c>
      <c r="J1348" s="7">
        <v>44665</v>
      </c>
      <c r="K1348" s="1">
        <v>6</v>
      </c>
      <c r="L1348" s="1" t="s">
        <v>231</v>
      </c>
      <c r="M1348" s="1" t="s">
        <v>53</v>
      </c>
      <c r="N1348" s="1" t="s">
        <v>203</v>
      </c>
      <c r="O1348" s="1" t="s">
        <v>30</v>
      </c>
      <c r="P1348" s="29">
        <v>14127.08</v>
      </c>
      <c r="Q1348" s="1" t="s">
        <v>305</v>
      </c>
      <c r="R1348" s="1">
        <v>8</v>
      </c>
      <c r="S1348" s="1">
        <v>165</v>
      </c>
      <c r="T1348" s="1">
        <v>28.4</v>
      </c>
      <c r="U1348" s="1" t="s">
        <v>32</v>
      </c>
      <c r="V1348" s="17" t="s">
        <v>45</v>
      </c>
    </row>
    <row r="1349" spans="1:22" ht="15" customHeight="1" x14ac:dyDescent="0.25">
      <c r="A1349" s="16" t="s">
        <v>2533</v>
      </c>
      <c r="B1349" s="3" t="s">
        <v>2534</v>
      </c>
      <c r="C1349">
        <v>69</v>
      </c>
      <c r="D1349" s="3" t="s">
        <v>82</v>
      </c>
      <c r="E1349" s="3" t="s">
        <v>23</v>
      </c>
      <c r="F1349" s="3" t="s">
        <v>70</v>
      </c>
      <c r="G1349" s="3" t="s">
        <v>226</v>
      </c>
      <c r="H1349" s="3" t="s">
        <v>26</v>
      </c>
      <c r="I1349" s="8">
        <v>45598</v>
      </c>
      <c r="J1349" s="8">
        <v>45620</v>
      </c>
      <c r="K1349" s="3">
        <v>22</v>
      </c>
      <c r="L1349" s="3" t="s">
        <v>89</v>
      </c>
      <c r="M1349" s="3" t="s">
        <v>90</v>
      </c>
      <c r="N1349" s="3" t="s">
        <v>94</v>
      </c>
      <c r="O1349" s="3" t="s">
        <v>30</v>
      </c>
      <c r="P1349" s="30">
        <v>72595.27</v>
      </c>
      <c r="Q1349" s="3" t="s">
        <v>592</v>
      </c>
      <c r="R1349" s="3">
        <v>10</v>
      </c>
      <c r="S1349" s="3">
        <v>357</v>
      </c>
      <c r="T1349" s="3">
        <v>29.9</v>
      </c>
      <c r="U1349" s="3" t="s">
        <v>86</v>
      </c>
      <c r="V1349" s="18" t="s">
        <v>33</v>
      </c>
    </row>
    <row r="1350" spans="1:22" ht="15" customHeight="1" x14ac:dyDescent="0.25">
      <c r="A1350" s="15" t="s">
        <v>2535</v>
      </c>
      <c r="B1350" s="1" t="s">
        <v>2536</v>
      </c>
      <c r="C1350">
        <v>43</v>
      </c>
      <c r="D1350" s="1" t="s">
        <v>98</v>
      </c>
      <c r="E1350" s="1" t="s">
        <v>23</v>
      </c>
      <c r="F1350" s="1" t="s">
        <v>70</v>
      </c>
      <c r="G1350" s="1" t="s">
        <v>77</v>
      </c>
      <c r="H1350" s="1" t="s">
        <v>26</v>
      </c>
      <c r="I1350" s="6">
        <v>45255</v>
      </c>
      <c r="J1350" s="7">
        <v>45281</v>
      </c>
      <c r="K1350" s="1">
        <v>26</v>
      </c>
      <c r="L1350" s="1" t="s">
        <v>231</v>
      </c>
      <c r="M1350" s="1" t="s">
        <v>53</v>
      </c>
      <c r="N1350" s="1" t="s">
        <v>216</v>
      </c>
      <c r="O1350" s="1" t="s">
        <v>30</v>
      </c>
      <c r="P1350" s="29">
        <v>46742.13</v>
      </c>
      <c r="Q1350" s="1" t="s">
        <v>91</v>
      </c>
      <c r="R1350" s="1">
        <v>10</v>
      </c>
      <c r="S1350" s="1">
        <v>363</v>
      </c>
      <c r="T1350" s="4"/>
      <c r="U1350" s="1" t="s">
        <v>32</v>
      </c>
      <c r="V1350" s="17" t="s">
        <v>33</v>
      </c>
    </row>
    <row r="1351" spans="1:22" ht="15" customHeight="1" x14ac:dyDescent="0.25">
      <c r="A1351" s="16" t="s">
        <v>2537</v>
      </c>
      <c r="B1351" s="3" t="s">
        <v>2538</v>
      </c>
      <c r="C1351">
        <v>76</v>
      </c>
      <c r="D1351" s="3" t="s">
        <v>36</v>
      </c>
      <c r="E1351" s="3" t="s">
        <v>23</v>
      </c>
      <c r="F1351" s="3" t="s">
        <v>49</v>
      </c>
      <c r="G1351" s="3" t="s">
        <v>562</v>
      </c>
      <c r="H1351" s="3" t="s">
        <v>51</v>
      </c>
      <c r="I1351" s="8">
        <v>45213</v>
      </c>
      <c r="J1351" s="8">
        <v>45218</v>
      </c>
      <c r="K1351" s="3">
        <v>5</v>
      </c>
      <c r="L1351" s="3" t="s">
        <v>27</v>
      </c>
      <c r="M1351" s="3" t="s">
        <v>28</v>
      </c>
      <c r="N1351" s="3" t="s">
        <v>133</v>
      </c>
      <c r="O1351" s="3" t="s">
        <v>55</v>
      </c>
      <c r="P1351" s="30">
        <v>38125.08</v>
      </c>
      <c r="Q1351" s="3" t="s">
        <v>266</v>
      </c>
      <c r="R1351" s="3">
        <v>6</v>
      </c>
      <c r="S1351" s="3">
        <v>124</v>
      </c>
      <c r="T1351" s="3">
        <v>30.4</v>
      </c>
      <c r="U1351" s="3" t="s">
        <v>44</v>
      </c>
      <c r="V1351" s="18" t="s">
        <v>33</v>
      </c>
    </row>
    <row r="1352" spans="1:22" ht="15" customHeight="1" x14ac:dyDescent="0.25">
      <c r="A1352" s="15" t="s">
        <v>2539</v>
      </c>
      <c r="B1352" s="1" t="s">
        <v>2540</v>
      </c>
      <c r="C1352">
        <v>67</v>
      </c>
      <c r="D1352" s="1" t="s">
        <v>82</v>
      </c>
      <c r="E1352" s="1" t="s">
        <v>23</v>
      </c>
      <c r="F1352" s="1" t="s">
        <v>24</v>
      </c>
      <c r="G1352" s="1" t="s">
        <v>77</v>
      </c>
      <c r="H1352" s="1" t="s">
        <v>51</v>
      </c>
      <c r="I1352" s="7">
        <v>45057</v>
      </c>
      <c r="J1352" s="7">
        <v>45063</v>
      </c>
      <c r="K1352" s="1">
        <v>6</v>
      </c>
      <c r="L1352" s="1" t="s">
        <v>39</v>
      </c>
      <c r="M1352" s="1" t="s">
        <v>40</v>
      </c>
      <c r="N1352" s="1" t="s">
        <v>94</v>
      </c>
      <c r="O1352" s="1" t="s">
        <v>30</v>
      </c>
      <c r="P1352" s="29">
        <v>33200.769999999997</v>
      </c>
      <c r="Q1352" s="1" t="s">
        <v>109</v>
      </c>
      <c r="R1352" s="1">
        <v>10</v>
      </c>
      <c r="S1352" s="1">
        <v>121</v>
      </c>
      <c r="T1352" s="1">
        <v>30</v>
      </c>
      <c r="U1352" s="1" t="s">
        <v>44</v>
      </c>
      <c r="V1352" s="17" t="s">
        <v>33</v>
      </c>
    </row>
    <row r="1353" spans="1:22" ht="15" customHeight="1" x14ac:dyDescent="0.25">
      <c r="A1353" s="16" t="s">
        <v>2541</v>
      </c>
      <c r="B1353" s="3" t="s">
        <v>2542</v>
      </c>
      <c r="C1353">
        <v>59</v>
      </c>
      <c r="D1353" s="3" t="s">
        <v>59</v>
      </c>
      <c r="E1353" s="3" t="s">
        <v>23</v>
      </c>
      <c r="F1353" s="3" t="s">
        <v>76</v>
      </c>
      <c r="G1353" s="3" t="s">
        <v>38</v>
      </c>
      <c r="H1353" s="3" t="s">
        <v>51</v>
      </c>
      <c r="I1353" s="6">
        <v>43511</v>
      </c>
      <c r="J1353" s="8">
        <v>43513</v>
      </c>
      <c r="K1353" s="3">
        <v>2</v>
      </c>
      <c r="L1353" s="3" t="s">
        <v>231</v>
      </c>
      <c r="M1353" s="3" t="s">
        <v>53</v>
      </c>
      <c r="N1353" s="3" t="s">
        <v>41</v>
      </c>
      <c r="O1353" s="3" t="s">
        <v>42</v>
      </c>
      <c r="P1353" s="30">
        <v>13491.78</v>
      </c>
      <c r="Q1353" s="3" t="s">
        <v>236</v>
      </c>
      <c r="R1353" s="3">
        <v>8</v>
      </c>
      <c r="S1353" s="3">
        <v>198</v>
      </c>
      <c r="T1353" s="3">
        <v>29.3</v>
      </c>
      <c r="U1353" s="3" t="s">
        <v>44</v>
      </c>
      <c r="V1353" s="18" t="s">
        <v>33</v>
      </c>
    </row>
    <row r="1354" spans="1:22" ht="15" customHeight="1" x14ac:dyDescent="0.25">
      <c r="A1354" s="15" t="s">
        <v>2543</v>
      </c>
      <c r="B1354" s="1" t="s">
        <v>2544</v>
      </c>
      <c r="C1354">
        <v>35</v>
      </c>
      <c r="D1354" s="1" t="s">
        <v>98</v>
      </c>
      <c r="E1354" s="1" t="s">
        <v>23</v>
      </c>
      <c r="F1354" s="1" t="s">
        <v>99</v>
      </c>
      <c r="G1354" s="1" t="s">
        <v>25</v>
      </c>
      <c r="H1354" s="1" t="s">
        <v>26</v>
      </c>
      <c r="I1354" s="7">
        <v>44614</v>
      </c>
      <c r="J1354" s="7">
        <v>44627</v>
      </c>
      <c r="K1354" s="1">
        <v>13</v>
      </c>
      <c r="L1354" s="1" t="s">
        <v>39</v>
      </c>
      <c r="M1354" s="1" t="s">
        <v>40</v>
      </c>
      <c r="N1354" s="1" t="s">
        <v>29</v>
      </c>
      <c r="O1354" s="1" t="s">
        <v>30</v>
      </c>
      <c r="P1354" s="29">
        <v>82004.39</v>
      </c>
      <c r="Q1354" s="1" t="s">
        <v>706</v>
      </c>
      <c r="R1354" s="1">
        <v>12</v>
      </c>
      <c r="S1354" s="1">
        <v>279</v>
      </c>
      <c r="T1354" s="1">
        <v>22.9</v>
      </c>
      <c r="U1354" s="1" t="s">
        <v>44</v>
      </c>
      <c r="V1354" s="17" t="s">
        <v>33</v>
      </c>
    </row>
    <row r="1355" spans="1:22" ht="15" customHeight="1" x14ac:dyDescent="0.25">
      <c r="A1355" s="16" t="s">
        <v>2545</v>
      </c>
      <c r="B1355" s="2" t="s">
        <v>3665</v>
      </c>
      <c r="C1355">
        <v>31</v>
      </c>
      <c r="D1355" s="3" t="s">
        <v>47</v>
      </c>
      <c r="E1355" s="3" t="s">
        <v>23</v>
      </c>
      <c r="F1355" s="3" t="s">
        <v>49</v>
      </c>
      <c r="G1355" s="3" t="s">
        <v>60</v>
      </c>
      <c r="H1355" s="3" t="s">
        <v>78</v>
      </c>
      <c r="I1355" s="6">
        <v>44426</v>
      </c>
      <c r="J1355" s="8">
        <v>44438</v>
      </c>
      <c r="K1355" s="3">
        <v>12</v>
      </c>
      <c r="L1355" s="3" t="s">
        <v>132</v>
      </c>
      <c r="M1355" s="3" t="s">
        <v>53</v>
      </c>
      <c r="N1355" s="3" t="s">
        <v>210</v>
      </c>
      <c r="O1355" s="3" t="s">
        <v>30</v>
      </c>
      <c r="P1355" s="30">
        <v>11231.7</v>
      </c>
      <c r="Q1355" s="3" t="s">
        <v>511</v>
      </c>
      <c r="R1355" s="3">
        <v>6</v>
      </c>
      <c r="S1355" s="3">
        <v>482</v>
      </c>
      <c r="T1355" s="3">
        <v>22.8</v>
      </c>
      <c r="U1355" s="3" t="s">
        <v>32</v>
      </c>
      <c r="V1355" s="18" t="s">
        <v>33</v>
      </c>
    </row>
    <row r="1356" spans="1:22" ht="15" customHeight="1" x14ac:dyDescent="0.25">
      <c r="A1356" s="15" t="s">
        <v>2546</v>
      </c>
      <c r="B1356" s="1" t="s">
        <v>2418</v>
      </c>
      <c r="C1356">
        <v>71</v>
      </c>
      <c r="D1356" s="1" t="s">
        <v>82</v>
      </c>
      <c r="E1356" s="1" t="s">
        <v>23</v>
      </c>
      <c r="F1356" s="1" t="s">
        <v>24</v>
      </c>
      <c r="G1356" s="1" t="s">
        <v>444</v>
      </c>
      <c r="H1356" s="1" t="s">
        <v>51</v>
      </c>
      <c r="I1356" s="7">
        <v>44531</v>
      </c>
      <c r="J1356" s="7">
        <v>44210</v>
      </c>
      <c r="K1356" s="1">
        <v>2</v>
      </c>
      <c r="L1356" s="1" t="s">
        <v>185</v>
      </c>
      <c r="M1356" s="1" t="s">
        <v>186</v>
      </c>
      <c r="N1356" s="1" t="s">
        <v>203</v>
      </c>
      <c r="O1356" s="1" t="s">
        <v>104</v>
      </c>
      <c r="P1356" s="29">
        <v>12776.9</v>
      </c>
      <c r="Q1356" s="1" t="s">
        <v>305</v>
      </c>
      <c r="R1356" s="1">
        <v>5</v>
      </c>
      <c r="S1356" s="1">
        <v>140</v>
      </c>
      <c r="T1356" s="1">
        <v>26.8</v>
      </c>
      <c r="U1356" s="1" t="s">
        <v>44</v>
      </c>
      <c r="V1356" s="17" t="s">
        <v>33</v>
      </c>
    </row>
    <row r="1357" spans="1:22" ht="15" customHeight="1" x14ac:dyDescent="0.25">
      <c r="A1357" s="16" t="s">
        <v>2547</v>
      </c>
      <c r="B1357" s="3" t="s">
        <v>2548</v>
      </c>
      <c r="C1357">
        <v>68</v>
      </c>
      <c r="D1357" s="3" t="s">
        <v>82</v>
      </c>
      <c r="E1357" s="3" t="s">
        <v>23</v>
      </c>
      <c r="F1357" s="3" t="s">
        <v>70</v>
      </c>
      <c r="G1357" s="3" t="s">
        <v>60</v>
      </c>
      <c r="H1357" s="3" t="s">
        <v>78</v>
      </c>
      <c r="I1357" s="6">
        <v>45425</v>
      </c>
      <c r="J1357" s="8">
        <v>45435</v>
      </c>
      <c r="K1357" s="3">
        <v>10</v>
      </c>
      <c r="L1357" s="3" t="s">
        <v>231</v>
      </c>
      <c r="M1357" s="3" t="s">
        <v>53</v>
      </c>
      <c r="N1357" s="3" t="s">
        <v>103</v>
      </c>
      <c r="O1357" s="3" t="s">
        <v>30</v>
      </c>
      <c r="P1357" s="30">
        <v>19103</v>
      </c>
      <c r="Q1357" s="3" t="s">
        <v>511</v>
      </c>
      <c r="R1357" s="3">
        <v>6</v>
      </c>
      <c r="S1357" s="3">
        <v>201</v>
      </c>
      <c r="T1357" s="3">
        <v>30.3</v>
      </c>
      <c r="U1357" s="3" t="s">
        <v>32</v>
      </c>
      <c r="V1357" s="18" t="s">
        <v>45</v>
      </c>
    </row>
    <row r="1358" spans="1:22" ht="15" customHeight="1" x14ac:dyDescent="0.25">
      <c r="A1358" s="15" t="s">
        <v>2549</v>
      </c>
      <c r="B1358" s="1" t="s">
        <v>2550</v>
      </c>
      <c r="C1358">
        <v>84</v>
      </c>
      <c r="D1358" s="1" t="s">
        <v>36</v>
      </c>
      <c r="E1358" s="1" t="s">
        <v>23</v>
      </c>
      <c r="F1358" s="1" t="s">
        <v>49</v>
      </c>
      <c r="G1358" s="1" t="s">
        <v>50</v>
      </c>
      <c r="H1358" s="1" t="s">
        <v>26</v>
      </c>
      <c r="I1358" s="6">
        <v>44234</v>
      </c>
      <c r="J1358" s="7">
        <v>44397</v>
      </c>
      <c r="K1358" s="1">
        <v>18</v>
      </c>
      <c r="L1358" s="1" t="s">
        <v>89</v>
      </c>
      <c r="M1358" s="1" t="s">
        <v>90</v>
      </c>
      <c r="N1358" s="1" t="s">
        <v>126</v>
      </c>
      <c r="O1358" s="1" t="s">
        <v>30</v>
      </c>
      <c r="P1358" s="29">
        <v>28464</v>
      </c>
      <c r="Q1358" s="1" t="s">
        <v>85</v>
      </c>
      <c r="R1358" s="1">
        <v>6</v>
      </c>
      <c r="S1358" s="1">
        <v>385</v>
      </c>
      <c r="T1358" s="1">
        <v>21.7</v>
      </c>
      <c r="U1358" s="1" t="s">
        <v>44</v>
      </c>
      <c r="V1358" s="17" t="s">
        <v>45</v>
      </c>
    </row>
    <row r="1359" spans="1:22" ht="15" customHeight="1" x14ac:dyDescent="0.25">
      <c r="A1359" s="16" t="s">
        <v>2551</v>
      </c>
      <c r="B1359" s="3" t="s">
        <v>785</v>
      </c>
      <c r="C1359">
        <v>58</v>
      </c>
      <c r="D1359" s="3" t="s">
        <v>59</v>
      </c>
      <c r="E1359" s="3" t="s">
        <v>23</v>
      </c>
      <c r="F1359" s="3" t="s">
        <v>70</v>
      </c>
      <c r="G1359" s="3" t="s">
        <v>163</v>
      </c>
      <c r="H1359" s="3" t="s">
        <v>51</v>
      </c>
      <c r="I1359" s="6">
        <v>44257</v>
      </c>
      <c r="J1359" s="8">
        <v>44233</v>
      </c>
      <c r="K1359" s="3">
        <v>3</v>
      </c>
      <c r="L1359" s="3" t="s">
        <v>27</v>
      </c>
      <c r="M1359" s="3" t="s">
        <v>28</v>
      </c>
      <c r="N1359" s="3" t="s">
        <v>164</v>
      </c>
      <c r="O1359" s="3" t="s">
        <v>42</v>
      </c>
      <c r="P1359" s="30">
        <v>14610.73</v>
      </c>
      <c r="Q1359" s="3" t="s">
        <v>165</v>
      </c>
      <c r="R1359" s="3">
        <v>3</v>
      </c>
      <c r="S1359" s="3">
        <v>153</v>
      </c>
      <c r="T1359" s="3">
        <v>31.4</v>
      </c>
      <c r="U1359" s="3" t="s">
        <v>32</v>
      </c>
      <c r="V1359" s="18" t="s">
        <v>33</v>
      </c>
    </row>
    <row r="1360" spans="1:22" ht="15" customHeight="1" x14ac:dyDescent="0.25">
      <c r="A1360" s="15" t="s">
        <v>2552</v>
      </c>
      <c r="B1360" s="1" t="s">
        <v>2553</v>
      </c>
      <c r="C1360">
        <v>64</v>
      </c>
      <c r="D1360" s="1" t="s">
        <v>59</v>
      </c>
      <c r="E1360" s="1" t="s">
        <v>48</v>
      </c>
      <c r="F1360" s="1" t="s">
        <v>24</v>
      </c>
      <c r="G1360" s="1" t="s">
        <v>870</v>
      </c>
      <c r="H1360" s="1" t="s">
        <v>78</v>
      </c>
      <c r="I1360" s="7">
        <v>44037</v>
      </c>
      <c r="J1360" s="7">
        <v>44042</v>
      </c>
      <c r="K1360" s="1">
        <v>5</v>
      </c>
      <c r="L1360" s="1" t="s">
        <v>231</v>
      </c>
      <c r="M1360" s="1" t="s">
        <v>53</v>
      </c>
      <c r="N1360" s="1" t="s">
        <v>157</v>
      </c>
      <c r="O1360" s="1" t="s">
        <v>42</v>
      </c>
      <c r="P1360" s="29">
        <v>39609.839999999997</v>
      </c>
      <c r="Q1360" s="1" t="s">
        <v>148</v>
      </c>
      <c r="R1360" s="1">
        <v>7</v>
      </c>
      <c r="S1360" s="1">
        <v>439</v>
      </c>
      <c r="T1360" s="1">
        <v>14.5</v>
      </c>
      <c r="U1360" s="1" t="s">
        <v>32</v>
      </c>
      <c r="V1360" s="17" t="s">
        <v>33</v>
      </c>
    </row>
    <row r="1361" spans="1:22" ht="15" customHeight="1" x14ac:dyDescent="0.25">
      <c r="A1361" s="16" t="s">
        <v>2554</v>
      </c>
      <c r="B1361" s="3" t="s">
        <v>2555</v>
      </c>
      <c r="C1361">
        <v>50</v>
      </c>
      <c r="D1361" s="3" t="s">
        <v>98</v>
      </c>
      <c r="E1361" s="3" t="s">
        <v>23</v>
      </c>
      <c r="F1361" s="3" t="s">
        <v>70</v>
      </c>
      <c r="G1361" s="3" t="s">
        <v>25</v>
      </c>
      <c r="H1361" s="3" t="s">
        <v>51</v>
      </c>
      <c r="I1361" s="8">
        <v>45535</v>
      </c>
      <c r="J1361" s="8">
        <v>45542</v>
      </c>
      <c r="K1361" s="3">
        <v>7</v>
      </c>
      <c r="L1361" s="3" t="s">
        <v>122</v>
      </c>
      <c r="M1361" s="3" t="s">
        <v>40</v>
      </c>
      <c r="N1361" s="3" t="s">
        <v>963</v>
      </c>
      <c r="O1361" s="3" t="s">
        <v>30</v>
      </c>
      <c r="P1361" s="30">
        <v>49908.9</v>
      </c>
      <c r="Q1361" s="3" t="s">
        <v>515</v>
      </c>
      <c r="R1361" s="3">
        <v>10</v>
      </c>
      <c r="S1361" s="3">
        <v>193</v>
      </c>
      <c r="T1361" s="4"/>
      <c r="U1361" s="3" t="s">
        <v>44</v>
      </c>
      <c r="V1361" s="18" t="s">
        <v>33</v>
      </c>
    </row>
    <row r="1362" spans="1:22" ht="15" customHeight="1" x14ac:dyDescent="0.25">
      <c r="A1362" s="15" t="s">
        <v>2556</v>
      </c>
      <c r="B1362" s="2" t="s">
        <v>3666</v>
      </c>
      <c r="C1362">
        <v>83</v>
      </c>
      <c r="D1362" s="1" t="s">
        <v>36</v>
      </c>
      <c r="E1362" s="1" t="s">
        <v>48</v>
      </c>
      <c r="F1362" s="1" t="s">
        <v>49</v>
      </c>
      <c r="G1362" s="1" t="s">
        <v>131</v>
      </c>
      <c r="H1362" s="1" t="s">
        <v>26</v>
      </c>
      <c r="I1362" s="7">
        <v>45171</v>
      </c>
      <c r="J1362" s="7">
        <v>45179</v>
      </c>
      <c r="K1362" s="1">
        <v>8</v>
      </c>
      <c r="L1362" s="1" t="s">
        <v>231</v>
      </c>
      <c r="M1362" s="1" t="s">
        <v>53</v>
      </c>
      <c r="N1362" s="1" t="s">
        <v>157</v>
      </c>
      <c r="O1362" s="1" t="s">
        <v>30</v>
      </c>
      <c r="P1362" s="29">
        <v>28443.97</v>
      </c>
      <c r="Q1362" s="1" t="s">
        <v>291</v>
      </c>
      <c r="R1362" s="1">
        <v>6</v>
      </c>
      <c r="S1362" s="1">
        <v>384</v>
      </c>
      <c r="T1362" s="1">
        <v>18.7</v>
      </c>
      <c r="U1362" s="1" t="s">
        <v>32</v>
      </c>
      <c r="V1362" s="17" t="s">
        <v>33</v>
      </c>
    </row>
    <row r="1363" spans="1:22" ht="15" customHeight="1" x14ac:dyDescent="0.25">
      <c r="A1363" s="16" t="s">
        <v>2557</v>
      </c>
      <c r="B1363" s="3" t="s">
        <v>2558</v>
      </c>
      <c r="C1363">
        <v>61</v>
      </c>
      <c r="D1363" s="3" t="s">
        <v>59</v>
      </c>
      <c r="E1363" s="3" t="s">
        <v>23</v>
      </c>
      <c r="F1363" s="3" t="s">
        <v>83</v>
      </c>
      <c r="G1363" s="3" t="s">
        <v>131</v>
      </c>
      <c r="H1363" s="3" t="s">
        <v>51</v>
      </c>
      <c r="I1363" s="8">
        <v>43568</v>
      </c>
      <c r="J1363" s="8">
        <v>43570</v>
      </c>
      <c r="K1363" s="3">
        <v>2</v>
      </c>
      <c r="L1363" s="3" t="s">
        <v>39</v>
      </c>
      <c r="M1363" s="3" t="s">
        <v>40</v>
      </c>
      <c r="N1363" s="3" t="s">
        <v>157</v>
      </c>
      <c r="O1363" s="3" t="s">
        <v>66</v>
      </c>
      <c r="P1363" s="30">
        <v>32319.49</v>
      </c>
      <c r="Q1363" s="3" t="s">
        <v>266</v>
      </c>
      <c r="R1363" s="3">
        <v>7</v>
      </c>
      <c r="S1363" s="3">
        <v>163</v>
      </c>
      <c r="T1363" s="3">
        <v>28.8</v>
      </c>
      <c r="U1363" s="3" t="s">
        <v>32</v>
      </c>
      <c r="V1363" s="18" t="s">
        <v>33</v>
      </c>
    </row>
    <row r="1364" spans="1:22" ht="15" customHeight="1" x14ac:dyDescent="0.25">
      <c r="A1364" s="15" t="s">
        <v>2559</v>
      </c>
      <c r="B1364" s="1" t="s">
        <v>2560</v>
      </c>
      <c r="C1364">
        <v>86</v>
      </c>
      <c r="D1364" s="1" t="s">
        <v>36</v>
      </c>
      <c r="E1364" s="1" t="s">
        <v>23</v>
      </c>
      <c r="F1364" s="1" t="s">
        <v>37</v>
      </c>
      <c r="G1364" s="1" t="s">
        <v>38</v>
      </c>
      <c r="H1364" s="1" t="s">
        <v>78</v>
      </c>
      <c r="I1364" s="6">
        <v>45235</v>
      </c>
      <c r="J1364" s="7">
        <v>45180</v>
      </c>
      <c r="K1364" s="1">
        <v>4</v>
      </c>
      <c r="L1364" s="1" t="s">
        <v>122</v>
      </c>
      <c r="M1364" s="1" t="s">
        <v>40</v>
      </c>
      <c r="N1364" s="1" t="s">
        <v>203</v>
      </c>
      <c r="O1364" s="1" t="s">
        <v>104</v>
      </c>
      <c r="P1364" s="29">
        <v>14124.19</v>
      </c>
      <c r="Q1364" s="1" t="s">
        <v>174</v>
      </c>
      <c r="R1364" s="1">
        <v>6</v>
      </c>
      <c r="S1364" s="1">
        <v>270</v>
      </c>
      <c r="T1364" s="1">
        <v>36.1</v>
      </c>
      <c r="U1364" s="1" t="s">
        <v>44</v>
      </c>
      <c r="V1364" s="17" t="s">
        <v>33</v>
      </c>
    </row>
    <row r="1365" spans="1:22" ht="15" customHeight="1" x14ac:dyDescent="0.25">
      <c r="A1365" s="16" t="s">
        <v>2561</v>
      </c>
      <c r="B1365" s="3" t="s">
        <v>1018</v>
      </c>
      <c r="C1365">
        <v>84</v>
      </c>
      <c r="D1365" s="3" t="s">
        <v>36</v>
      </c>
      <c r="E1365" s="3" t="s">
        <v>23</v>
      </c>
      <c r="F1365" s="3" t="s">
        <v>70</v>
      </c>
      <c r="G1365" s="3" t="s">
        <v>50</v>
      </c>
      <c r="H1365" s="3" t="s">
        <v>51</v>
      </c>
      <c r="I1365" s="8">
        <v>43767</v>
      </c>
      <c r="J1365" s="8">
        <v>43688</v>
      </c>
      <c r="K1365" s="3">
        <v>10</v>
      </c>
      <c r="L1365" s="3" t="s">
        <v>185</v>
      </c>
      <c r="M1365" s="3" t="s">
        <v>186</v>
      </c>
      <c r="N1365" s="3" t="s">
        <v>126</v>
      </c>
      <c r="O1365" s="3" t="s">
        <v>42</v>
      </c>
      <c r="P1365" s="30">
        <v>46943.32</v>
      </c>
      <c r="Q1365" s="3" t="s">
        <v>144</v>
      </c>
      <c r="R1365" s="3">
        <v>9</v>
      </c>
      <c r="S1365" s="3">
        <v>105</v>
      </c>
      <c r="T1365" s="3">
        <v>25.3</v>
      </c>
      <c r="U1365" s="3" t="s">
        <v>86</v>
      </c>
      <c r="V1365" s="18" t="s">
        <v>33</v>
      </c>
    </row>
    <row r="1366" spans="1:22" ht="15" customHeight="1" x14ac:dyDescent="0.25">
      <c r="A1366" s="15" t="s">
        <v>2562</v>
      </c>
      <c r="B1366" s="1" t="s">
        <v>2563</v>
      </c>
      <c r="C1366">
        <v>6</v>
      </c>
      <c r="D1366" s="1" t="s">
        <v>22</v>
      </c>
      <c r="E1366" s="1" t="s">
        <v>23</v>
      </c>
      <c r="F1366" s="1" t="s">
        <v>49</v>
      </c>
      <c r="G1366" s="1" t="s">
        <v>77</v>
      </c>
      <c r="H1366" s="1" t="s">
        <v>26</v>
      </c>
      <c r="I1366" s="6">
        <v>44119</v>
      </c>
      <c r="J1366" s="7">
        <v>44128</v>
      </c>
      <c r="K1366" s="1">
        <v>9</v>
      </c>
      <c r="L1366" s="1" t="s">
        <v>231</v>
      </c>
      <c r="M1366" s="1" t="s">
        <v>53</v>
      </c>
      <c r="N1366" s="1" t="s">
        <v>79</v>
      </c>
      <c r="O1366" s="1" t="s">
        <v>42</v>
      </c>
      <c r="P1366" s="29">
        <v>59542.400000000001</v>
      </c>
      <c r="Q1366" s="1" t="s">
        <v>109</v>
      </c>
      <c r="R1366" s="1">
        <v>10</v>
      </c>
      <c r="S1366" s="1">
        <v>392</v>
      </c>
      <c r="T1366" s="1">
        <v>23.6</v>
      </c>
      <c r="U1366" s="1" t="s">
        <v>44</v>
      </c>
      <c r="V1366" s="17" t="s">
        <v>33</v>
      </c>
    </row>
    <row r="1367" spans="1:22" ht="15" customHeight="1" x14ac:dyDescent="0.25">
      <c r="A1367" s="16" t="s">
        <v>2564</v>
      </c>
      <c r="B1367" s="3" t="s">
        <v>2565</v>
      </c>
      <c r="C1367">
        <v>56</v>
      </c>
      <c r="D1367" s="3" t="s">
        <v>59</v>
      </c>
      <c r="E1367" s="3" t="s">
        <v>48</v>
      </c>
      <c r="F1367" s="3" t="s">
        <v>99</v>
      </c>
      <c r="G1367" s="3" t="s">
        <v>131</v>
      </c>
      <c r="H1367" s="3" t="s">
        <v>26</v>
      </c>
      <c r="I1367" s="8">
        <v>45574</v>
      </c>
      <c r="J1367" s="8">
        <v>45586</v>
      </c>
      <c r="K1367" s="3">
        <v>12</v>
      </c>
      <c r="L1367" s="3" t="s">
        <v>102</v>
      </c>
      <c r="M1367" s="3" t="s">
        <v>28</v>
      </c>
      <c r="N1367" s="3" t="s">
        <v>133</v>
      </c>
      <c r="O1367" s="3" t="s">
        <v>30</v>
      </c>
      <c r="P1367" s="30">
        <v>51471.8</v>
      </c>
      <c r="Q1367" s="3" t="s">
        <v>152</v>
      </c>
      <c r="R1367" s="3">
        <v>6</v>
      </c>
      <c r="S1367" s="3">
        <v>340</v>
      </c>
      <c r="T1367" s="3">
        <v>20.399999999999999</v>
      </c>
      <c r="U1367" s="3" t="s">
        <v>86</v>
      </c>
      <c r="V1367" s="18" t="s">
        <v>45</v>
      </c>
    </row>
    <row r="1368" spans="1:22" ht="15" customHeight="1" x14ac:dyDescent="0.25">
      <c r="A1368" s="15" t="s">
        <v>2566</v>
      </c>
      <c r="B1368" s="1" t="s">
        <v>2567</v>
      </c>
      <c r="C1368">
        <v>88</v>
      </c>
      <c r="D1368" s="1" t="s">
        <v>36</v>
      </c>
      <c r="E1368" s="1" t="s">
        <v>23</v>
      </c>
      <c r="F1368" s="1" t="s">
        <v>49</v>
      </c>
      <c r="G1368" s="1" t="s">
        <v>77</v>
      </c>
      <c r="H1368" s="1" t="s">
        <v>51</v>
      </c>
      <c r="I1368" s="7">
        <v>44140</v>
      </c>
      <c r="J1368" s="7">
        <v>43968</v>
      </c>
      <c r="K1368" s="1">
        <v>6</v>
      </c>
      <c r="L1368" s="1" t="s">
        <v>52</v>
      </c>
      <c r="M1368" s="1" t="s">
        <v>53</v>
      </c>
      <c r="N1368" s="1" t="s">
        <v>79</v>
      </c>
      <c r="O1368" s="1" t="s">
        <v>42</v>
      </c>
      <c r="P1368" s="29">
        <v>63531.86</v>
      </c>
      <c r="Q1368" s="1" t="s">
        <v>95</v>
      </c>
      <c r="R1368" s="1">
        <v>10</v>
      </c>
      <c r="S1368" s="1">
        <v>152</v>
      </c>
      <c r="T1368" s="1">
        <v>32.9</v>
      </c>
      <c r="U1368" s="1" t="s">
        <v>44</v>
      </c>
      <c r="V1368" s="17" t="s">
        <v>33</v>
      </c>
    </row>
    <row r="1369" spans="1:22" ht="15" customHeight="1" x14ac:dyDescent="0.25">
      <c r="A1369" s="16" t="s">
        <v>2568</v>
      </c>
      <c r="B1369" s="3" t="s">
        <v>2569</v>
      </c>
      <c r="C1369">
        <v>76</v>
      </c>
      <c r="D1369" s="3" t="s">
        <v>36</v>
      </c>
      <c r="E1369" s="3" t="s">
        <v>23</v>
      </c>
      <c r="F1369" s="3" t="s">
        <v>99</v>
      </c>
      <c r="G1369" s="3" t="s">
        <v>71</v>
      </c>
      <c r="H1369" s="3" t="s">
        <v>51</v>
      </c>
      <c r="I1369" s="6">
        <v>45264</v>
      </c>
      <c r="J1369" s="8">
        <v>45029</v>
      </c>
      <c r="K1369" s="3">
        <v>1</v>
      </c>
      <c r="L1369" s="3" t="s">
        <v>231</v>
      </c>
      <c r="M1369" s="3" t="s">
        <v>53</v>
      </c>
      <c r="N1369" s="3" t="s">
        <v>72</v>
      </c>
      <c r="O1369" s="3" t="s">
        <v>66</v>
      </c>
      <c r="P1369" s="30">
        <v>54262.879999999997</v>
      </c>
      <c r="Q1369" s="3" t="s">
        <v>170</v>
      </c>
      <c r="R1369" s="3">
        <v>3</v>
      </c>
      <c r="S1369" s="3">
        <v>122</v>
      </c>
      <c r="T1369" s="3">
        <v>22.8</v>
      </c>
      <c r="U1369" s="3" t="s">
        <v>32</v>
      </c>
      <c r="V1369" s="18" t="s">
        <v>33</v>
      </c>
    </row>
    <row r="1370" spans="1:22" ht="15" customHeight="1" x14ac:dyDescent="0.25">
      <c r="A1370" s="15" t="s">
        <v>2570</v>
      </c>
      <c r="B1370" s="1" t="s">
        <v>2571</v>
      </c>
      <c r="C1370">
        <v>70</v>
      </c>
      <c r="D1370" s="1" t="s">
        <v>82</v>
      </c>
      <c r="E1370" s="1" t="s">
        <v>48</v>
      </c>
      <c r="F1370" s="1" t="s">
        <v>76</v>
      </c>
      <c r="G1370" s="1" t="s">
        <v>163</v>
      </c>
      <c r="H1370" s="1" t="s">
        <v>51</v>
      </c>
      <c r="I1370" s="6">
        <v>43496</v>
      </c>
      <c r="J1370" s="7">
        <v>43501</v>
      </c>
      <c r="K1370" s="1">
        <v>5</v>
      </c>
      <c r="L1370" s="1" t="s">
        <v>52</v>
      </c>
      <c r="M1370" s="1" t="s">
        <v>53</v>
      </c>
      <c r="N1370" s="1" t="s">
        <v>164</v>
      </c>
      <c r="O1370" s="1" t="s">
        <v>42</v>
      </c>
      <c r="P1370" s="29">
        <v>20486.11</v>
      </c>
      <c r="Q1370" s="1" t="s">
        <v>62</v>
      </c>
      <c r="R1370" s="1">
        <v>4</v>
      </c>
      <c r="S1370" s="1">
        <v>106</v>
      </c>
      <c r="T1370" s="1">
        <v>34.1</v>
      </c>
      <c r="U1370" s="1" t="s">
        <v>86</v>
      </c>
      <c r="V1370" s="17" t="s">
        <v>33</v>
      </c>
    </row>
    <row r="1371" spans="1:22" ht="15" customHeight="1" x14ac:dyDescent="0.25">
      <c r="A1371" s="16" t="s">
        <v>2572</v>
      </c>
      <c r="B1371" s="3" t="s">
        <v>2573</v>
      </c>
      <c r="C1371">
        <v>62</v>
      </c>
      <c r="D1371" s="3" t="s">
        <v>59</v>
      </c>
      <c r="E1371" s="3" t="s">
        <v>48</v>
      </c>
      <c r="F1371" s="3" t="s">
        <v>37</v>
      </c>
      <c r="G1371" s="3" t="s">
        <v>60</v>
      </c>
      <c r="H1371" s="3" t="s">
        <v>51</v>
      </c>
      <c r="I1371" s="8">
        <v>44973</v>
      </c>
      <c r="J1371" s="8">
        <v>44978</v>
      </c>
      <c r="K1371" s="3">
        <v>5</v>
      </c>
      <c r="L1371" s="3" t="s">
        <v>39</v>
      </c>
      <c r="M1371" s="3" t="s">
        <v>40</v>
      </c>
      <c r="N1371" s="3" t="s">
        <v>61</v>
      </c>
      <c r="O1371" s="3" t="s">
        <v>30</v>
      </c>
      <c r="P1371" s="30">
        <v>21094.92</v>
      </c>
      <c r="Q1371" s="3" t="s">
        <v>349</v>
      </c>
      <c r="R1371" s="3">
        <v>6</v>
      </c>
      <c r="S1371" s="3">
        <v>184</v>
      </c>
      <c r="T1371" s="3">
        <v>30.3</v>
      </c>
      <c r="U1371" s="3" t="s">
        <v>32</v>
      </c>
      <c r="V1371" s="18" t="s">
        <v>33</v>
      </c>
    </row>
    <row r="1372" spans="1:22" ht="15" customHeight="1" x14ac:dyDescent="0.25">
      <c r="A1372" s="15" t="s">
        <v>2574</v>
      </c>
      <c r="B1372" s="1" t="s">
        <v>2575</v>
      </c>
      <c r="C1372">
        <v>57</v>
      </c>
      <c r="D1372" s="1" t="s">
        <v>59</v>
      </c>
      <c r="E1372" s="1" t="s">
        <v>23</v>
      </c>
      <c r="F1372" s="1" t="s">
        <v>155</v>
      </c>
      <c r="G1372" s="1" t="s">
        <v>25</v>
      </c>
      <c r="H1372" s="1" t="s">
        <v>51</v>
      </c>
      <c r="I1372" s="7">
        <v>45475</v>
      </c>
      <c r="J1372" s="7">
        <v>45487</v>
      </c>
      <c r="K1372" s="1">
        <v>12</v>
      </c>
      <c r="L1372" s="1" t="s">
        <v>89</v>
      </c>
      <c r="M1372" s="1" t="s">
        <v>90</v>
      </c>
      <c r="N1372" s="1" t="s">
        <v>963</v>
      </c>
      <c r="O1372" s="1" t="s">
        <v>30</v>
      </c>
      <c r="P1372" s="29">
        <v>66059.58</v>
      </c>
      <c r="Q1372" s="1" t="s">
        <v>105</v>
      </c>
      <c r="R1372" s="1">
        <v>12</v>
      </c>
      <c r="S1372" s="1">
        <v>154</v>
      </c>
      <c r="T1372" s="1">
        <v>29.3</v>
      </c>
      <c r="U1372" s="1" t="s">
        <v>44</v>
      </c>
      <c r="V1372" s="17" t="s">
        <v>45</v>
      </c>
    </row>
    <row r="1373" spans="1:22" ht="15" customHeight="1" x14ac:dyDescent="0.25">
      <c r="A1373" s="16" t="s">
        <v>2576</v>
      </c>
      <c r="B1373" s="3" t="s">
        <v>1530</v>
      </c>
      <c r="C1373">
        <v>73</v>
      </c>
      <c r="D1373" s="3" t="s">
        <v>82</v>
      </c>
      <c r="E1373" s="3" t="s">
        <v>48</v>
      </c>
      <c r="F1373" s="3" t="s">
        <v>70</v>
      </c>
      <c r="G1373" s="3" t="s">
        <v>131</v>
      </c>
      <c r="H1373" s="3" t="s">
        <v>51</v>
      </c>
      <c r="I1373" s="8">
        <v>43985</v>
      </c>
      <c r="J1373" s="8">
        <v>43990</v>
      </c>
      <c r="K1373" s="3">
        <v>5</v>
      </c>
      <c r="L1373" s="3" t="s">
        <v>52</v>
      </c>
      <c r="M1373" s="3" t="s">
        <v>53</v>
      </c>
      <c r="N1373" s="3" t="s">
        <v>147</v>
      </c>
      <c r="O1373" s="3" t="s">
        <v>30</v>
      </c>
      <c r="P1373" s="30">
        <v>6681.18</v>
      </c>
      <c r="Q1373" s="3" t="s">
        <v>695</v>
      </c>
      <c r="R1373" s="3">
        <v>3</v>
      </c>
      <c r="S1373" s="3">
        <v>109</v>
      </c>
      <c r="T1373" s="3">
        <v>19.8</v>
      </c>
      <c r="U1373" s="3" t="s">
        <v>32</v>
      </c>
      <c r="V1373" s="18" t="s">
        <v>33</v>
      </c>
    </row>
    <row r="1374" spans="1:22" ht="15" customHeight="1" x14ac:dyDescent="0.25">
      <c r="A1374" s="15" t="s">
        <v>2577</v>
      </c>
      <c r="B1374" s="1" t="s">
        <v>1110</v>
      </c>
      <c r="C1374">
        <v>74</v>
      </c>
      <c r="D1374" s="1" t="s">
        <v>82</v>
      </c>
      <c r="E1374" s="1" t="s">
        <v>48</v>
      </c>
      <c r="F1374" s="1" t="s">
        <v>155</v>
      </c>
      <c r="G1374" s="1" t="s">
        <v>163</v>
      </c>
      <c r="H1374" s="1" t="s">
        <v>51</v>
      </c>
      <c r="I1374" s="7">
        <v>43630</v>
      </c>
      <c r="J1374" s="7">
        <v>43633</v>
      </c>
      <c r="K1374" s="1">
        <v>3</v>
      </c>
      <c r="L1374" s="1" t="s">
        <v>102</v>
      </c>
      <c r="M1374" s="1" t="s">
        <v>28</v>
      </c>
      <c r="N1374" s="1" t="s">
        <v>164</v>
      </c>
      <c r="O1374" s="1" t="s">
        <v>30</v>
      </c>
      <c r="P1374" s="29">
        <v>36039.730000000003</v>
      </c>
      <c r="Q1374" s="1" t="s">
        <v>257</v>
      </c>
      <c r="R1374" s="1">
        <v>4</v>
      </c>
      <c r="S1374" s="1">
        <v>116</v>
      </c>
      <c r="T1374" s="1">
        <v>34</v>
      </c>
      <c r="U1374" s="1" t="s">
        <v>44</v>
      </c>
      <c r="V1374" s="17" t="s">
        <v>45</v>
      </c>
    </row>
    <row r="1375" spans="1:22" ht="15" customHeight="1" x14ac:dyDescent="0.25">
      <c r="A1375" s="16" t="s">
        <v>2578</v>
      </c>
      <c r="B1375" s="3" t="s">
        <v>2579</v>
      </c>
      <c r="C1375">
        <v>67</v>
      </c>
      <c r="D1375" s="3" t="s">
        <v>82</v>
      </c>
      <c r="E1375" s="3" t="s">
        <v>23</v>
      </c>
      <c r="F1375" s="3" t="s">
        <v>24</v>
      </c>
      <c r="G1375" s="3" t="s">
        <v>77</v>
      </c>
      <c r="H1375" s="3" t="s">
        <v>26</v>
      </c>
      <c r="I1375" s="8">
        <v>45397</v>
      </c>
      <c r="J1375" s="8">
        <v>45406</v>
      </c>
      <c r="K1375" s="3">
        <v>9</v>
      </c>
      <c r="L1375" s="3" t="s">
        <v>185</v>
      </c>
      <c r="M1375" s="3" t="s">
        <v>186</v>
      </c>
      <c r="N1375" s="3" t="s">
        <v>79</v>
      </c>
      <c r="O1375" s="3" t="s">
        <v>104</v>
      </c>
      <c r="P1375" s="30">
        <v>75419</v>
      </c>
      <c r="Q1375" s="3" t="s">
        <v>223</v>
      </c>
      <c r="R1375" s="3">
        <v>8</v>
      </c>
      <c r="S1375" s="3">
        <v>374</v>
      </c>
      <c r="T1375" s="3">
        <v>25.3</v>
      </c>
      <c r="U1375" s="3" t="s">
        <v>44</v>
      </c>
      <c r="V1375" s="18" t="s">
        <v>45</v>
      </c>
    </row>
    <row r="1376" spans="1:22" ht="15" customHeight="1" x14ac:dyDescent="0.25">
      <c r="A1376" s="15" t="s">
        <v>2580</v>
      </c>
      <c r="B1376" s="1" t="s">
        <v>2581</v>
      </c>
      <c r="C1376">
        <v>91</v>
      </c>
      <c r="D1376" s="1" t="s">
        <v>36</v>
      </c>
      <c r="E1376" s="1" t="s">
        <v>23</v>
      </c>
      <c r="F1376" s="1" t="s">
        <v>76</v>
      </c>
      <c r="G1376" s="1" t="s">
        <v>25</v>
      </c>
      <c r="H1376" s="1" t="s">
        <v>78</v>
      </c>
      <c r="I1376" s="6">
        <v>44854</v>
      </c>
      <c r="J1376" s="7">
        <v>44784</v>
      </c>
      <c r="K1376" s="1">
        <v>19</v>
      </c>
      <c r="L1376" s="1" t="s">
        <v>231</v>
      </c>
      <c r="M1376" s="1" t="s">
        <v>53</v>
      </c>
      <c r="N1376" s="1" t="s">
        <v>65</v>
      </c>
      <c r="O1376" s="1" t="s">
        <v>104</v>
      </c>
      <c r="P1376" s="29">
        <v>104996.64</v>
      </c>
      <c r="Q1376" s="1" t="s">
        <v>484</v>
      </c>
      <c r="R1376" s="1">
        <v>12</v>
      </c>
      <c r="S1376" s="1">
        <v>354</v>
      </c>
      <c r="T1376" s="4"/>
      <c r="U1376" s="1" t="s">
        <v>44</v>
      </c>
      <c r="V1376" s="17" t="s">
        <v>33</v>
      </c>
    </row>
    <row r="1377" spans="1:22" ht="15" customHeight="1" x14ac:dyDescent="0.25">
      <c r="A1377" s="16" t="s">
        <v>2582</v>
      </c>
      <c r="B1377" s="3" t="s">
        <v>2583</v>
      </c>
      <c r="C1377">
        <v>69</v>
      </c>
      <c r="D1377" s="3" t="s">
        <v>82</v>
      </c>
      <c r="E1377" s="3" t="s">
        <v>48</v>
      </c>
      <c r="F1377" s="3" t="s">
        <v>99</v>
      </c>
      <c r="G1377" s="3" t="s">
        <v>77</v>
      </c>
      <c r="H1377" s="3" t="s">
        <v>26</v>
      </c>
      <c r="I1377" s="8">
        <v>43679</v>
      </c>
      <c r="J1377" s="8">
        <v>43746</v>
      </c>
      <c r="K1377" s="3">
        <v>8</v>
      </c>
      <c r="L1377" s="3" t="s">
        <v>231</v>
      </c>
      <c r="M1377" s="3" t="s">
        <v>53</v>
      </c>
      <c r="N1377" s="3" t="s">
        <v>79</v>
      </c>
      <c r="O1377" s="3" t="s">
        <v>104</v>
      </c>
      <c r="P1377" s="30">
        <v>40900.29</v>
      </c>
      <c r="Q1377" s="3" t="s">
        <v>80</v>
      </c>
      <c r="R1377" s="3">
        <v>7</v>
      </c>
      <c r="S1377" s="3">
        <v>394</v>
      </c>
      <c r="T1377" s="3">
        <v>28.2</v>
      </c>
      <c r="U1377" s="3" t="s">
        <v>44</v>
      </c>
      <c r="V1377" s="18" t="s">
        <v>45</v>
      </c>
    </row>
    <row r="1378" spans="1:22" ht="15" customHeight="1" x14ac:dyDescent="0.25">
      <c r="A1378" s="15" t="s">
        <v>2584</v>
      </c>
      <c r="B1378" s="1" t="s">
        <v>2585</v>
      </c>
      <c r="C1378">
        <v>78</v>
      </c>
      <c r="D1378" s="1" t="s">
        <v>36</v>
      </c>
      <c r="E1378" s="1" t="s">
        <v>48</v>
      </c>
      <c r="F1378" s="1" t="s">
        <v>24</v>
      </c>
      <c r="G1378" s="1" t="s">
        <v>77</v>
      </c>
      <c r="H1378" s="1" t="s">
        <v>51</v>
      </c>
      <c r="I1378" s="7">
        <v>44601</v>
      </c>
      <c r="J1378" s="7">
        <v>44618</v>
      </c>
      <c r="K1378" s="1">
        <v>17</v>
      </c>
      <c r="L1378" s="1" t="s">
        <v>132</v>
      </c>
      <c r="M1378" s="1" t="s">
        <v>53</v>
      </c>
      <c r="N1378" s="1" t="s">
        <v>84</v>
      </c>
      <c r="O1378" s="1" t="s">
        <v>30</v>
      </c>
      <c r="P1378" s="29">
        <v>52507.39</v>
      </c>
      <c r="Q1378" s="1" t="s">
        <v>95</v>
      </c>
      <c r="R1378" s="1">
        <v>10</v>
      </c>
      <c r="S1378" s="1">
        <v>109</v>
      </c>
      <c r="T1378" s="1">
        <v>34.9</v>
      </c>
      <c r="U1378" s="1" t="s">
        <v>44</v>
      </c>
      <c r="V1378" s="17" t="s">
        <v>33</v>
      </c>
    </row>
    <row r="1379" spans="1:22" ht="15" customHeight="1" x14ac:dyDescent="0.25">
      <c r="A1379" s="16" t="s">
        <v>2586</v>
      </c>
      <c r="B1379" s="3" t="s">
        <v>2587</v>
      </c>
      <c r="C1379">
        <v>60</v>
      </c>
      <c r="D1379" s="3" t="s">
        <v>59</v>
      </c>
      <c r="E1379" s="3" t="s">
        <v>23</v>
      </c>
      <c r="F1379" s="3" t="s">
        <v>99</v>
      </c>
      <c r="G1379" s="3" t="s">
        <v>77</v>
      </c>
      <c r="H1379" s="3" t="s">
        <v>26</v>
      </c>
      <c r="I1379" s="8">
        <v>44526</v>
      </c>
      <c r="J1379" s="8">
        <v>44541</v>
      </c>
      <c r="K1379" s="3">
        <v>15</v>
      </c>
      <c r="L1379" s="3" t="s">
        <v>27</v>
      </c>
      <c r="M1379" s="3" t="s">
        <v>28</v>
      </c>
      <c r="N1379" s="3" t="s">
        <v>79</v>
      </c>
      <c r="O1379" s="3" t="s">
        <v>104</v>
      </c>
      <c r="P1379" s="30">
        <v>96849.75</v>
      </c>
      <c r="Q1379" s="3" t="s">
        <v>91</v>
      </c>
      <c r="R1379" s="3">
        <v>8</v>
      </c>
      <c r="S1379" s="3">
        <v>395</v>
      </c>
      <c r="T1379" s="3">
        <v>29.5</v>
      </c>
      <c r="U1379" s="3" t="s">
        <v>86</v>
      </c>
      <c r="V1379" s="18" t="s">
        <v>33</v>
      </c>
    </row>
    <row r="1380" spans="1:22" ht="15" customHeight="1" x14ac:dyDescent="0.25">
      <c r="A1380" s="15" t="s">
        <v>2588</v>
      </c>
      <c r="B1380" s="1" t="s">
        <v>2589</v>
      </c>
      <c r="C1380">
        <v>31</v>
      </c>
      <c r="D1380" s="1" t="s">
        <v>47</v>
      </c>
      <c r="E1380" s="1" t="s">
        <v>23</v>
      </c>
      <c r="F1380" s="1" t="s">
        <v>83</v>
      </c>
      <c r="G1380" s="1" t="s">
        <v>77</v>
      </c>
      <c r="H1380" s="1" t="s">
        <v>78</v>
      </c>
      <c r="I1380" s="7">
        <v>43903</v>
      </c>
      <c r="J1380" s="7">
        <v>43914</v>
      </c>
      <c r="K1380" s="1">
        <v>11</v>
      </c>
      <c r="L1380" s="1" t="s">
        <v>102</v>
      </c>
      <c r="M1380" s="1" t="s">
        <v>28</v>
      </c>
      <c r="N1380" s="1" t="s">
        <v>84</v>
      </c>
      <c r="O1380" s="1" t="s">
        <v>104</v>
      </c>
      <c r="P1380" s="29">
        <v>18773</v>
      </c>
      <c r="Q1380" s="1" t="s">
        <v>223</v>
      </c>
      <c r="R1380" s="1">
        <v>10</v>
      </c>
      <c r="S1380" s="1">
        <v>100</v>
      </c>
      <c r="T1380" s="1">
        <v>36.799999999999997</v>
      </c>
      <c r="U1380" s="1" t="s">
        <v>44</v>
      </c>
      <c r="V1380" s="17" t="s">
        <v>33</v>
      </c>
    </row>
    <row r="1381" spans="1:22" ht="15" customHeight="1" x14ac:dyDescent="0.25">
      <c r="A1381" s="16" t="s">
        <v>2590</v>
      </c>
      <c r="B1381" s="3" t="s">
        <v>813</v>
      </c>
      <c r="C1381">
        <v>78</v>
      </c>
      <c r="D1381" s="3" t="s">
        <v>36</v>
      </c>
      <c r="E1381" s="3" t="s">
        <v>48</v>
      </c>
      <c r="F1381" s="3" t="s">
        <v>49</v>
      </c>
      <c r="G1381" s="3" t="s">
        <v>25</v>
      </c>
      <c r="H1381" s="3" t="s">
        <v>51</v>
      </c>
      <c r="I1381" s="8">
        <v>44548</v>
      </c>
      <c r="J1381" s="8">
        <v>44560</v>
      </c>
      <c r="K1381" s="3">
        <v>12</v>
      </c>
      <c r="L1381" s="3" t="s">
        <v>89</v>
      </c>
      <c r="M1381" s="3" t="s">
        <v>90</v>
      </c>
      <c r="N1381" s="3" t="s">
        <v>29</v>
      </c>
      <c r="O1381" s="3" t="s">
        <v>42</v>
      </c>
      <c r="P1381" s="30">
        <v>67107</v>
      </c>
      <c r="Q1381" s="3" t="s">
        <v>310</v>
      </c>
      <c r="R1381" s="3">
        <v>12</v>
      </c>
      <c r="S1381" s="3">
        <v>177</v>
      </c>
      <c r="T1381" s="3">
        <v>25.5</v>
      </c>
      <c r="U1381" s="3" t="s">
        <v>44</v>
      </c>
      <c r="V1381" s="18" t="s">
        <v>45</v>
      </c>
    </row>
    <row r="1382" spans="1:22" ht="15" customHeight="1" x14ac:dyDescent="0.25">
      <c r="A1382" s="15" t="s">
        <v>2591</v>
      </c>
      <c r="B1382" s="1" t="s">
        <v>601</v>
      </c>
      <c r="C1382">
        <v>15</v>
      </c>
      <c r="D1382" s="1" t="s">
        <v>22</v>
      </c>
      <c r="E1382" s="1" t="s">
        <v>23</v>
      </c>
      <c r="F1382" s="1" t="s">
        <v>70</v>
      </c>
      <c r="G1382" s="1" t="s">
        <v>25</v>
      </c>
      <c r="H1382" s="1" t="s">
        <v>26</v>
      </c>
      <c r="I1382" s="7">
        <v>43657</v>
      </c>
      <c r="J1382" s="7">
        <v>43683</v>
      </c>
      <c r="K1382" s="1">
        <v>26</v>
      </c>
      <c r="L1382" s="1" t="s">
        <v>231</v>
      </c>
      <c r="M1382" s="1" t="s">
        <v>53</v>
      </c>
      <c r="N1382" s="1" t="s">
        <v>29</v>
      </c>
      <c r="O1382" s="1" t="s">
        <v>30</v>
      </c>
      <c r="P1382" s="29">
        <v>38424</v>
      </c>
      <c r="Q1382" s="1" t="s">
        <v>269</v>
      </c>
      <c r="R1382" s="1">
        <v>11</v>
      </c>
      <c r="S1382" s="1">
        <v>472</v>
      </c>
      <c r="T1382" s="1">
        <v>20.2</v>
      </c>
      <c r="U1382" s="1" t="s">
        <v>86</v>
      </c>
      <c r="V1382" s="17" t="s">
        <v>33</v>
      </c>
    </row>
    <row r="1383" spans="1:22" ht="15" customHeight="1" x14ac:dyDescent="0.25">
      <c r="A1383" s="16" t="s">
        <v>2592</v>
      </c>
      <c r="B1383" s="3" t="s">
        <v>2593</v>
      </c>
      <c r="C1383">
        <v>72</v>
      </c>
      <c r="D1383" s="3" t="s">
        <v>82</v>
      </c>
      <c r="E1383" s="3" t="s">
        <v>48</v>
      </c>
      <c r="F1383" s="3" t="s">
        <v>155</v>
      </c>
      <c r="G1383" s="3" t="s">
        <v>60</v>
      </c>
      <c r="H1383" s="3" t="s">
        <v>26</v>
      </c>
      <c r="I1383" s="8">
        <v>43727</v>
      </c>
      <c r="J1383" s="8">
        <v>43732</v>
      </c>
      <c r="K1383" s="3">
        <v>5</v>
      </c>
      <c r="L1383" s="3" t="s">
        <v>27</v>
      </c>
      <c r="M1383" s="3" t="s">
        <v>28</v>
      </c>
      <c r="N1383" s="3" t="s">
        <v>61</v>
      </c>
      <c r="O1383" s="3" t="s">
        <v>42</v>
      </c>
      <c r="P1383" s="30">
        <v>119298.81</v>
      </c>
      <c r="Q1383" s="3" t="s">
        <v>137</v>
      </c>
      <c r="R1383" s="3">
        <v>6</v>
      </c>
      <c r="S1383" s="3">
        <v>422</v>
      </c>
      <c r="T1383" s="3">
        <v>25.4</v>
      </c>
      <c r="U1383" s="3" t="s">
        <v>32</v>
      </c>
      <c r="V1383" s="18" t="s">
        <v>45</v>
      </c>
    </row>
    <row r="1384" spans="1:22" ht="15" customHeight="1" x14ac:dyDescent="0.25">
      <c r="A1384" s="15" t="s">
        <v>2594</v>
      </c>
      <c r="B1384" s="1" t="s">
        <v>2595</v>
      </c>
      <c r="C1384">
        <v>36</v>
      </c>
      <c r="D1384" s="1" t="s">
        <v>98</v>
      </c>
      <c r="E1384" s="1" t="s">
        <v>23</v>
      </c>
      <c r="F1384" s="1" t="s">
        <v>49</v>
      </c>
      <c r="G1384" s="1" t="s">
        <v>131</v>
      </c>
      <c r="H1384" s="1" t="s">
        <v>26</v>
      </c>
      <c r="I1384" s="6">
        <v>45379</v>
      </c>
      <c r="J1384" s="7">
        <v>45386</v>
      </c>
      <c r="K1384" s="1">
        <v>7</v>
      </c>
      <c r="L1384" s="1" t="s">
        <v>185</v>
      </c>
      <c r="M1384" s="1" t="s">
        <v>186</v>
      </c>
      <c r="N1384" s="1" t="s">
        <v>157</v>
      </c>
      <c r="O1384" s="1" t="s">
        <v>104</v>
      </c>
      <c r="P1384" s="29">
        <v>29872.57</v>
      </c>
      <c r="Q1384" s="1" t="s">
        <v>291</v>
      </c>
      <c r="R1384" s="1">
        <v>6</v>
      </c>
      <c r="S1384" s="1">
        <v>354</v>
      </c>
      <c r="T1384" s="1">
        <v>28.4</v>
      </c>
      <c r="U1384" s="1" t="s">
        <v>44</v>
      </c>
      <c r="V1384" s="17" t="s">
        <v>33</v>
      </c>
    </row>
    <row r="1385" spans="1:22" ht="15" customHeight="1" x14ac:dyDescent="0.25">
      <c r="A1385" s="16" t="s">
        <v>2596</v>
      </c>
      <c r="B1385" s="3" t="s">
        <v>2597</v>
      </c>
      <c r="C1385">
        <v>19</v>
      </c>
      <c r="D1385" s="3" t="s">
        <v>47</v>
      </c>
      <c r="E1385" s="3" t="s">
        <v>48</v>
      </c>
      <c r="F1385" s="2" t="s">
        <v>76</v>
      </c>
      <c r="G1385" s="3" t="s">
        <v>131</v>
      </c>
      <c r="H1385" s="3" t="s">
        <v>51</v>
      </c>
      <c r="I1385" s="8">
        <v>44818</v>
      </c>
      <c r="J1385" s="8">
        <v>44821</v>
      </c>
      <c r="K1385" s="3">
        <v>3</v>
      </c>
      <c r="L1385" s="3" t="s">
        <v>122</v>
      </c>
      <c r="M1385" s="3" t="s">
        <v>40</v>
      </c>
      <c r="N1385" s="3" t="s">
        <v>147</v>
      </c>
      <c r="O1385" s="3" t="s">
        <v>30</v>
      </c>
      <c r="P1385" s="30">
        <v>12154.69</v>
      </c>
      <c r="Q1385" s="3" t="s">
        <v>695</v>
      </c>
      <c r="R1385" s="3">
        <v>7</v>
      </c>
      <c r="S1385" s="3">
        <v>111</v>
      </c>
      <c r="T1385" s="3">
        <v>37.1</v>
      </c>
      <c r="U1385" s="3" t="s">
        <v>32</v>
      </c>
      <c r="V1385" s="18" t="s">
        <v>33</v>
      </c>
    </row>
    <row r="1386" spans="1:22" ht="15" customHeight="1" x14ac:dyDescent="0.25">
      <c r="A1386" s="15" t="s">
        <v>2598</v>
      </c>
      <c r="B1386" s="1" t="s">
        <v>2599</v>
      </c>
      <c r="C1386">
        <v>58</v>
      </c>
      <c r="D1386" s="1" t="s">
        <v>59</v>
      </c>
      <c r="E1386" s="1" t="s">
        <v>23</v>
      </c>
      <c r="F1386" s="1" t="s">
        <v>99</v>
      </c>
      <c r="G1386" s="1" t="s">
        <v>131</v>
      </c>
      <c r="H1386" s="1" t="s">
        <v>78</v>
      </c>
      <c r="I1386" s="6">
        <v>44169</v>
      </c>
      <c r="J1386" s="7">
        <v>43937</v>
      </c>
      <c r="K1386" s="1">
        <v>4</v>
      </c>
      <c r="L1386" s="1" t="s">
        <v>52</v>
      </c>
      <c r="M1386" s="1" t="s">
        <v>53</v>
      </c>
      <c r="N1386" s="1" t="s">
        <v>147</v>
      </c>
      <c r="O1386" s="1" t="s">
        <v>30</v>
      </c>
      <c r="P1386" s="29">
        <v>19197.009999999998</v>
      </c>
      <c r="Q1386" s="1" t="s">
        <v>266</v>
      </c>
      <c r="R1386" s="1">
        <v>7</v>
      </c>
      <c r="S1386" s="1">
        <v>269</v>
      </c>
      <c r="T1386" s="1">
        <v>30.1</v>
      </c>
      <c r="U1386" s="1" t="s">
        <v>32</v>
      </c>
      <c r="V1386" s="17" t="s">
        <v>45</v>
      </c>
    </row>
    <row r="1387" spans="1:22" ht="15" customHeight="1" x14ac:dyDescent="0.25">
      <c r="A1387" s="16" t="s">
        <v>2600</v>
      </c>
      <c r="B1387" s="3" t="s">
        <v>2601</v>
      </c>
      <c r="C1387">
        <v>62</v>
      </c>
      <c r="D1387" s="3" t="s">
        <v>59</v>
      </c>
      <c r="E1387" s="3" t="s">
        <v>23</v>
      </c>
      <c r="F1387" s="3" t="s">
        <v>70</v>
      </c>
      <c r="G1387" s="3" t="s">
        <v>77</v>
      </c>
      <c r="H1387" s="3" t="s">
        <v>26</v>
      </c>
      <c r="I1387" s="8">
        <v>45267</v>
      </c>
      <c r="J1387" s="8">
        <v>45271</v>
      </c>
      <c r="K1387" s="3">
        <v>4</v>
      </c>
      <c r="L1387" s="3" t="s">
        <v>27</v>
      </c>
      <c r="M1387" s="3" t="s">
        <v>28</v>
      </c>
      <c r="N1387" s="3" t="s">
        <v>84</v>
      </c>
      <c r="O1387" s="3" t="s">
        <v>66</v>
      </c>
      <c r="P1387" s="30">
        <v>72522.92</v>
      </c>
      <c r="Q1387" s="3" t="s">
        <v>223</v>
      </c>
      <c r="R1387" s="3">
        <v>9</v>
      </c>
      <c r="S1387" s="3">
        <v>302</v>
      </c>
      <c r="T1387" s="3">
        <v>26.5</v>
      </c>
      <c r="U1387" s="3" t="s">
        <v>44</v>
      </c>
      <c r="V1387" s="18" t="s">
        <v>33</v>
      </c>
    </row>
    <row r="1388" spans="1:22" ht="15" customHeight="1" x14ac:dyDescent="0.25">
      <c r="A1388" s="15" t="s">
        <v>2602</v>
      </c>
      <c r="B1388" s="1" t="s">
        <v>1995</v>
      </c>
      <c r="C1388">
        <v>22</v>
      </c>
      <c r="D1388" s="1" t="s">
        <v>47</v>
      </c>
      <c r="E1388" s="1" t="s">
        <v>23</v>
      </c>
      <c r="F1388" s="1" t="s">
        <v>99</v>
      </c>
      <c r="G1388" s="1" t="s">
        <v>77</v>
      </c>
      <c r="H1388" s="1" t="s">
        <v>78</v>
      </c>
      <c r="I1388" s="6">
        <v>43612</v>
      </c>
      <c r="J1388" s="7">
        <v>43502</v>
      </c>
      <c r="K1388" s="1">
        <v>6</v>
      </c>
      <c r="L1388" s="1" t="s">
        <v>102</v>
      </c>
      <c r="M1388" s="1" t="s">
        <v>28</v>
      </c>
      <c r="N1388" s="1" t="s">
        <v>79</v>
      </c>
      <c r="O1388" s="1" t="s">
        <v>42</v>
      </c>
      <c r="P1388" s="29">
        <v>23790.59</v>
      </c>
      <c r="Q1388" s="1" t="s">
        <v>91</v>
      </c>
      <c r="R1388" s="1">
        <v>9</v>
      </c>
      <c r="S1388" s="1">
        <v>355</v>
      </c>
      <c r="T1388" s="1">
        <v>23.1</v>
      </c>
      <c r="U1388" s="1" t="s">
        <v>44</v>
      </c>
      <c r="V1388" s="17" t="s">
        <v>33</v>
      </c>
    </row>
    <row r="1389" spans="1:22" ht="15" customHeight="1" x14ac:dyDescent="0.25">
      <c r="A1389" s="16" t="s">
        <v>2603</v>
      </c>
      <c r="B1389" s="3" t="s">
        <v>2180</v>
      </c>
      <c r="C1389">
        <v>68</v>
      </c>
      <c r="D1389" s="3" t="s">
        <v>82</v>
      </c>
      <c r="E1389" s="3" t="s">
        <v>48</v>
      </c>
      <c r="F1389" s="2" t="s">
        <v>155</v>
      </c>
      <c r="G1389" s="3" t="s">
        <v>131</v>
      </c>
      <c r="H1389" s="3" t="s">
        <v>78</v>
      </c>
      <c r="I1389" s="6">
        <v>44881</v>
      </c>
      <c r="J1389" s="8">
        <v>44887</v>
      </c>
      <c r="K1389" s="3">
        <v>6</v>
      </c>
      <c r="L1389" s="3" t="s">
        <v>89</v>
      </c>
      <c r="M1389" s="3" t="s">
        <v>90</v>
      </c>
      <c r="N1389" s="3" t="s">
        <v>133</v>
      </c>
      <c r="O1389" s="3" t="s">
        <v>30</v>
      </c>
      <c r="P1389" s="30">
        <v>19449.09</v>
      </c>
      <c r="Q1389" s="3" t="s">
        <v>158</v>
      </c>
      <c r="R1389" s="3">
        <v>5</v>
      </c>
      <c r="S1389" s="3">
        <v>301</v>
      </c>
      <c r="T1389" s="3">
        <v>23.7</v>
      </c>
      <c r="U1389" s="3" t="s">
        <v>44</v>
      </c>
      <c r="V1389" s="18" t="s">
        <v>33</v>
      </c>
    </row>
    <row r="1390" spans="1:22" ht="15" customHeight="1" x14ac:dyDescent="0.25">
      <c r="A1390" s="15" t="s">
        <v>2604</v>
      </c>
      <c r="B1390" s="1" t="s">
        <v>2605</v>
      </c>
      <c r="C1390">
        <v>57</v>
      </c>
      <c r="D1390" s="1" t="s">
        <v>59</v>
      </c>
      <c r="E1390" s="1" t="s">
        <v>23</v>
      </c>
      <c r="F1390" s="1" t="s">
        <v>70</v>
      </c>
      <c r="G1390" s="1" t="s">
        <v>50</v>
      </c>
      <c r="H1390" s="1" t="s">
        <v>51</v>
      </c>
      <c r="I1390" s="6">
        <v>45449</v>
      </c>
      <c r="J1390" s="7">
        <v>45454</v>
      </c>
      <c r="K1390" s="1">
        <v>5</v>
      </c>
      <c r="L1390" s="1" t="s">
        <v>102</v>
      </c>
      <c r="M1390" s="1" t="s">
        <v>28</v>
      </c>
      <c r="N1390" s="1" t="s">
        <v>126</v>
      </c>
      <c r="O1390" s="1" t="s">
        <v>104</v>
      </c>
      <c r="P1390" s="29">
        <v>12067.21</v>
      </c>
      <c r="Q1390" s="1" t="s">
        <v>85</v>
      </c>
      <c r="R1390" s="1">
        <v>9</v>
      </c>
      <c r="S1390" s="1">
        <v>199</v>
      </c>
      <c r="T1390" s="1">
        <v>26.3</v>
      </c>
      <c r="U1390" s="1" t="s">
        <v>32</v>
      </c>
      <c r="V1390" s="17" t="s">
        <v>33</v>
      </c>
    </row>
    <row r="1391" spans="1:22" ht="15" customHeight="1" x14ac:dyDescent="0.25">
      <c r="A1391" s="16" t="s">
        <v>2606</v>
      </c>
      <c r="B1391" s="3" t="s">
        <v>1098</v>
      </c>
      <c r="C1391">
        <v>85</v>
      </c>
      <c r="D1391" s="3" t="s">
        <v>36</v>
      </c>
      <c r="E1391" s="3" t="s">
        <v>48</v>
      </c>
      <c r="F1391" s="3" t="s">
        <v>49</v>
      </c>
      <c r="G1391" s="3" t="s">
        <v>226</v>
      </c>
      <c r="H1391" s="3" t="s">
        <v>156</v>
      </c>
      <c r="I1391" s="8">
        <v>44791</v>
      </c>
      <c r="J1391" s="8">
        <v>44805</v>
      </c>
      <c r="K1391" s="3">
        <v>14</v>
      </c>
      <c r="L1391" s="3" t="s">
        <v>102</v>
      </c>
      <c r="M1391" s="3" t="s">
        <v>28</v>
      </c>
      <c r="N1391" s="3" t="s">
        <v>84</v>
      </c>
      <c r="O1391" s="3" t="s">
        <v>55</v>
      </c>
      <c r="P1391" s="30">
        <v>37932</v>
      </c>
      <c r="Q1391" s="3" t="s">
        <v>91</v>
      </c>
      <c r="R1391" s="3">
        <v>10</v>
      </c>
      <c r="S1391" s="3">
        <v>304</v>
      </c>
      <c r="T1391" s="3">
        <v>36.9</v>
      </c>
      <c r="U1391" s="3" t="s">
        <v>44</v>
      </c>
      <c r="V1391" s="18" t="s">
        <v>33</v>
      </c>
    </row>
    <row r="1392" spans="1:22" ht="15" customHeight="1" x14ac:dyDescent="0.25">
      <c r="A1392" s="15" t="s">
        <v>2607</v>
      </c>
      <c r="B1392" s="1" t="s">
        <v>2608</v>
      </c>
      <c r="C1392">
        <v>53</v>
      </c>
      <c r="D1392" s="1" t="s">
        <v>98</v>
      </c>
      <c r="E1392" s="1" t="s">
        <v>48</v>
      </c>
      <c r="F1392" s="1" t="s">
        <v>99</v>
      </c>
      <c r="G1392" s="1" t="s">
        <v>38</v>
      </c>
      <c r="H1392" s="1" t="s">
        <v>78</v>
      </c>
      <c r="I1392" s="6">
        <v>45188</v>
      </c>
      <c r="J1392" s="7">
        <v>45190</v>
      </c>
      <c r="K1392" s="1">
        <v>2</v>
      </c>
      <c r="L1392" s="1" t="s">
        <v>185</v>
      </c>
      <c r="M1392" s="1" t="s">
        <v>186</v>
      </c>
      <c r="N1392" s="1" t="s">
        <v>173</v>
      </c>
      <c r="O1392" s="1" t="s">
        <v>66</v>
      </c>
      <c r="P1392" s="29">
        <v>39112.080000000002</v>
      </c>
      <c r="Q1392" s="1" t="s">
        <v>437</v>
      </c>
      <c r="R1392" s="1">
        <v>5</v>
      </c>
      <c r="S1392" s="1">
        <v>277</v>
      </c>
      <c r="T1392" s="1">
        <v>31.2</v>
      </c>
      <c r="U1392" s="1" t="s">
        <v>32</v>
      </c>
      <c r="V1392" s="17" t="s">
        <v>33</v>
      </c>
    </row>
    <row r="1393" spans="1:22" ht="15" customHeight="1" x14ac:dyDescent="0.25">
      <c r="A1393" s="16" t="s">
        <v>2609</v>
      </c>
      <c r="B1393" s="3" t="s">
        <v>2264</v>
      </c>
      <c r="C1393">
        <v>68</v>
      </c>
      <c r="D1393" s="3" t="s">
        <v>82</v>
      </c>
      <c r="E1393" s="3" t="s">
        <v>48</v>
      </c>
      <c r="F1393" s="3" t="s">
        <v>76</v>
      </c>
      <c r="G1393" s="3" t="s">
        <v>163</v>
      </c>
      <c r="H1393" s="3" t="s">
        <v>26</v>
      </c>
      <c r="I1393" s="6">
        <v>45503</v>
      </c>
      <c r="J1393" s="8">
        <v>45507</v>
      </c>
      <c r="K1393" s="3">
        <v>4</v>
      </c>
      <c r="L1393" s="3" t="s">
        <v>185</v>
      </c>
      <c r="M1393" s="3" t="s">
        <v>186</v>
      </c>
      <c r="N1393" s="3" t="s">
        <v>346</v>
      </c>
      <c r="O1393" s="3" t="s">
        <v>55</v>
      </c>
      <c r="P1393" s="30">
        <v>50579</v>
      </c>
      <c r="Q1393" s="3" t="s">
        <v>259</v>
      </c>
      <c r="R1393" s="3">
        <v>6</v>
      </c>
      <c r="S1393" s="3">
        <v>147</v>
      </c>
      <c r="T1393" s="3">
        <v>31.1</v>
      </c>
      <c r="U1393" s="3" t="s">
        <v>44</v>
      </c>
      <c r="V1393" s="18" t="s">
        <v>33</v>
      </c>
    </row>
    <row r="1394" spans="1:22" ht="15" customHeight="1" x14ac:dyDescent="0.25">
      <c r="A1394" s="15" t="s">
        <v>2610</v>
      </c>
      <c r="B1394" s="2" t="s">
        <v>459</v>
      </c>
      <c r="C1394">
        <v>49</v>
      </c>
      <c r="D1394" s="1" t="s">
        <v>98</v>
      </c>
      <c r="E1394" s="1" t="s">
        <v>23</v>
      </c>
      <c r="F1394" s="1" t="s">
        <v>49</v>
      </c>
      <c r="G1394" s="1" t="s">
        <v>77</v>
      </c>
      <c r="H1394" s="1" t="s">
        <v>26</v>
      </c>
      <c r="I1394" s="7">
        <v>43526</v>
      </c>
      <c r="J1394" s="7">
        <v>43802</v>
      </c>
      <c r="K1394" s="1">
        <v>10</v>
      </c>
      <c r="L1394" s="1" t="s">
        <v>112</v>
      </c>
      <c r="M1394" s="1" t="s">
        <v>40</v>
      </c>
      <c r="N1394" s="1" t="s">
        <v>94</v>
      </c>
      <c r="O1394" s="1" t="s">
        <v>42</v>
      </c>
      <c r="P1394" s="29">
        <v>52612.639999999999</v>
      </c>
      <c r="Q1394" s="1" t="s">
        <v>592</v>
      </c>
      <c r="R1394" s="1">
        <v>10</v>
      </c>
      <c r="S1394" s="1">
        <v>348</v>
      </c>
      <c r="T1394" s="1">
        <v>33.1</v>
      </c>
      <c r="U1394" s="1" t="s">
        <v>86</v>
      </c>
      <c r="V1394" s="17" t="s">
        <v>33</v>
      </c>
    </row>
    <row r="1395" spans="1:22" ht="15" customHeight="1" x14ac:dyDescent="0.25">
      <c r="A1395" s="16" t="s">
        <v>2611</v>
      </c>
      <c r="B1395" s="3" t="s">
        <v>2612</v>
      </c>
      <c r="C1395">
        <v>70</v>
      </c>
      <c r="D1395" s="3" t="s">
        <v>82</v>
      </c>
      <c r="E1395" s="3" t="s">
        <v>48</v>
      </c>
      <c r="F1395" s="3" t="s">
        <v>37</v>
      </c>
      <c r="G1395" s="3" t="s">
        <v>131</v>
      </c>
      <c r="H1395" s="3" t="s">
        <v>26</v>
      </c>
      <c r="I1395" s="8">
        <v>45146</v>
      </c>
      <c r="J1395" s="8">
        <v>45155</v>
      </c>
      <c r="K1395" s="3">
        <v>9</v>
      </c>
      <c r="L1395" s="3" t="s">
        <v>27</v>
      </c>
      <c r="M1395" s="3" t="s">
        <v>28</v>
      </c>
      <c r="N1395" s="3" t="s">
        <v>147</v>
      </c>
      <c r="O1395" s="3" t="s">
        <v>66</v>
      </c>
      <c r="P1395" s="30">
        <v>36979.85</v>
      </c>
      <c r="Q1395" s="3" t="s">
        <v>291</v>
      </c>
      <c r="R1395" s="3">
        <v>5</v>
      </c>
      <c r="S1395" s="3">
        <v>344</v>
      </c>
      <c r="T1395" s="3">
        <v>23.8</v>
      </c>
      <c r="U1395" s="3" t="s">
        <v>44</v>
      </c>
      <c r="V1395" s="18" t="s">
        <v>33</v>
      </c>
    </row>
    <row r="1396" spans="1:22" ht="15" customHeight="1" x14ac:dyDescent="0.25">
      <c r="A1396" s="15" t="s">
        <v>2613</v>
      </c>
      <c r="B1396" s="1" t="s">
        <v>2614</v>
      </c>
      <c r="C1396">
        <v>91</v>
      </c>
      <c r="D1396" s="1" t="s">
        <v>36</v>
      </c>
      <c r="E1396" s="1" t="s">
        <v>48</v>
      </c>
      <c r="F1396" s="1" t="s">
        <v>99</v>
      </c>
      <c r="G1396" s="1" t="s">
        <v>60</v>
      </c>
      <c r="H1396" s="1" t="s">
        <v>156</v>
      </c>
      <c r="I1396" s="7">
        <v>44785</v>
      </c>
      <c r="J1396" s="7">
        <v>44789</v>
      </c>
      <c r="K1396" s="1">
        <v>4</v>
      </c>
      <c r="L1396" s="1" t="s">
        <v>89</v>
      </c>
      <c r="M1396" s="1" t="s">
        <v>90</v>
      </c>
      <c r="N1396" s="1" t="s">
        <v>210</v>
      </c>
      <c r="O1396" s="1" t="s">
        <v>42</v>
      </c>
      <c r="P1396" s="29">
        <v>39170.199999999997</v>
      </c>
      <c r="Q1396" s="1" t="s">
        <v>62</v>
      </c>
      <c r="R1396" s="1">
        <v>6</v>
      </c>
      <c r="S1396" s="1">
        <v>449</v>
      </c>
      <c r="T1396" s="4"/>
      <c r="U1396" s="1" t="s">
        <v>44</v>
      </c>
      <c r="V1396" s="17" t="s">
        <v>33</v>
      </c>
    </row>
    <row r="1397" spans="1:22" ht="15" customHeight="1" x14ac:dyDescent="0.25">
      <c r="A1397" s="16" t="s">
        <v>2615</v>
      </c>
      <c r="B1397" s="2" t="s">
        <v>3667</v>
      </c>
      <c r="C1397">
        <v>56</v>
      </c>
      <c r="D1397" s="3" t="s">
        <v>59</v>
      </c>
      <c r="E1397" s="3" t="s">
        <v>23</v>
      </c>
      <c r="F1397" s="3" t="s">
        <v>37</v>
      </c>
      <c r="G1397" s="3" t="s">
        <v>50</v>
      </c>
      <c r="H1397" s="3" t="s">
        <v>78</v>
      </c>
      <c r="I1397" s="6">
        <v>43785</v>
      </c>
      <c r="J1397" s="8">
        <v>43789</v>
      </c>
      <c r="K1397" s="3">
        <v>4</v>
      </c>
      <c r="L1397" s="3" t="s">
        <v>52</v>
      </c>
      <c r="M1397" s="3" t="s">
        <v>53</v>
      </c>
      <c r="N1397" s="3" t="s">
        <v>116</v>
      </c>
      <c r="O1397" s="3" t="s">
        <v>42</v>
      </c>
      <c r="P1397" s="30">
        <v>58308</v>
      </c>
      <c r="Q1397" s="3" t="s">
        <v>552</v>
      </c>
      <c r="R1397" s="3">
        <v>8</v>
      </c>
      <c r="S1397" s="3">
        <v>145</v>
      </c>
      <c r="T1397" s="3">
        <v>19.399999999999999</v>
      </c>
      <c r="U1397" s="3" t="s">
        <v>44</v>
      </c>
      <c r="V1397" s="18" t="s">
        <v>33</v>
      </c>
    </row>
    <row r="1398" spans="1:22" ht="15" customHeight="1" x14ac:dyDescent="0.25">
      <c r="A1398" s="15" t="s">
        <v>2616</v>
      </c>
      <c r="B1398" s="1" t="s">
        <v>2617</v>
      </c>
      <c r="C1398">
        <v>87</v>
      </c>
      <c r="D1398" s="1" t="s">
        <v>36</v>
      </c>
      <c r="E1398" s="1" t="s">
        <v>48</v>
      </c>
      <c r="F1398" s="2" t="s">
        <v>76</v>
      </c>
      <c r="G1398" s="1" t="s">
        <v>25</v>
      </c>
      <c r="H1398" s="1" t="s">
        <v>156</v>
      </c>
      <c r="I1398" s="7">
        <v>43524</v>
      </c>
      <c r="J1398" s="7">
        <v>43536</v>
      </c>
      <c r="K1398" s="1">
        <v>12</v>
      </c>
      <c r="L1398" s="1" t="s">
        <v>27</v>
      </c>
      <c r="M1398" s="1" t="s">
        <v>28</v>
      </c>
      <c r="N1398" s="1" t="s">
        <v>29</v>
      </c>
      <c r="O1398" s="1" t="s">
        <v>104</v>
      </c>
      <c r="P1398" s="29">
        <v>111238</v>
      </c>
      <c r="Q1398" s="1" t="s">
        <v>706</v>
      </c>
      <c r="R1398" s="1">
        <v>12</v>
      </c>
      <c r="S1398" s="1">
        <v>293</v>
      </c>
      <c r="T1398" s="1">
        <v>21.4</v>
      </c>
      <c r="U1398" s="1" t="s">
        <v>86</v>
      </c>
      <c r="V1398" s="17" t="s">
        <v>33</v>
      </c>
    </row>
    <row r="1399" spans="1:22" ht="15" customHeight="1" x14ac:dyDescent="0.25">
      <c r="A1399" s="16" t="s">
        <v>2618</v>
      </c>
      <c r="B1399" s="3" t="s">
        <v>2619</v>
      </c>
      <c r="C1399">
        <v>74</v>
      </c>
      <c r="D1399" s="3" t="s">
        <v>82</v>
      </c>
      <c r="E1399" s="3" t="s">
        <v>23</v>
      </c>
      <c r="F1399" s="3" t="s">
        <v>99</v>
      </c>
      <c r="G1399" s="3" t="s">
        <v>50</v>
      </c>
      <c r="H1399" s="3" t="s">
        <v>26</v>
      </c>
      <c r="I1399" s="6">
        <v>43696</v>
      </c>
      <c r="J1399" s="8">
        <v>43703</v>
      </c>
      <c r="K1399" s="3">
        <v>7</v>
      </c>
      <c r="L1399" s="3" t="s">
        <v>122</v>
      </c>
      <c r="M1399" s="3" t="s">
        <v>40</v>
      </c>
      <c r="N1399" s="3" t="s">
        <v>116</v>
      </c>
      <c r="O1399" s="3" t="s">
        <v>42</v>
      </c>
      <c r="P1399" s="30">
        <v>82708.240000000005</v>
      </c>
      <c r="Q1399" s="3" t="s">
        <v>56</v>
      </c>
      <c r="R1399" s="3">
        <v>9</v>
      </c>
      <c r="S1399" s="3">
        <v>368</v>
      </c>
      <c r="T1399" s="3">
        <v>24.5</v>
      </c>
      <c r="U1399" s="3" t="s">
        <v>44</v>
      </c>
      <c r="V1399" s="18" t="s">
        <v>45</v>
      </c>
    </row>
    <row r="1400" spans="1:22" ht="15" customHeight="1" x14ac:dyDescent="0.25">
      <c r="A1400" s="15" t="s">
        <v>2620</v>
      </c>
      <c r="B1400" s="1" t="s">
        <v>2621</v>
      </c>
      <c r="C1400">
        <v>72</v>
      </c>
      <c r="D1400" s="1" t="s">
        <v>82</v>
      </c>
      <c r="E1400" s="1" t="s">
        <v>23</v>
      </c>
      <c r="F1400" s="1" t="s">
        <v>83</v>
      </c>
      <c r="G1400" s="1" t="s">
        <v>77</v>
      </c>
      <c r="H1400" s="1" t="s">
        <v>26</v>
      </c>
      <c r="I1400" s="6">
        <v>44805</v>
      </c>
      <c r="J1400" s="7">
        <v>44576</v>
      </c>
      <c r="K1400" s="1">
        <v>6</v>
      </c>
      <c r="L1400" s="1" t="s">
        <v>102</v>
      </c>
      <c r="M1400" s="1" t="s">
        <v>28</v>
      </c>
      <c r="N1400" s="1" t="s">
        <v>79</v>
      </c>
      <c r="O1400" s="1" t="s">
        <v>42</v>
      </c>
      <c r="P1400" s="29">
        <v>62304</v>
      </c>
      <c r="Q1400" s="1" t="s">
        <v>181</v>
      </c>
      <c r="R1400" s="1">
        <v>10</v>
      </c>
      <c r="S1400" s="1">
        <v>354</v>
      </c>
      <c r="T1400" s="1">
        <v>24.4</v>
      </c>
      <c r="U1400" s="1" t="s">
        <v>44</v>
      </c>
      <c r="V1400" s="17" t="s">
        <v>45</v>
      </c>
    </row>
    <row r="1401" spans="1:22" ht="15" customHeight="1" x14ac:dyDescent="0.25">
      <c r="A1401" s="16" t="s">
        <v>2622</v>
      </c>
      <c r="B1401" s="3" t="s">
        <v>2288</v>
      </c>
      <c r="C1401">
        <v>43</v>
      </c>
      <c r="D1401" s="3" t="s">
        <v>98</v>
      </c>
      <c r="E1401" s="3" t="s">
        <v>48</v>
      </c>
      <c r="F1401" s="3" t="s">
        <v>99</v>
      </c>
      <c r="G1401" s="3" t="s">
        <v>50</v>
      </c>
      <c r="H1401" s="3" t="s">
        <v>26</v>
      </c>
      <c r="I1401" s="8">
        <v>44599</v>
      </c>
      <c r="J1401" s="8">
        <v>44604</v>
      </c>
      <c r="K1401" s="3">
        <v>5</v>
      </c>
      <c r="L1401" s="3" t="s">
        <v>132</v>
      </c>
      <c r="M1401" s="3" t="s">
        <v>53</v>
      </c>
      <c r="N1401" s="3" t="s">
        <v>54</v>
      </c>
      <c r="O1401" s="3" t="s">
        <v>42</v>
      </c>
      <c r="P1401" s="30">
        <v>78198.759999999995</v>
      </c>
      <c r="Q1401" s="3" t="s">
        <v>351</v>
      </c>
      <c r="R1401" s="3">
        <v>8</v>
      </c>
      <c r="S1401" s="3">
        <v>374</v>
      </c>
      <c r="T1401" s="3">
        <v>32.9</v>
      </c>
      <c r="U1401" s="3" t="s">
        <v>44</v>
      </c>
      <c r="V1401" s="18" t="s">
        <v>33</v>
      </c>
    </row>
    <row r="1402" spans="1:22" ht="15" customHeight="1" x14ac:dyDescent="0.25">
      <c r="A1402" s="15" t="s">
        <v>2623</v>
      </c>
      <c r="B1402" s="2" t="s">
        <v>3668</v>
      </c>
      <c r="C1402">
        <v>70</v>
      </c>
      <c r="D1402" s="1" t="s">
        <v>82</v>
      </c>
      <c r="E1402" s="1" t="s">
        <v>23</v>
      </c>
      <c r="F1402" s="1" t="s">
        <v>70</v>
      </c>
      <c r="G1402" s="1" t="s">
        <v>71</v>
      </c>
      <c r="H1402" s="1" t="s">
        <v>51</v>
      </c>
      <c r="I1402" s="6">
        <v>45371</v>
      </c>
      <c r="J1402" s="7">
        <v>45374</v>
      </c>
      <c r="K1402" s="1">
        <v>3</v>
      </c>
      <c r="L1402" s="1" t="s">
        <v>39</v>
      </c>
      <c r="M1402" s="1" t="s">
        <v>40</v>
      </c>
      <c r="N1402" s="1" t="s">
        <v>312</v>
      </c>
      <c r="O1402" s="1" t="s">
        <v>30</v>
      </c>
      <c r="P1402" s="29">
        <v>5952.44</v>
      </c>
      <c r="Q1402" s="1" t="s">
        <v>503</v>
      </c>
      <c r="R1402" s="1">
        <v>5</v>
      </c>
      <c r="S1402" s="1">
        <v>198</v>
      </c>
      <c r="T1402" s="1">
        <v>31.5</v>
      </c>
      <c r="U1402" s="1" t="s">
        <v>32</v>
      </c>
      <c r="V1402" s="17" t="s">
        <v>33</v>
      </c>
    </row>
    <row r="1403" spans="1:22" ht="15" customHeight="1" x14ac:dyDescent="0.25">
      <c r="A1403" s="16" t="s">
        <v>2624</v>
      </c>
      <c r="B1403" s="3" t="s">
        <v>2625</v>
      </c>
      <c r="C1403">
        <v>58</v>
      </c>
      <c r="D1403" s="3" t="s">
        <v>59</v>
      </c>
      <c r="E1403" s="3" t="s">
        <v>23</v>
      </c>
      <c r="F1403" s="3" t="s">
        <v>155</v>
      </c>
      <c r="G1403" s="3" t="s">
        <v>131</v>
      </c>
      <c r="H1403" s="3" t="s">
        <v>26</v>
      </c>
      <c r="I1403" s="8">
        <v>45204</v>
      </c>
      <c r="J1403" s="8">
        <v>45209</v>
      </c>
      <c r="K1403" s="3">
        <v>5</v>
      </c>
      <c r="L1403" s="3" t="s">
        <v>122</v>
      </c>
      <c r="M1403" s="3" t="s">
        <v>40</v>
      </c>
      <c r="N1403" s="3" t="s">
        <v>147</v>
      </c>
      <c r="O1403" s="3" t="s">
        <v>30</v>
      </c>
      <c r="P1403" s="30">
        <v>30231</v>
      </c>
      <c r="Q1403" s="3" t="s">
        <v>134</v>
      </c>
      <c r="R1403" s="3">
        <v>7</v>
      </c>
      <c r="S1403" s="3">
        <v>341</v>
      </c>
      <c r="T1403" s="3">
        <v>23.3</v>
      </c>
      <c r="U1403" s="3" t="s">
        <v>86</v>
      </c>
      <c r="V1403" s="18" t="s">
        <v>33</v>
      </c>
    </row>
    <row r="1404" spans="1:22" ht="15" customHeight="1" x14ac:dyDescent="0.25">
      <c r="A1404" s="15" t="s">
        <v>2626</v>
      </c>
      <c r="B1404" s="1" t="s">
        <v>2627</v>
      </c>
      <c r="C1404">
        <v>50</v>
      </c>
      <c r="D1404" s="1" t="s">
        <v>98</v>
      </c>
      <c r="E1404" s="1" t="s">
        <v>23</v>
      </c>
      <c r="F1404" s="1" t="s">
        <v>70</v>
      </c>
      <c r="G1404" s="1" t="s">
        <v>25</v>
      </c>
      <c r="H1404" s="1" t="s">
        <v>51</v>
      </c>
      <c r="I1404" s="6">
        <v>44533</v>
      </c>
      <c r="J1404" s="7">
        <v>44285</v>
      </c>
      <c r="K1404" s="1">
        <v>18</v>
      </c>
      <c r="L1404" s="1" t="s">
        <v>27</v>
      </c>
      <c r="M1404" s="1" t="s">
        <v>28</v>
      </c>
      <c r="N1404" s="1" t="s">
        <v>29</v>
      </c>
      <c r="O1404" s="1" t="s">
        <v>30</v>
      </c>
      <c r="P1404" s="29">
        <v>42203.86</v>
      </c>
      <c r="Q1404" s="1" t="s">
        <v>198</v>
      </c>
      <c r="R1404" s="1">
        <v>10</v>
      </c>
      <c r="S1404" s="1">
        <v>132</v>
      </c>
      <c r="T1404" s="4"/>
      <c r="U1404" s="1" t="s">
        <v>44</v>
      </c>
      <c r="V1404" s="17" t="s">
        <v>45</v>
      </c>
    </row>
    <row r="1405" spans="1:22" ht="15" customHeight="1" x14ac:dyDescent="0.25">
      <c r="A1405" s="16" t="s">
        <v>2628</v>
      </c>
      <c r="B1405" s="3" t="s">
        <v>2629</v>
      </c>
      <c r="C1405">
        <v>64</v>
      </c>
      <c r="D1405" s="3" t="s">
        <v>59</v>
      </c>
      <c r="E1405" s="3" t="s">
        <v>23</v>
      </c>
      <c r="F1405" s="3" t="s">
        <v>49</v>
      </c>
      <c r="G1405" s="3" t="s">
        <v>226</v>
      </c>
      <c r="H1405" s="3" t="s">
        <v>26</v>
      </c>
      <c r="I1405" s="6">
        <v>45516</v>
      </c>
      <c r="J1405" s="8">
        <v>45646</v>
      </c>
      <c r="K1405" s="3">
        <v>12</v>
      </c>
      <c r="L1405" s="3" t="s">
        <v>132</v>
      </c>
      <c r="M1405" s="3" t="s">
        <v>53</v>
      </c>
      <c r="N1405" s="3" t="s">
        <v>94</v>
      </c>
      <c r="O1405" s="3" t="s">
        <v>42</v>
      </c>
      <c r="P1405" s="30">
        <v>82318.649999999994</v>
      </c>
      <c r="Q1405" s="3" t="s">
        <v>592</v>
      </c>
      <c r="R1405" s="3">
        <v>10</v>
      </c>
      <c r="S1405" s="3">
        <v>303</v>
      </c>
      <c r="T1405" s="3">
        <v>34.200000000000003</v>
      </c>
      <c r="U1405" s="3" t="s">
        <v>44</v>
      </c>
      <c r="V1405" s="18" t="s">
        <v>33</v>
      </c>
    </row>
    <row r="1406" spans="1:22" ht="15" customHeight="1" x14ac:dyDescent="0.25">
      <c r="A1406" s="15" t="s">
        <v>2630</v>
      </c>
      <c r="B1406" s="1" t="s">
        <v>2631</v>
      </c>
      <c r="C1406">
        <v>52</v>
      </c>
      <c r="D1406" s="1" t="s">
        <v>98</v>
      </c>
      <c r="E1406" s="1" t="s">
        <v>48</v>
      </c>
      <c r="F1406" s="1" t="s">
        <v>70</v>
      </c>
      <c r="G1406" s="1" t="s">
        <v>71</v>
      </c>
      <c r="H1406" s="1" t="s">
        <v>78</v>
      </c>
      <c r="I1406" s="7">
        <v>44923</v>
      </c>
      <c r="J1406" s="7">
        <v>44925</v>
      </c>
      <c r="K1406" s="1">
        <v>2</v>
      </c>
      <c r="L1406" s="1" t="s">
        <v>122</v>
      </c>
      <c r="M1406" s="1" t="s">
        <v>40</v>
      </c>
      <c r="N1406" s="1" t="s">
        <v>72</v>
      </c>
      <c r="O1406" s="1" t="s">
        <v>42</v>
      </c>
      <c r="P1406" s="29">
        <v>34241.980000000003</v>
      </c>
      <c r="Q1406" s="1" t="s">
        <v>170</v>
      </c>
      <c r="R1406" s="1">
        <v>5</v>
      </c>
      <c r="S1406" s="1">
        <v>439</v>
      </c>
      <c r="T1406" s="1">
        <v>22.7</v>
      </c>
      <c r="U1406" s="1" t="s">
        <v>32</v>
      </c>
      <c r="V1406" s="17" t="s">
        <v>33</v>
      </c>
    </row>
    <row r="1407" spans="1:22" ht="15" customHeight="1" x14ac:dyDescent="0.25">
      <c r="A1407" s="16" t="s">
        <v>2632</v>
      </c>
      <c r="B1407" s="2" t="s">
        <v>3669</v>
      </c>
      <c r="C1407">
        <v>20</v>
      </c>
      <c r="D1407" s="3" t="s">
        <v>47</v>
      </c>
      <c r="E1407" s="3" t="s">
        <v>48</v>
      </c>
      <c r="F1407" s="3" t="s">
        <v>83</v>
      </c>
      <c r="G1407" s="3" t="s">
        <v>25</v>
      </c>
      <c r="H1407" s="3" t="s">
        <v>51</v>
      </c>
      <c r="I1407" s="8">
        <v>44961</v>
      </c>
      <c r="J1407" s="8">
        <v>44976</v>
      </c>
      <c r="K1407" s="3">
        <v>15</v>
      </c>
      <c r="L1407" s="3" t="s">
        <v>39</v>
      </c>
      <c r="M1407" s="3" t="s">
        <v>40</v>
      </c>
      <c r="N1407" s="3" t="s">
        <v>248</v>
      </c>
      <c r="O1407" s="3" t="s">
        <v>30</v>
      </c>
      <c r="P1407" s="30">
        <v>36512.42</v>
      </c>
      <c r="Q1407" s="3" t="s">
        <v>515</v>
      </c>
      <c r="R1407" s="3">
        <v>12</v>
      </c>
      <c r="S1407" s="3">
        <v>123</v>
      </c>
      <c r="T1407" s="3">
        <v>20.5</v>
      </c>
      <c r="U1407" s="3" t="s">
        <v>44</v>
      </c>
      <c r="V1407" s="18" t="s">
        <v>33</v>
      </c>
    </row>
    <row r="1408" spans="1:22" ht="15" customHeight="1" x14ac:dyDescent="0.25">
      <c r="A1408" s="15" t="s">
        <v>2633</v>
      </c>
      <c r="B1408" s="1" t="s">
        <v>353</v>
      </c>
      <c r="C1408">
        <v>73</v>
      </c>
      <c r="D1408" s="1" t="s">
        <v>82</v>
      </c>
      <c r="E1408" s="1" t="s">
        <v>48</v>
      </c>
      <c r="F1408" s="2" t="s">
        <v>37</v>
      </c>
      <c r="G1408" s="1" t="s">
        <v>77</v>
      </c>
      <c r="H1408" s="1" t="s">
        <v>51</v>
      </c>
      <c r="I1408" s="6">
        <v>44548</v>
      </c>
      <c r="J1408" s="7">
        <v>44555</v>
      </c>
      <c r="K1408" s="1">
        <v>7</v>
      </c>
      <c r="L1408" s="1" t="s">
        <v>102</v>
      </c>
      <c r="M1408" s="1" t="s">
        <v>28</v>
      </c>
      <c r="N1408" s="1" t="s">
        <v>84</v>
      </c>
      <c r="O1408" s="1" t="s">
        <v>104</v>
      </c>
      <c r="P1408" s="29">
        <v>18568.599999999999</v>
      </c>
      <c r="Q1408" s="1" t="s">
        <v>85</v>
      </c>
      <c r="R1408" s="1">
        <v>10</v>
      </c>
      <c r="S1408" s="1">
        <v>193</v>
      </c>
      <c r="T1408" s="1">
        <v>25.6</v>
      </c>
      <c r="U1408" s="1" t="s">
        <v>44</v>
      </c>
      <c r="V1408" s="17" t="s">
        <v>45</v>
      </c>
    </row>
    <row r="1409" spans="1:22" ht="15" customHeight="1" x14ac:dyDescent="0.25">
      <c r="A1409" s="16" t="s">
        <v>2634</v>
      </c>
      <c r="B1409" s="3" t="s">
        <v>861</v>
      </c>
      <c r="C1409">
        <v>39</v>
      </c>
      <c r="D1409" s="3" t="s">
        <v>98</v>
      </c>
      <c r="E1409" s="3" t="s">
        <v>23</v>
      </c>
      <c r="F1409" s="3" t="s">
        <v>76</v>
      </c>
      <c r="G1409" s="3" t="s">
        <v>77</v>
      </c>
      <c r="H1409" s="3" t="s">
        <v>26</v>
      </c>
      <c r="I1409" s="8">
        <v>45635</v>
      </c>
      <c r="J1409" s="8">
        <v>45647</v>
      </c>
      <c r="K1409" s="3">
        <v>12</v>
      </c>
      <c r="L1409" s="3" t="s">
        <v>52</v>
      </c>
      <c r="M1409" s="3" t="s">
        <v>53</v>
      </c>
      <c r="N1409" s="3" t="s">
        <v>79</v>
      </c>
      <c r="O1409" s="3" t="s">
        <v>30</v>
      </c>
      <c r="P1409" s="30">
        <v>32766.19</v>
      </c>
      <c r="Q1409" s="3" t="s">
        <v>123</v>
      </c>
      <c r="R1409" s="3">
        <v>8</v>
      </c>
      <c r="S1409" s="3">
        <v>357</v>
      </c>
      <c r="T1409" s="3">
        <v>31.4</v>
      </c>
      <c r="U1409" s="3" t="s">
        <v>44</v>
      </c>
      <c r="V1409" s="18" t="s">
        <v>45</v>
      </c>
    </row>
    <row r="1410" spans="1:22" ht="15" customHeight="1" x14ac:dyDescent="0.25">
      <c r="A1410" s="15" t="s">
        <v>2635</v>
      </c>
      <c r="B1410" s="1" t="s">
        <v>2636</v>
      </c>
      <c r="C1410">
        <v>36</v>
      </c>
      <c r="D1410" s="1" t="s">
        <v>98</v>
      </c>
      <c r="E1410" s="1" t="s">
        <v>48</v>
      </c>
      <c r="F1410" s="1" t="s">
        <v>24</v>
      </c>
      <c r="G1410" s="1" t="s">
        <v>77</v>
      </c>
      <c r="H1410" s="1" t="s">
        <v>26</v>
      </c>
      <c r="I1410" s="6">
        <v>44879</v>
      </c>
      <c r="J1410" s="7">
        <v>44904</v>
      </c>
      <c r="K1410" s="1">
        <v>25</v>
      </c>
      <c r="L1410" s="1" t="s">
        <v>231</v>
      </c>
      <c r="M1410" s="1" t="s">
        <v>53</v>
      </c>
      <c r="N1410" s="1" t="s">
        <v>79</v>
      </c>
      <c r="O1410" s="1" t="s">
        <v>30</v>
      </c>
      <c r="P1410" s="29">
        <v>54055.67</v>
      </c>
      <c r="Q1410" s="1" t="s">
        <v>100</v>
      </c>
      <c r="R1410" s="1">
        <v>10</v>
      </c>
      <c r="S1410" s="1">
        <v>308</v>
      </c>
      <c r="T1410" s="1">
        <v>28.6</v>
      </c>
      <c r="U1410" s="1" t="s">
        <v>44</v>
      </c>
      <c r="V1410" s="17" t="s">
        <v>33</v>
      </c>
    </row>
    <row r="1411" spans="1:22" ht="15" customHeight="1" x14ac:dyDescent="0.25">
      <c r="A1411" s="16" t="s">
        <v>2637</v>
      </c>
      <c r="B1411" s="2" t="s">
        <v>2010</v>
      </c>
      <c r="C1411">
        <v>74</v>
      </c>
      <c r="D1411" s="3" t="s">
        <v>82</v>
      </c>
      <c r="E1411" s="3" t="s">
        <v>48</v>
      </c>
      <c r="F1411" s="3" t="s">
        <v>76</v>
      </c>
      <c r="G1411" s="3" t="s">
        <v>131</v>
      </c>
      <c r="H1411" s="3" t="s">
        <v>51</v>
      </c>
      <c r="I1411" s="8">
        <v>44268</v>
      </c>
      <c r="J1411" s="8">
        <v>44277</v>
      </c>
      <c r="K1411" s="3">
        <v>9</v>
      </c>
      <c r="L1411" s="3" t="s">
        <v>89</v>
      </c>
      <c r="M1411" s="3" t="s">
        <v>90</v>
      </c>
      <c r="N1411" s="3" t="s">
        <v>133</v>
      </c>
      <c r="O1411" s="3" t="s">
        <v>104</v>
      </c>
      <c r="P1411" s="30">
        <v>20606.89</v>
      </c>
      <c r="Q1411" s="3" t="s">
        <v>695</v>
      </c>
      <c r="R1411" s="3">
        <v>6</v>
      </c>
      <c r="S1411" s="3">
        <v>141</v>
      </c>
      <c r="T1411" s="3">
        <v>33.700000000000003</v>
      </c>
      <c r="U1411" s="3" t="s">
        <v>32</v>
      </c>
      <c r="V1411" s="18" t="s">
        <v>33</v>
      </c>
    </row>
    <row r="1412" spans="1:22" ht="15" customHeight="1" x14ac:dyDescent="0.25">
      <c r="A1412" s="15" t="s">
        <v>2638</v>
      </c>
      <c r="B1412" s="1" t="s">
        <v>1089</v>
      </c>
      <c r="C1412">
        <v>64</v>
      </c>
      <c r="D1412" s="1" t="s">
        <v>59</v>
      </c>
      <c r="E1412" s="1" t="s">
        <v>48</v>
      </c>
      <c r="F1412" s="1" t="s">
        <v>70</v>
      </c>
      <c r="G1412" s="1" t="s">
        <v>50</v>
      </c>
      <c r="H1412" s="1" t="s">
        <v>26</v>
      </c>
      <c r="I1412" s="7">
        <v>44028</v>
      </c>
      <c r="J1412" s="7">
        <v>44039</v>
      </c>
      <c r="K1412" s="1">
        <v>11</v>
      </c>
      <c r="L1412" s="1" t="s">
        <v>185</v>
      </c>
      <c r="M1412" s="1" t="s">
        <v>186</v>
      </c>
      <c r="N1412" s="1" t="s">
        <v>126</v>
      </c>
      <c r="O1412" s="1" t="s">
        <v>30</v>
      </c>
      <c r="P1412" s="29">
        <v>102842.38</v>
      </c>
      <c r="Q1412" s="1" t="s">
        <v>144</v>
      </c>
      <c r="R1412" s="1">
        <v>9</v>
      </c>
      <c r="S1412" s="1">
        <v>323</v>
      </c>
      <c r="T1412" s="4"/>
      <c r="U1412" s="1" t="s">
        <v>44</v>
      </c>
      <c r="V1412" s="17" t="s">
        <v>33</v>
      </c>
    </row>
    <row r="1413" spans="1:22" ht="15" customHeight="1" x14ac:dyDescent="0.25">
      <c r="A1413" s="16" t="s">
        <v>2639</v>
      </c>
      <c r="B1413" s="3" t="s">
        <v>2640</v>
      </c>
      <c r="C1413">
        <v>70</v>
      </c>
      <c r="D1413" s="3" t="s">
        <v>82</v>
      </c>
      <c r="E1413" s="3" t="s">
        <v>23</v>
      </c>
      <c r="F1413" s="3" t="s">
        <v>49</v>
      </c>
      <c r="G1413" s="3" t="s">
        <v>38</v>
      </c>
      <c r="H1413" s="3" t="s">
        <v>26</v>
      </c>
      <c r="I1413" s="8">
        <v>44384</v>
      </c>
      <c r="J1413" s="8">
        <v>44390</v>
      </c>
      <c r="K1413" s="3">
        <v>6</v>
      </c>
      <c r="L1413" s="3" t="s">
        <v>112</v>
      </c>
      <c r="M1413" s="3" t="s">
        <v>40</v>
      </c>
      <c r="N1413" s="3" t="s">
        <v>41</v>
      </c>
      <c r="O1413" s="3" t="s">
        <v>30</v>
      </c>
      <c r="P1413" s="30">
        <v>32630.799999999999</v>
      </c>
      <c r="Q1413" s="3" t="s">
        <v>567</v>
      </c>
      <c r="R1413" s="3">
        <v>8</v>
      </c>
      <c r="S1413" s="3">
        <v>361</v>
      </c>
      <c r="T1413" s="3">
        <v>28.6</v>
      </c>
      <c r="U1413" s="3" t="s">
        <v>86</v>
      </c>
      <c r="V1413" s="18" t="s">
        <v>33</v>
      </c>
    </row>
    <row r="1414" spans="1:22" ht="15" customHeight="1" x14ac:dyDescent="0.25">
      <c r="A1414" s="15" t="s">
        <v>2641</v>
      </c>
      <c r="B1414" s="1" t="s">
        <v>2642</v>
      </c>
      <c r="C1414">
        <v>67</v>
      </c>
      <c r="D1414" s="1" t="s">
        <v>82</v>
      </c>
      <c r="E1414" s="1" t="s">
        <v>48</v>
      </c>
      <c r="F1414" s="1" t="s">
        <v>37</v>
      </c>
      <c r="G1414" s="1" t="s">
        <v>188</v>
      </c>
      <c r="H1414" s="1" t="s">
        <v>26</v>
      </c>
      <c r="I1414" s="7">
        <v>44176</v>
      </c>
      <c r="J1414" s="7">
        <v>44185</v>
      </c>
      <c r="K1414" s="1">
        <v>9</v>
      </c>
      <c r="L1414" s="1" t="s">
        <v>27</v>
      </c>
      <c r="M1414" s="1" t="s">
        <v>28</v>
      </c>
      <c r="N1414" s="1" t="s">
        <v>94</v>
      </c>
      <c r="O1414" s="1" t="s">
        <v>42</v>
      </c>
      <c r="P1414" s="29">
        <v>143761.75</v>
      </c>
      <c r="Q1414" s="1" t="s">
        <v>85</v>
      </c>
      <c r="R1414" s="1">
        <v>9</v>
      </c>
      <c r="S1414" s="1">
        <v>386</v>
      </c>
      <c r="T1414" s="1">
        <v>30.5</v>
      </c>
      <c r="U1414" s="1" t="s">
        <v>44</v>
      </c>
      <c r="V1414" s="17" t="s">
        <v>33</v>
      </c>
    </row>
    <row r="1415" spans="1:22" ht="15" customHeight="1" x14ac:dyDescent="0.25">
      <c r="A1415" s="16" t="s">
        <v>2643</v>
      </c>
      <c r="B1415" s="3" t="s">
        <v>2644</v>
      </c>
      <c r="C1415">
        <v>20</v>
      </c>
      <c r="D1415" s="3" t="s">
        <v>47</v>
      </c>
      <c r="E1415" s="3" t="s">
        <v>23</v>
      </c>
      <c r="F1415" s="3" t="s">
        <v>76</v>
      </c>
      <c r="G1415" s="3" t="s">
        <v>163</v>
      </c>
      <c r="H1415" s="3" t="s">
        <v>51</v>
      </c>
      <c r="I1415" s="8">
        <v>44444</v>
      </c>
      <c r="J1415" s="8">
        <v>44417</v>
      </c>
      <c r="K1415" s="3">
        <v>3</v>
      </c>
      <c r="L1415" s="3" t="s">
        <v>185</v>
      </c>
      <c r="M1415" s="3" t="s">
        <v>186</v>
      </c>
      <c r="N1415" s="3" t="s">
        <v>213</v>
      </c>
      <c r="O1415" s="3" t="s">
        <v>30</v>
      </c>
      <c r="P1415" s="30">
        <v>17159</v>
      </c>
      <c r="Q1415" s="3" t="s">
        <v>165</v>
      </c>
      <c r="R1415" s="3">
        <v>4</v>
      </c>
      <c r="S1415" s="3">
        <v>107</v>
      </c>
      <c r="T1415" s="3">
        <v>19.5</v>
      </c>
      <c r="U1415" s="3" t="s">
        <v>32</v>
      </c>
      <c r="V1415" s="18" t="s">
        <v>33</v>
      </c>
    </row>
    <row r="1416" spans="1:22" ht="15" customHeight="1" x14ac:dyDescent="0.25">
      <c r="A1416" s="15" t="s">
        <v>2645</v>
      </c>
      <c r="B1416" s="1" t="s">
        <v>2646</v>
      </c>
      <c r="C1416">
        <v>59</v>
      </c>
      <c r="D1416" s="1" t="s">
        <v>59</v>
      </c>
      <c r="E1416" s="1" t="s">
        <v>48</v>
      </c>
      <c r="F1416" s="1" t="s">
        <v>155</v>
      </c>
      <c r="G1416" s="1" t="s">
        <v>131</v>
      </c>
      <c r="H1416" s="1" t="s">
        <v>26</v>
      </c>
      <c r="I1416" s="6">
        <v>44671</v>
      </c>
      <c r="J1416" s="7">
        <v>44677</v>
      </c>
      <c r="K1416" s="1">
        <v>6</v>
      </c>
      <c r="L1416" s="1" t="s">
        <v>89</v>
      </c>
      <c r="M1416" s="1" t="s">
        <v>90</v>
      </c>
      <c r="N1416" s="1" t="s">
        <v>147</v>
      </c>
      <c r="O1416" s="1" t="s">
        <v>30</v>
      </c>
      <c r="P1416" s="29">
        <v>44218.66</v>
      </c>
      <c r="Q1416" s="1" t="s">
        <v>134</v>
      </c>
      <c r="R1416" s="1">
        <v>7</v>
      </c>
      <c r="S1416" s="1">
        <v>347</v>
      </c>
      <c r="T1416" s="1">
        <v>41.5</v>
      </c>
      <c r="U1416" s="1" t="s">
        <v>44</v>
      </c>
      <c r="V1416" s="17" t="s">
        <v>33</v>
      </c>
    </row>
    <row r="1417" spans="1:22" ht="15" customHeight="1" x14ac:dyDescent="0.25">
      <c r="A1417" s="16" t="s">
        <v>2647</v>
      </c>
      <c r="B1417" s="3" t="s">
        <v>2648</v>
      </c>
      <c r="C1417">
        <v>87</v>
      </c>
      <c r="D1417" s="3" t="s">
        <v>36</v>
      </c>
      <c r="E1417" s="3" t="s">
        <v>48</v>
      </c>
      <c r="F1417" s="3" t="s">
        <v>76</v>
      </c>
      <c r="G1417" s="3" t="s">
        <v>60</v>
      </c>
      <c r="H1417" s="3" t="s">
        <v>78</v>
      </c>
      <c r="I1417" s="6">
        <v>43877</v>
      </c>
      <c r="J1417" s="8">
        <v>43881</v>
      </c>
      <c r="K1417" s="3">
        <v>4</v>
      </c>
      <c r="L1417" s="3" t="s">
        <v>102</v>
      </c>
      <c r="M1417" s="3" t="s">
        <v>28</v>
      </c>
      <c r="N1417" s="3" t="s">
        <v>103</v>
      </c>
      <c r="O1417" s="3" t="s">
        <v>42</v>
      </c>
      <c r="P1417" s="30">
        <v>49846.559999999998</v>
      </c>
      <c r="Q1417" s="3" t="s">
        <v>105</v>
      </c>
      <c r="R1417" s="3">
        <v>6</v>
      </c>
      <c r="S1417" s="3">
        <v>309</v>
      </c>
      <c r="T1417" s="3">
        <v>24.8</v>
      </c>
      <c r="U1417" s="3" t="s">
        <v>86</v>
      </c>
      <c r="V1417" s="18" t="s">
        <v>33</v>
      </c>
    </row>
    <row r="1418" spans="1:22" ht="15" customHeight="1" x14ac:dyDescent="0.25">
      <c r="A1418" s="15" t="s">
        <v>2649</v>
      </c>
      <c r="B1418" s="1" t="s">
        <v>2650</v>
      </c>
      <c r="C1418">
        <v>78</v>
      </c>
      <c r="D1418" s="1" t="s">
        <v>36</v>
      </c>
      <c r="E1418" s="1" t="s">
        <v>48</v>
      </c>
      <c r="F1418" s="1" t="s">
        <v>76</v>
      </c>
      <c r="G1418" s="1" t="s">
        <v>38</v>
      </c>
      <c r="H1418" s="1" t="s">
        <v>26</v>
      </c>
      <c r="I1418" s="7">
        <v>45611</v>
      </c>
      <c r="J1418" s="7">
        <v>45617</v>
      </c>
      <c r="K1418" s="1">
        <v>6</v>
      </c>
      <c r="L1418" s="1" t="s">
        <v>89</v>
      </c>
      <c r="M1418" s="1" t="s">
        <v>90</v>
      </c>
      <c r="N1418" s="1" t="s">
        <v>41</v>
      </c>
      <c r="O1418" s="1" t="s">
        <v>42</v>
      </c>
      <c r="P1418" s="29">
        <v>36176</v>
      </c>
      <c r="Q1418" s="1" t="s">
        <v>305</v>
      </c>
      <c r="R1418" s="1">
        <v>8</v>
      </c>
      <c r="S1418" s="1">
        <v>407</v>
      </c>
      <c r="T1418" s="1">
        <v>32</v>
      </c>
      <c r="U1418" s="1" t="s">
        <v>44</v>
      </c>
      <c r="V1418" s="17" t="s">
        <v>33</v>
      </c>
    </row>
    <row r="1419" spans="1:22" ht="15" customHeight="1" x14ac:dyDescent="0.25">
      <c r="A1419" s="16" t="s">
        <v>2651</v>
      </c>
      <c r="B1419" s="3" t="s">
        <v>2652</v>
      </c>
      <c r="C1419">
        <v>58</v>
      </c>
      <c r="D1419" s="3" t="s">
        <v>59</v>
      </c>
      <c r="E1419" s="3" t="s">
        <v>48</v>
      </c>
      <c r="F1419" s="3" t="s">
        <v>76</v>
      </c>
      <c r="G1419" s="3" t="s">
        <v>25</v>
      </c>
      <c r="H1419" s="3" t="s">
        <v>51</v>
      </c>
      <c r="I1419" s="8">
        <v>45405</v>
      </c>
      <c r="J1419" s="8">
        <v>45418</v>
      </c>
      <c r="K1419" s="3">
        <v>13</v>
      </c>
      <c r="L1419" s="3" t="s">
        <v>52</v>
      </c>
      <c r="M1419" s="3" t="s">
        <v>53</v>
      </c>
      <c r="N1419" s="3" t="s">
        <v>248</v>
      </c>
      <c r="O1419" s="3" t="s">
        <v>42</v>
      </c>
      <c r="P1419" s="30">
        <v>32292.46</v>
      </c>
      <c r="Q1419" s="3" t="s">
        <v>67</v>
      </c>
      <c r="R1419" s="3">
        <v>10</v>
      </c>
      <c r="S1419" s="3">
        <v>120</v>
      </c>
      <c r="T1419" s="3">
        <v>14.9</v>
      </c>
      <c r="U1419" s="3" t="s">
        <v>44</v>
      </c>
      <c r="V1419" s="18" t="s">
        <v>33</v>
      </c>
    </row>
    <row r="1420" spans="1:22" ht="15" customHeight="1" x14ac:dyDescent="0.25">
      <c r="A1420" s="15" t="s">
        <v>2653</v>
      </c>
      <c r="B1420" s="1" t="s">
        <v>2453</v>
      </c>
      <c r="C1420">
        <v>72</v>
      </c>
      <c r="D1420" s="1" t="s">
        <v>82</v>
      </c>
      <c r="E1420" s="1" t="s">
        <v>23</v>
      </c>
      <c r="F1420" s="1" t="s">
        <v>83</v>
      </c>
      <c r="G1420" s="1" t="s">
        <v>131</v>
      </c>
      <c r="H1420" s="1" t="s">
        <v>26</v>
      </c>
      <c r="I1420" s="7">
        <v>45453</v>
      </c>
      <c r="J1420" s="7">
        <v>45464</v>
      </c>
      <c r="K1420" s="1">
        <v>11</v>
      </c>
      <c r="L1420" s="1" t="s">
        <v>27</v>
      </c>
      <c r="M1420" s="1" t="s">
        <v>28</v>
      </c>
      <c r="N1420" s="1" t="s">
        <v>133</v>
      </c>
      <c r="O1420" s="1" t="s">
        <v>104</v>
      </c>
      <c r="P1420" s="29">
        <v>33253.760000000002</v>
      </c>
      <c r="Q1420" s="1" t="s">
        <v>158</v>
      </c>
      <c r="R1420" s="1">
        <v>7</v>
      </c>
      <c r="S1420" s="1">
        <v>377</v>
      </c>
      <c r="T1420" s="1">
        <v>30.9</v>
      </c>
      <c r="U1420" s="1" t="s">
        <v>44</v>
      </c>
      <c r="V1420" s="17" t="s">
        <v>45</v>
      </c>
    </row>
    <row r="1421" spans="1:22" ht="15" customHeight="1" x14ac:dyDescent="0.25">
      <c r="A1421" s="16" t="s">
        <v>2654</v>
      </c>
      <c r="B1421" s="3" t="s">
        <v>2033</v>
      </c>
      <c r="C1421">
        <v>86</v>
      </c>
      <c r="D1421" s="3" t="s">
        <v>36</v>
      </c>
      <c r="E1421" s="3" t="s">
        <v>23</v>
      </c>
      <c r="F1421" s="3" t="s">
        <v>155</v>
      </c>
      <c r="G1421" s="3" t="s">
        <v>77</v>
      </c>
      <c r="H1421" s="3" t="s">
        <v>26</v>
      </c>
      <c r="I1421" s="8">
        <v>44229</v>
      </c>
      <c r="J1421" s="8">
        <v>44441</v>
      </c>
      <c r="K1421" s="3">
        <v>7</v>
      </c>
      <c r="L1421" s="3" t="s">
        <v>39</v>
      </c>
      <c r="M1421" s="3" t="s">
        <v>40</v>
      </c>
      <c r="N1421" s="3" t="s">
        <v>94</v>
      </c>
      <c r="O1421" s="3" t="s">
        <v>66</v>
      </c>
      <c r="P1421" s="30">
        <v>86170</v>
      </c>
      <c r="Q1421" s="3" t="s">
        <v>592</v>
      </c>
      <c r="R1421" s="3">
        <v>7</v>
      </c>
      <c r="S1421" s="3">
        <v>373</v>
      </c>
      <c r="T1421" s="3">
        <v>30.2</v>
      </c>
      <c r="U1421" s="3" t="s">
        <v>44</v>
      </c>
      <c r="V1421" s="18" t="s">
        <v>45</v>
      </c>
    </row>
    <row r="1422" spans="1:22" ht="15" customHeight="1" x14ac:dyDescent="0.25">
      <c r="A1422" s="15" t="s">
        <v>2655</v>
      </c>
      <c r="B1422" s="1" t="s">
        <v>2656</v>
      </c>
      <c r="C1422">
        <v>46</v>
      </c>
      <c r="D1422" s="1" t="s">
        <v>98</v>
      </c>
      <c r="E1422" s="1" t="s">
        <v>23</v>
      </c>
      <c r="F1422" s="1" t="s">
        <v>37</v>
      </c>
      <c r="G1422" s="1" t="s">
        <v>38</v>
      </c>
      <c r="H1422" s="1" t="s">
        <v>51</v>
      </c>
      <c r="I1422" s="6">
        <v>44104</v>
      </c>
      <c r="J1422" s="7">
        <v>44114</v>
      </c>
      <c r="K1422" s="1">
        <v>10</v>
      </c>
      <c r="L1422" s="1" t="s">
        <v>112</v>
      </c>
      <c r="M1422" s="1" t="s">
        <v>40</v>
      </c>
      <c r="N1422" s="1" t="s">
        <v>41</v>
      </c>
      <c r="O1422" s="1" t="s">
        <v>30</v>
      </c>
      <c r="P1422" s="29">
        <v>9291</v>
      </c>
      <c r="Q1422" s="1" t="s">
        <v>119</v>
      </c>
      <c r="R1422" s="1">
        <v>8</v>
      </c>
      <c r="S1422" s="1">
        <v>199</v>
      </c>
      <c r="T1422" s="1">
        <v>35.6</v>
      </c>
      <c r="U1422" s="1" t="s">
        <v>44</v>
      </c>
      <c r="V1422" s="17" t="s">
        <v>45</v>
      </c>
    </row>
    <row r="1423" spans="1:22" ht="15" customHeight="1" x14ac:dyDescent="0.25">
      <c r="A1423" s="16" t="s">
        <v>2657</v>
      </c>
      <c r="B1423" s="3" t="s">
        <v>2658</v>
      </c>
      <c r="C1423">
        <v>68</v>
      </c>
      <c r="D1423" s="3" t="s">
        <v>82</v>
      </c>
      <c r="E1423" s="3" t="s">
        <v>23</v>
      </c>
      <c r="F1423" s="3" t="s">
        <v>99</v>
      </c>
      <c r="G1423" s="3" t="s">
        <v>25</v>
      </c>
      <c r="H1423" s="3" t="s">
        <v>51</v>
      </c>
      <c r="I1423" s="8">
        <v>43877</v>
      </c>
      <c r="J1423" s="8">
        <v>43884</v>
      </c>
      <c r="K1423" s="3">
        <v>7</v>
      </c>
      <c r="L1423" s="3" t="s">
        <v>231</v>
      </c>
      <c r="M1423" s="3" t="s">
        <v>53</v>
      </c>
      <c r="N1423" s="3" t="s">
        <v>248</v>
      </c>
      <c r="O1423" s="3" t="s">
        <v>55</v>
      </c>
      <c r="P1423" s="30">
        <v>20216.689999999999</v>
      </c>
      <c r="Q1423" s="3" t="s">
        <v>31</v>
      </c>
      <c r="R1423" s="3">
        <v>12</v>
      </c>
      <c r="S1423" s="3">
        <v>175</v>
      </c>
      <c r="T1423" s="3">
        <v>18</v>
      </c>
      <c r="U1423" s="3" t="s">
        <v>44</v>
      </c>
      <c r="V1423" s="18" t="s">
        <v>33</v>
      </c>
    </row>
    <row r="1424" spans="1:22" ht="15" customHeight="1" x14ac:dyDescent="0.25">
      <c r="A1424" s="15" t="s">
        <v>2659</v>
      </c>
      <c r="B1424" s="1" t="s">
        <v>2660</v>
      </c>
      <c r="C1424">
        <v>72</v>
      </c>
      <c r="D1424" s="1" t="s">
        <v>82</v>
      </c>
      <c r="E1424" s="1" t="s">
        <v>23</v>
      </c>
      <c r="F1424" s="1" t="s">
        <v>99</v>
      </c>
      <c r="G1424" s="1" t="s">
        <v>25</v>
      </c>
      <c r="H1424" s="1" t="s">
        <v>78</v>
      </c>
      <c r="I1424" s="6">
        <v>43980</v>
      </c>
      <c r="J1424" s="7">
        <v>43997</v>
      </c>
      <c r="K1424" s="1">
        <v>17</v>
      </c>
      <c r="L1424" s="1" t="s">
        <v>122</v>
      </c>
      <c r="M1424" s="1" t="s">
        <v>40</v>
      </c>
      <c r="N1424" s="1" t="s">
        <v>65</v>
      </c>
      <c r="O1424" s="1" t="s">
        <v>30</v>
      </c>
      <c r="P1424" s="29">
        <v>57470.82</v>
      </c>
      <c r="Q1424" s="1" t="s">
        <v>249</v>
      </c>
      <c r="R1424" s="1">
        <v>12</v>
      </c>
      <c r="S1424" s="1">
        <v>460</v>
      </c>
      <c r="T1424" s="4"/>
      <c r="U1424" s="1" t="s">
        <v>44</v>
      </c>
      <c r="V1424" s="17" t="s">
        <v>33</v>
      </c>
    </row>
    <row r="1425" spans="1:22" ht="15" customHeight="1" x14ac:dyDescent="0.25">
      <c r="A1425" s="16" t="s">
        <v>2661</v>
      </c>
      <c r="B1425" s="3" t="s">
        <v>2662</v>
      </c>
      <c r="C1425">
        <v>60</v>
      </c>
      <c r="D1425" s="3" t="s">
        <v>59</v>
      </c>
      <c r="E1425" s="3" t="s">
        <v>48</v>
      </c>
      <c r="F1425" s="3" t="s">
        <v>24</v>
      </c>
      <c r="G1425" s="3" t="s">
        <v>50</v>
      </c>
      <c r="H1425" s="3" t="s">
        <v>26</v>
      </c>
      <c r="I1425" s="8">
        <v>44439</v>
      </c>
      <c r="J1425" s="8">
        <v>44458</v>
      </c>
      <c r="K1425" s="3">
        <v>19</v>
      </c>
      <c r="L1425" s="3" t="s">
        <v>185</v>
      </c>
      <c r="M1425" s="3" t="s">
        <v>186</v>
      </c>
      <c r="N1425" s="3" t="s">
        <v>54</v>
      </c>
      <c r="O1425" s="3" t="s">
        <v>104</v>
      </c>
      <c r="P1425" s="30">
        <v>47542.77</v>
      </c>
      <c r="Q1425" s="3" t="s">
        <v>85</v>
      </c>
      <c r="R1425" s="3">
        <v>9</v>
      </c>
      <c r="S1425" s="3">
        <v>320</v>
      </c>
      <c r="T1425" s="3">
        <v>32.5</v>
      </c>
      <c r="U1425" s="3" t="s">
        <v>32</v>
      </c>
      <c r="V1425" s="18" t="s">
        <v>33</v>
      </c>
    </row>
    <row r="1426" spans="1:22" ht="15" customHeight="1" x14ac:dyDescent="0.25">
      <c r="A1426" s="15" t="s">
        <v>2663</v>
      </c>
      <c r="B1426" s="1" t="s">
        <v>2664</v>
      </c>
      <c r="C1426">
        <v>68</v>
      </c>
      <c r="D1426" s="1" t="s">
        <v>82</v>
      </c>
      <c r="E1426" s="1" t="s">
        <v>48</v>
      </c>
      <c r="F1426" s="1" t="s">
        <v>24</v>
      </c>
      <c r="G1426" s="1" t="s">
        <v>50</v>
      </c>
      <c r="H1426" s="1" t="s">
        <v>26</v>
      </c>
      <c r="I1426" s="7">
        <v>45330</v>
      </c>
      <c r="J1426" s="7">
        <v>45340</v>
      </c>
      <c r="K1426" s="1">
        <v>10</v>
      </c>
      <c r="L1426" s="1" t="s">
        <v>112</v>
      </c>
      <c r="M1426" s="1" t="s">
        <v>40</v>
      </c>
      <c r="N1426" s="1" t="s">
        <v>54</v>
      </c>
      <c r="O1426" s="1" t="s">
        <v>30</v>
      </c>
      <c r="P1426" s="29">
        <v>58532.54</v>
      </c>
      <c r="Q1426" s="1" t="s">
        <v>144</v>
      </c>
      <c r="R1426" s="1">
        <v>9</v>
      </c>
      <c r="S1426" s="1">
        <v>367</v>
      </c>
      <c r="T1426" s="1">
        <v>19.7</v>
      </c>
      <c r="U1426" s="1" t="s">
        <v>32</v>
      </c>
      <c r="V1426" s="17" t="s">
        <v>33</v>
      </c>
    </row>
    <row r="1427" spans="1:22" ht="15" customHeight="1" x14ac:dyDescent="0.25">
      <c r="A1427" s="16" t="s">
        <v>2665</v>
      </c>
      <c r="B1427" s="3" t="s">
        <v>2466</v>
      </c>
      <c r="C1427">
        <v>63</v>
      </c>
      <c r="D1427" s="3" t="s">
        <v>59</v>
      </c>
      <c r="E1427" s="3" t="s">
        <v>48</v>
      </c>
      <c r="F1427" s="3" t="s">
        <v>49</v>
      </c>
      <c r="G1427" s="3" t="s">
        <v>38</v>
      </c>
      <c r="H1427" s="3" t="s">
        <v>26</v>
      </c>
      <c r="I1427" s="8">
        <v>44979</v>
      </c>
      <c r="J1427" s="8">
        <v>44983</v>
      </c>
      <c r="K1427" s="3">
        <v>4</v>
      </c>
      <c r="L1427" s="3" t="s">
        <v>112</v>
      </c>
      <c r="M1427" s="3" t="s">
        <v>40</v>
      </c>
      <c r="N1427" s="3" t="s">
        <v>173</v>
      </c>
      <c r="O1427" s="3" t="s">
        <v>66</v>
      </c>
      <c r="P1427" s="30">
        <v>51174.12</v>
      </c>
      <c r="Q1427" s="3" t="s">
        <v>43</v>
      </c>
      <c r="R1427" s="3">
        <v>7</v>
      </c>
      <c r="S1427" s="3">
        <v>386</v>
      </c>
      <c r="T1427" s="3">
        <v>24.2</v>
      </c>
      <c r="U1427" s="3" t="s">
        <v>32</v>
      </c>
      <c r="V1427" s="18" t="s">
        <v>33</v>
      </c>
    </row>
    <row r="1428" spans="1:22" ht="15" customHeight="1" x14ac:dyDescent="0.25">
      <c r="A1428" s="15" t="s">
        <v>2666</v>
      </c>
      <c r="B1428" s="1" t="s">
        <v>2667</v>
      </c>
      <c r="C1428">
        <v>53</v>
      </c>
      <c r="D1428" s="1" t="s">
        <v>98</v>
      </c>
      <c r="E1428" s="1" t="s">
        <v>48</v>
      </c>
      <c r="F1428" s="1" t="s">
        <v>155</v>
      </c>
      <c r="G1428" s="1" t="s">
        <v>38</v>
      </c>
      <c r="H1428" s="1" t="s">
        <v>51</v>
      </c>
      <c r="I1428" s="7">
        <v>43870</v>
      </c>
      <c r="J1428" s="7">
        <v>43876</v>
      </c>
      <c r="K1428" s="1">
        <v>6</v>
      </c>
      <c r="L1428" s="1" t="s">
        <v>89</v>
      </c>
      <c r="M1428" s="1" t="s">
        <v>90</v>
      </c>
      <c r="N1428" s="1" t="s">
        <v>173</v>
      </c>
      <c r="O1428" s="1" t="s">
        <v>30</v>
      </c>
      <c r="P1428" s="29">
        <v>21032.63</v>
      </c>
      <c r="Q1428" s="1" t="s">
        <v>305</v>
      </c>
      <c r="R1428" s="1">
        <v>7</v>
      </c>
      <c r="S1428" s="1">
        <v>182</v>
      </c>
      <c r="T1428" s="1">
        <v>39.9</v>
      </c>
      <c r="U1428" s="1" t="s">
        <v>44</v>
      </c>
      <c r="V1428" s="17" t="s">
        <v>33</v>
      </c>
    </row>
    <row r="1429" spans="1:22" ht="15" customHeight="1" x14ac:dyDescent="0.25">
      <c r="A1429" s="16" t="s">
        <v>2668</v>
      </c>
      <c r="B1429" s="3" t="s">
        <v>2669</v>
      </c>
      <c r="C1429">
        <v>58</v>
      </c>
      <c r="D1429" s="3" t="s">
        <v>59</v>
      </c>
      <c r="E1429" s="3" t="s">
        <v>23</v>
      </c>
      <c r="F1429" s="3" t="s">
        <v>37</v>
      </c>
      <c r="G1429" s="3" t="s">
        <v>77</v>
      </c>
      <c r="H1429" s="3" t="s">
        <v>26</v>
      </c>
      <c r="I1429" s="6">
        <v>43582</v>
      </c>
      <c r="J1429" s="8">
        <v>43587</v>
      </c>
      <c r="K1429" s="3">
        <v>5</v>
      </c>
      <c r="L1429" s="3" t="s">
        <v>132</v>
      </c>
      <c r="M1429" s="3" t="s">
        <v>53</v>
      </c>
      <c r="N1429" s="3" t="s">
        <v>84</v>
      </c>
      <c r="O1429" s="3" t="s">
        <v>42</v>
      </c>
      <c r="P1429" s="30">
        <v>153124.17000000001</v>
      </c>
      <c r="Q1429" s="3" t="s">
        <v>123</v>
      </c>
      <c r="R1429" s="3">
        <v>10</v>
      </c>
      <c r="S1429" s="3">
        <v>337</v>
      </c>
      <c r="T1429" s="3">
        <v>32.4</v>
      </c>
      <c r="U1429" s="3" t="s">
        <v>44</v>
      </c>
      <c r="V1429" s="18" t="s">
        <v>33</v>
      </c>
    </row>
    <row r="1430" spans="1:22" ht="15" customHeight="1" x14ac:dyDescent="0.25">
      <c r="A1430" s="15" t="s">
        <v>2670</v>
      </c>
      <c r="B1430" s="2" t="s">
        <v>3670</v>
      </c>
      <c r="C1430">
        <v>66</v>
      </c>
      <c r="D1430" s="1" t="s">
        <v>82</v>
      </c>
      <c r="E1430" s="1" t="s">
        <v>23</v>
      </c>
      <c r="F1430" s="1" t="s">
        <v>70</v>
      </c>
      <c r="G1430" s="1" t="s">
        <v>417</v>
      </c>
      <c r="H1430" s="1" t="s">
        <v>51</v>
      </c>
      <c r="I1430" s="7">
        <v>45211</v>
      </c>
      <c r="J1430" s="7">
        <v>45214</v>
      </c>
      <c r="K1430" s="1">
        <v>3</v>
      </c>
      <c r="L1430" s="1" t="s">
        <v>52</v>
      </c>
      <c r="M1430" s="1" t="s">
        <v>53</v>
      </c>
      <c r="N1430" s="1" t="s">
        <v>41</v>
      </c>
      <c r="O1430" s="1" t="s">
        <v>104</v>
      </c>
      <c r="P1430" s="29">
        <v>9296.65</v>
      </c>
      <c r="Q1430" s="1" t="s">
        <v>567</v>
      </c>
      <c r="R1430" s="1">
        <v>8</v>
      </c>
      <c r="S1430" s="1">
        <v>147</v>
      </c>
      <c r="T1430" s="1">
        <v>40.5</v>
      </c>
      <c r="U1430" s="1" t="s">
        <v>44</v>
      </c>
      <c r="V1430" s="17" t="s">
        <v>33</v>
      </c>
    </row>
    <row r="1431" spans="1:22" ht="15" customHeight="1" x14ac:dyDescent="0.25">
      <c r="A1431" s="16" t="s">
        <v>2671</v>
      </c>
      <c r="B1431" s="3" t="s">
        <v>2672</v>
      </c>
      <c r="C1431">
        <v>63</v>
      </c>
      <c r="D1431" s="3" t="s">
        <v>59</v>
      </c>
      <c r="E1431" s="3" t="s">
        <v>23</v>
      </c>
      <c r="F1431" s="3" t="s">
        <v>83</v>
      </c>
      <c r="G1431" s="3" t="s">
        <v>131</v>
      </c>
      <c r="H1431" s="3" t="s">
        <v>26</v>
      </c>
      <c r="I1431" s="8">
        <v>43839</v>
      </c>
      <c r="J1431" s="8">
        <v>43845</v>
      </c>
      <c r="K1431" s="3">
        <v>6</v>
      </c>
      <c r="L1431" s="3" t="s">
        <v>132</v>
      </c>
      <c r="M1431" s="3" t="s">
        <v>53</v>
      </c>
      <c r="N1431" s="3" t="s">
        <v>147</v>
      </c>
      <c r="O1431" s="3" t="s">
        <v>66</v>
      </c>
      <c r="P1431" s="30">
        <v>41762.94</v>
      </c>
      <c r="Q1431" s="3" t="s">
        <v>148</v>
      </c>
      <c r="R1431" s="3">
        <v>7</v>
      </c>
      <c r="S1431" s="3">
        <v>317</v>
      </c>
      <c r="T1431" s="3">
        <v>18.100000000000001</v>
      </c>
      <c r="U1431" s="3" t="s">
        <v>44</v>
      </c>
      <c r="V1431" s="18" t="s">
        <v>33</v>
      </c>
    </row>
    <row r="1432" spans="1:22" ht="15" customHeight="1" x14ac:dyDescent="0.25">
      <c r="A1432" s="15" t="s">
        <v>2673</v>
      </c>
      <c r="B1432" s="1" t="s">
        <v>2674</v>
      </c>
      <c r="C1432">
        <v>81</v>
      </c>
      <c r="D1432" s="1" t="s">
        <v>36</v>
      </c>
      <c r="E1432" s="1" t="s">
        <v>48</v>
      </c>
      <c r="F1432" s="1" t="s">
        <v>49</v>
      </c>
      <c r="G1432" s="1" t="s">
        <v>163</v>
      </c>
      <c r="H1432" s="1" t="s">
        <v>51</v>
      </c>
      <c r="I1432" s="7">
        <v>45327</v>
      </c>
      <c r="J1432" s="7">
        <v>45333</v>
      </c>
      <c r="K1432" s="1">
        <v>6</v>
      </c>
      <c r="L1432" s="1" t="s">
        <v>112</v>
      </c>
      <c r="M1432" s="1" t="s">
        <v>40</v>
      </c>
      <c r="N1432" s="1" t="s">
        <v>164</v>
      </c>
      <c r="O1432" s="1" t="s">
        <v>30</v>
      </c>
      <c r="P1432" s="29">
        <v>15454.56</v>
      </c>
      <c r="Q1432" s="1" t="s">
        <v>62</v>
      </c>
      <c r="R1432" s="1">
        <v>4</v>
      </c>
      <c r="S1432" s="1">
        <v>138</v>
      </c>
      <c r="T1432" s="1">
        <v>23.8</v>
      </c>
      <c r="U1432" s="1" t="s">
        <v>86</v>
      </c>
      <c r="V1432" s="17" t="s">
        <v>33</v>
      </c>
    </row>
    <row r="1433" spans="1:22" ht="15" customHeight="1" x14ac:dyDescent="0.25">
      <c r="A1433" s="16" t="s">
        <v>2675</v>
      </c>
      <c r="B1433" s="3" t="s">
        <v>1229</v>
      </c>
      <c r="C1433">
        <v>58</v>
      </c>
      <c r="D1433" s="3" t="s">
        <v>59</v>
      </c>
      <c r="E1433" s="3" t="s">
        <v>23</v>
      </c>
      <c r="F1433" s="3" t="s">
        <v>37</v>
      </c>
      <c r="G1433" s="3" t="s">
        <v>77</v>
      </c>
      <c r="H1433" s="3" t="s">
        <v>26</v>
      </c>
      <c r="I1433" s="6">
        <v>45038</v>
      </c>
      <c r="J1433" s="8">
        <v>45051</v>
      </c>
      <c r="K1433" s="3">
        <v>13</v>
      </c>
      <c r="L1433" s="3" t="s">
        <v>231</v>
      </c>
      <c r="M1433" s="3" t="s">
        <v>53</v>
      </c>
      <c r="N1433" s="3" t="s">
        <v>79</v>
      </c>
      <c r="O1433" s="3" t="s">
        <v>104</v>
      </c>
      <c r="P1433" s="30">
        <v>76067.990000000005</v>
      </c>
      <c r="Q1433" s="3" t="s">
        <v>100</v>
      </c>
      <c r="R1433" s="3">
        <v>9</v>
      </c>
      <c r="S1433" s="3">
        <v>321</v>
      </c>
      <c r="T1433" s="3">
        <v>24.3</v>
      </c>
      <c r="U1433" s="3" t="s">
        <v>32</v>
      </c>
      <c r="V1433" s="18" t="s">
        <v>33</v>
      </c>
    </row>
    <row r="1434" spans="1:22" ht="15" customHeight="1" x14ac:dyDescent="0.25">
      <c r="A1434" s="15" t="s">
        <v>2676</v>
      </c>
      <c r="B1434" s="2" t="s">
        <v>1976</v>
      </c>
      <c r="C1434">
        <v>86</v>
      </c>
      <c r="D1434" s="1" t="s">
        <v>36</v>
      </c>
      <c r="E1434" s="1" t="s">
        <v>23</v>
      </c>
      <c r="F1434" s="1" t="s">
        <v>49</v>
      </c>
      <c r="G1434" s="1" t="s">
        <v>131</v>
      </c>
      <c r="H1434" s="1" t="s">
        <v>78</v>
      </c>
      <c r="I1434" s="6">
        <v>45096</v>
      </c>
      <c r="J1434" s="7">
        <v>45099</v>
      </c>
      <c r="K1434" s="1">
        <v>3</v>
      </c>
      <c r="L1434" s="1" t="s">
        <v>89</v>
      </c>
      <c r="M1434" s="1" t="s">
        <v>90</v>
      </c>
      <c r="N1434" s="1" t="s">
        <v>157</v>
      </c>
      <c r="O1434" s="1" t="s">
        <v>30</v>
      </c>
      <c r="P1434" s="29">
        <v>14105</v>
      </c>
      <c r="Q1434" s="1" t="s">
        <v>695</v>
      </c>
      <c r="R1434" s="1">
        <v>7</v>
      </c>
      <c r="S1434" s="1">
        <v>427</v>
      </c>
      <c r="T1434" s="1">
        <v>33.200000000000003</v>
      </c>
      <c r="U1434" s="1" t="s">
        <v>86</v>
      </c>
      <c r="V1434" s="17" t="s">
        <v>45</v>
      </c>
    </row>
    <row r="1435" spans="1:22" ht="15" customHeight="1" x14ac:dyDescent="0.25">
      <c r="A1435" s="16" t="s">
        <v>2677</v>
      </c>
      <c r="B1435" s="3" t="s">
        <v>251</v>
      </c>
      <c r="C1435">
        <v>13</v>
      </c>
      <c r="D1435" s="3" t="s">
        <v>22</v>
      </c>
      <c r="E1435" s="3" t="s">
        <v>23</v>
      </c>
      <c r="F1435" s="3" t="s">
        <v>76</v>
      </c>
      <c r="G1435" s="3" t="s">
        <v>77</v>
      </c>
      <c r="H1435" s="3" t="s">
        <v>51</v>
      </c>
      <c r="I1435" s="6">
        <v>43575</v>
      </c>
      <c r="J1435" s="8">
        <v>43581</v>
      </c>
      <c r="K1435" s="3">
        <v>6</v>
      </c>
      <c r="L1435" s="3" t="s">
        <v>132</v>
      </c>
      <c r="M1435" s="3" t="s">
        <v>53</v>
      </c>
      <c r="N1435" s="3" t="s">
        <v>94</v>
      </c>
      <c r="O1435" s="3" t="s">
        <v>42</v>
      </c>
      <c r="P1435" s="30">
        <v>37711.410000000003</v>
      </c>
      <c r="Q1435" s="3" t="s">
        <v>592</v>
      </c>
      <c r="R1435" s="3">
        <v>6</v>
      </c>
      <c r="S1435" s="3">
        <v>172</v>
      </c>
      <c r="T1435" s="3">
        <v>30.5</v>
      </c>
      <c r="U1435" s="3" t="s">
        <v>44</v>
      </c>
      <c r="V1435" s="18" t="s">
        <v>33</v>
      </c>
    </row>
    <row r="1436" spans="1:22" ht="15" customHeight="1" x14ac:dyDescent="0.25">
      <c r="A1436" s="15" t="s">
        <v>2678</v>
      </c>
      <c r="B1436" s="1" t="s">
        <v>2679</v>
      </c>
      <c r="C1436">
        <v>57</v>
      </c>
      <c r="D1436" s="1" t="s">
        <v>59</v>
      </c>
      <c r="E1436" s="1" t="s">
        <v>48</v>
      </c>
      <c r="F1436" s="1" t="s">
        <v>76</v>
      </c>
      <c r="G1436" s="1" t="s">
        <v>131</v>
      </c>
      <c r="H1436" s="1" t="s">
        <v>26</v>
      </c>
      <c r="I1436" s="7">
        <v>45613</v>
      </c>
      <c r="J1436" s="7">
        <v>45618</v>
      </c>
      <c r="K1436" s="1">
        <v>5</v>
      </c>
      <c r="L1436" s="1" t="s">
        <v>27</v>
      </c>
      <c r="M1436" s="1" t="s">
        <v>28</v>
      </c>
      <c r="N1436" s="1" t="s">
        <v>157</v>
      </c>
      <c r="O1436" s="1" t="s">
        <v>30</v>
      </c>
      <c r="P1436" s="29">
        <v>27415.9</v>
      </c>
      <c r="Q1436" s="1" t="s">
        <v>148</v>
      </c>
      <c r="R1436" s="1">
        <v>6</v>
      </c>
      <c r="S1436" s="1">
        <v>333</v>
      </c>
      <c r="T1436" s="1">
        <v>21.1</v>
      </c>
      <c r="U1436" s="1" t="s">
        <v>32</v>
      </c>
      <c r="V1436" s="17" t="s">
        <v>45</v>
      </c>
    </row>
    <row r="1437" spans="1:22" ht="15" customHeight="1" x14ac:dyDescent="0.25">
      <c r="A1437" s="16" t="s">
        <v>2680</v>
      </c>
      <c r="B1437" s="2" t="s">
        <v>3671</v>
      </c>
      <c r="C1437">
        <v>40</v>
      </c>
      <c r="D1437" s="3" t="s">
        <v>98</v>
      </c>
      <c r="E1437" s="3" t="s">
        <v>48</v>
      </c>
      <c r="F1437" s="3" t="s">
        <v>76</v>
      </c>
      <c r="G1437" s="3" t="s">
        <v>25</v>
      </c>
      <c r="H1437" s="3" t="s">
        <v>51</v>
      </c>
      <c r="I1437" s="8">
        <v>44352</v>
      </c>
      <c r="J1437" s="8">
        <v>44360</v>
      </c>
      <c r="K1437" s="3">
        <v>8</v>
      </c>
      <c r="L1437" s="3" t="s">
        <v>52</v>
      </c>
      <c r="M1437" s="3" t="s">
        <v>53</v>
      </c>
      <c r="N1437" s="3" t="s">
        <v>65</v>
      </c>
      <c r="O1437" s="3" t="s">
        <v>42</v>
      </c>
      <c r="P1437" s="30">
        <v>101953.82</v>
      </c>
      <c r="Q1437" s="3" t="s">
        <v>67</v>
      </c>
      <c r="R1437" s="3">
        <v>12</v>
      </c>
      <c r="S1437" s="3">
        <v>123</v>
      </c>
      <c r="T1437" s="3">
        <v>14</v>
      </c>
      <c r="U1437" s="3" t="s">
        <v>44</v>
      </c>
      <c r="V1437" s="18" t="s">
        <v>33</v>
      </c>
    </row>
    <row r="1438" spans="1:22" ht="15" customHeight="1" x14ac:dyDescent="0.25">
      <c r="A1438" s="15" t="s">
        <v>2681</v>
      </c>
      <c r="B1438" s="1" t="s">
        <v>2682</v>
      </c>
      <c r="C1438">
        <v>66</v>
      </c>
      <c r="D1438" s="1" t="s">
        <v>82</v>
      </c>
      <c r="E1438" s="1" t="s">
        <v>23</v>
      </c>
      <c r="F1438" s="1" t="s">
        <v>83</v>
      </c>
      <c r="G1438" s="1" t="s">
        <v>77</v>
      </c>
      <c r="H1438" s="1" t="s">
        <v>51</v>
      </c>
      <c r="I1438" s="7">
        <v>44649</v>
      </c>
      <c r="J1438" s="7">
        <v>44655</v>
      </c>
      <c r="K1438" s="1">
        <v>6</v>
      </c>
      <c r="L1438" s="1" t="s">
        <v>185</v>
      </c>
      <c r="M1438" s="1" t="s">
        <v>186</v>
      </c>
      <c r="N1438" s="1" t="s">
        <v>84</v>
      </c>
      <c r="O1438" s="1" t="s">
        <v>42</v>
      </c>
      <c r="P1438" s="29">
        <v>29390.080000000002</v>
      </c>
      <c r="Q1438" s="1" t="s">
        <v>109</v>
      </c>
      <c r="R1438" s="1">
        <v>9</v>
      </c>
      <c r="S1438" s="1">
        <v>162</v>
      </c>
      <c r="T1438" s="4"/>
      <c r="U1438" s="1" t="s">
        <v>86</v>
      </c>
      <c r="V1438" s="17" t="s">
        <v>33</v>
      </c>
    </row>
    <row r="1439" spans="1:22" ht="15" customHeight="1" x14ac:dyDescent="0.25">
      <c r="A1439" s="16" t="s">
        <v>2683</v>
      </c>
      <c r="B1439" s="3" t="s">
        <v>896</v>
      </c>
      <c r="C1439">
        <v>55</v>
      </c>
      <c r="D1439" s="3" t="s">
        <v>59</v>
      </c>
      <c r="E1439" s="3" t="s">
        <v>48</v>
      </c>
      <c r="F1439" s="3" t="s">
        <v>76</v>
      </c>
      <c r="G1439" s="3" t="s">
        <v>38</v>
      </c>
      <c r="H1439" s="3" t="s">
        <v>51</v>
      </c>
      <c r="I1439" s="8">
        <v>44052</v>
      </c>
      <c r="J1439" s="8">
        <v>44173</v>
      </c>
      <c r="K1439" s="3">
        <v>3</v>
      </c>
      <c r="L1439" s="3" t="s">
        <v>231</v>
      </c>
      <c r="M1439" s="3" t="s">
        <v>53</v>
      </c>
      <c r="N1439" s="3" t="s">
        <v>173</v>
      </c>
      <c r="O1439" s="3" t="s">
        <v>66</v>
      </c>
      <c r="P1439" s="30">
        <v>19875</v>
      </c>
      <c r="Q1439" s="3" t="s">
        <v>119</v>
      </c>
      <c r="R1439" s="3">
        <v>8</v>
      </c>
      <c r="S1439" s="3">
        <v>127</v>
      </c>
      <c r="T1439" s="3">
        <v>29.6</v>
      </c>
      <c r="U1439" s="3" t="s">
        <v>44</v>
      </c>
      <c r="V1439" s="18" t="s">
        <v>45</v>
      </c>
    </row>
    <row r="1440" spans="1:22" ht="15" customHeight="1" x14ac:dyDescent="0.25">
      <c r="A1440" s="15" t="s">
        <v>2684</v>
      </c>
      <c r="B1440" s="2" t="s">
        <v>3672</v>
      </c>
      <c r="C1440">
        <v>66</v>
      </c>
      <c r="D1440" s="1" t="s">
        <v>82</v>
      </c>
      <c r="E1440" s="1" t="s">
        <v>48</v>
      </c>
      <c r="F1440" s="1" t="s">
        <v>49</v>
      </c>
      <c r="G1440" s="1" t="s">
        <v>131</v>
      </c>
      <c r="H1440" s="1" t="s">
        <v>26</v>
      </c>
      <c r="I1440" s="6">
        <v>43550</v>
      </c>
      <c r="J1440" s="7">
        <v>43528</v>
      </c>
      <c r="K1440" s="1">
        <v>8</v>
      </c>
      <c r="L1440" s="1" t="s">
        <v>39</v>
      </c>
      <c r="M1440" s="1" t="s">
        <v>40</v>
      </c>
      <c r="N1440" s="1" t="s">
        <v>157</v>
      </c>
      <c r="O1440" s="1" t="s">
        <v>55</v>
      </c>
      <c r="P1440" s="29">
        <v>45660.14</v>
      </c>
      <c r="Q1440" s="1" t="s">
        <v>148</v>
      </c>
      <c r="R1440" s="1">
        <v>7</v>
      </c>
      <c r="S1440" s="1">
        <v>325</v>
      </c>
      <c r="T1440" s="1">
        <v>38.799999999999997</v>
      </c>
      <c r="U1440" s="1" t="s">
        <v>44</v>
      </c>
      <c r="V1440" s="17" t="s">
        <v>33</v>
      </c>
    </row>
    <row r="1441" spans="1:22" ht="15" customHeight="1" x14ac:dyDescent="0.25">
      <c r="A1441" s="16" t="s">
        <v>2685</v>
      </c>
      <c r="B1441" s="2" t="s">
        <v>3673</v>
      </c>
      <c r="C1441">
        <v>88</v>
      </c>
      <c r="D1441" s="3" t="s">
        <v>36</v>
      </c>
      <c r="E1441" s="3" t="s">
        <v>48</v>
      </c>
      <c r="F1441" s="3" t="s">
        <v>37</v>
      </c>
      <c r="G1441" s="3" t="s">
        <v>50</v>
      </c>
      <c r="H1441" s="3" t="s">
        <v>26</v>
      </c>
      <c r="I1441" s="6">
        <v>45209</v>
      </c>
      <c r="J1441" s="8">
        <v>45220</v>
      </c>
      <c r="K1441" s="3">
        <v>11</v>
      </c>
      <c r="L1441" s="3" t="s">
        <v>185</v>
      </c>
      <c r="M1441" s="3" t="s">
        <v>186</v>
      </c>
      <c r="N1441" s="3" t="s">
        <v>116</v>
      </c>
      <c r="O1441" s="3" t="s">
        <v>30</v>
      </c>
      <c r="P1441" s="30">
        <v>51613.279999999999</v>
      </c>
      <c r="Q1441" s="3" t="s">
        <v>194</v>
      </c>
      <c r="R1441" s="3">
        <v>9</v>
      </c>
      <c r="S1441" s="3">
        <v>302</v>
      </c>
      <c r="T1441" s="3">
        <v>14</v>
      </c>
      <c r="U1441" s="3" t="s">
        <v>44</v>
      </c>
      <c r="V1441" s="18" t="s">
        <v>45</v>
      </c>
    </row>
    <row r="1442" spans="1:22" ht="15" customHeight="1" x14ac:dyDescent="0.25">
      <c r="A1442" s="15" t="s">
        <v>2686</v>
      </c>
      <c r="B1442" s="1" t="s">
        <v>2509</v>
      </c>
      <c r="C1442">
        <v>74</v>
      </c>
      <c r="D1442" s="1" t="s">
        <v>82</v>
      </c>
      <c r="E1442" s="1" t="s">
        <v>23</v>
      </c>
      <c r="F1442" s="1" t="s">
        <v>99</v>
      </c>
      <c r="G1442" s="1" t="s">
        <v>71</v>
      </c>
      <c r="H1442" s="1" t="s">
        <v>51</v>
      </c>
      <c r="I1442" s="7">
        <v>45588</v>
      </c>
      <c r="J1442" s="7">
        <v>45591</v>
      </c>
      <c r="K1442" s="1">
        <v>3</v>
      </c>
      <c r="L1442" s="1" t="s">
        <v>89</v>
      </c>
      <c r="M1442" s="1" t="s">
        <v>90</v>
      </c>
      <c r="N1442" s="1" t="s">
        <v>72</v>
      </c>
      <c r="O1442" s="1" t="s">
        <v>66</v>
      </c>
      <c r="P1442" s="29">
        <v>20850.68</v>
      </c>
      <c r="Q1442" s="1" t="s">
        <v>374</v>
      </c>
      <c r="R1442" s="1">
        <v>3</v>
      </c>
      <c r="S1442" s="1">
        <v>153</v>
      </c>
      <c r="T1442" s="1">
        <v>35.5</v>
      </c>
      <c r="U1442" s="1" t="s">
        <v>32</v>
      </c>
      <c r="V1442" s="17" t="s">
        <v>33</v>
      </c>
    </row>
    <row r="1443" spans="1:22" ht="15" customHeight="1" x14ac:dyDescent="0.25">
      <c r="A1443" s="16" t="s">
        <v>2687</v>
      </c>
      <c r="B1443" s="3" t="s">
        <v>1760</v>
      </c>
      <c r="C1443">
        <v>60</v>
      </c>
      <c r="D1443" s="3" t="s">
        <v>59</v>
      </c>
      <c r="E1443" s="3" t="s">
        <v>23</v>
      </c>
      <c r="F1443" s="2" t="s">
        <v>3714</v>
      </c>
      <c r="G1443" s="3" t="s">
        <v>77</v>
      </c>
      <c r="H1443" s="3" t="s">
        <v>26</v>
      </c>
      <c r="I1443" s="8">
        <v>43999</v>
      </c>
      <c r="J1443" s="8">
        <v>43837</v>
      </c>
      <c r="K1443" s="3">
        <v>14</v>
      </c>
      <c r="L1443" s="3" t="s">
        <v>231</v>
      </c>
      <c r="M1443" s="3" t="s">
        <v>53</v>
      </c>
      <c r="N1443" s="3" t="s">
        <v>79</v>
      </c>
      <c r="O1443" s="3" t="s">
        <v>30</v>
      </c>
      <c r="P1443" s="30">
        <v>98107.39</v>
      </c>
      <c r="Q1443" s="3" t="s">
        <v>80</v>
      </c>
      <c r="R1443" s="3">
        <v>10</v>
      </c>
      <c r="S1443" s="3">
        <v>329</v>
      </c>
      <c r="T1443" s="3">
        <v>28.2</v>
      </c>
      <c r="U1443" s="3" t="s">
        <v>44</v>
      </c>
      <c r="V1443" s="18" t="s">
        <v>33</v>
      </c>
    </row>
    <row r="1444" spans="1:22" ht="15" customHeight="1" x14ac:dyDescent="0.25">
      <c r="A1444" s="15" t="s">
        <v>2688</v>
      </c>
      <c r="B1444" s="1" t="s">
        <v>2689</v>
      </c>
      <c r="C1444">
        <v>61</v>
      </c>
      <c r="D1444" s="1" t="s">
        <v>59</v>
      </c>
      <c r="E1444" s="1" t="s">
        <v>23</v>
      </c>
      <c r="F1444" s="1" t="s">
        <v>99</v>
      </c>
      <c r="G1444" s="1" t="s">
        <v>131</v>
      </c>
      <c r="H1444" s="1" t="s">
        <v>26</v>
      </c>
      <c r="I1444" s="7">
        <v>43753</v>
      </c>
      <c r="J1444" s="7">
        <v>43765</v>
      </c>
      <c r="K1444" s="1">
        <v>12</v>
      </c>
      <c r="L1444" s="1" t="s">
        <v>52</v>
      </c>
      <c r="M1444" s="1" t="s">
        <v>53</v>
      </c>
      <c r="N1444" s="1" t="s">
        <v>147</v>
      </c>
      <c r="O1444" s="1" t="s">
        <v>55</v>
      </c>
      <c r="P1444" s="29">
        <v>26020.16</v>
      </c>
      <c r="Q1444" s="1" t="s">
        <v>158</v>
      </c>
      <c r="R1444" s="1">
        <v>7</v>
      </c>
      <c r="S1444" s="1">
        <v>359</v>
      </c>
      <c r="T1444" s="1">
        <v>25.3</v>
      </c>
      <c r="U1444" s="1" t="s">
        <v>44</v>
      </c>
      <c r="V1444" s="17" t="s">
        <v>33</v>
      </c>
    </row>
    <row r="1445" spans="1:22" ht="15" customHeight="1" x14ac:dyDescent="0.25">
      <c r="A1445" s="16" t="s">
        <v>2690</v>
      </c>
      <c r="B1445" s="3" t="s">
        <v>2691</v>
      </c>
      <c r="C1445">
        <v>66</v>
      </c>
      <c r="D1445" s="3" t="s">
        <v>82</v>
      </c>
      <c r="E1445" s="3" t="s">
        <v>23</v>
      </c>
      <c r="F1445" s="3" t="s">
        <v>99</v>
      </c>
      <c r="G1445" s="3" t="s">
        <v>665</v>
      </c>
      <c r="H1445" s="3" t="s">
        <v>51</v>
      </c>
      <c r="I1445" s="8">
        <v>45367</v>
      </c>
      <c r="J1445" s="8">
        <v>45377</v>
      </c>
      <c r="K1445" s="3">
        <v>10</v>
      </c>
      <c r="L1445" s="3" t="s">
        <v>52</v>
      </c>
      <c r="M1445" s="3" t="s">
        <v>53</v>
      </c>
      <c r="N1445" s="3" t="s">
        <v>126</v>
      </c>
      <c r="O1445" s="3" t="s">
        <v>30</v>
      </c>
      <c r="P1445" s="30">
        <v>21729.18</v>
      </c>
      <c r="Q1445" s="3" t="s">
        <v>144</v>
      </c>
      <c r="R1445" s="3">
        <v>9</v>
      </c>
      <c r="S1445" s="3">
        <v>139</v>
      </c>
      <c r="T1445" s="3">
        <v>24.6</v>
      </c>
      <c r="U1445" s="3" t="s">
        <v>32</v>
      </c>
      <c r="V1445" s="18" t="s">
        <v>45</v>
      </c>
    </row>
    <row r="1446" spans="1:22" ht="15" customHeight="1" x14ac:dyDescent="0.25">
      <c r="A1446" s="15" t="s">
        <v>2692</v>
      </c>
      <c r="B1446" s="1" t="s">
        <v>2693</v>
      </c>
      <c r="C1446">
        <v>18</v>
      </c>
      <c r="D1446" s="1" t="s">
        <v>47</v>
      </c>
      <c r="E1446" s="1" t="s">
        <v>23</v>
      </c>
      <c r="F1446" s="1" t="s">
        <v>70</v>
      </c>
      <c r="G1446" s="1" t="s">
        <v>71</v>
      </c>
      <c r="H1446" s="1" t="s">
        <v>78</v>
      </c>
      <c r="I1446" s="7">
        <v>44669</v>
      </c>
      <c r="J1446" s="7">
        <v>44670</v>
      </c>
      <c r="K1446" s="1">
        <v>1</v>
      </c>
      <c r="L1446" s="1" t="s">
        <v>102</v>
      </c>
      <c r="M1446" s="1" t="s">
        <v>28</v>
      </c>
      <c r="N1446" s="1" t="s">
        <v>312</v>
      </c>
      <c r="O1446" s="1" t="s">
        <v>30</v>
      </c>
      <c r="P1446" s="29">
        <v>8820.2900000000009</v>
      </c>
      <c r="Q1446" s="1" t="s">
        <v>503</v>
      </c>
      <c r="R1446" s="1">
        <v>4</v>
      </c>
      <c r="S1446" s="1">
        <v>443</v>
      </c>
      <c r="T1446" s="1">
        <v>26.7</v>
      </c>
      <c r="U1446" s="1" t="s">
        <v>32</v>
      </c>
      <c r="V1446" s="17" t="s">
        <v>33</v>
      </c>
    </row>
    <row r="1447" spans="1:22" ht="15" customHeight="1" x14ac:dyDescent="0.25">
      <c r="A1447" s="16" t="s">
        <v>2694</v>
      </c>
      <c r="B1447" s="3" t="s">
        <v>2695</v>
      </c>
      <c r="C1447">
        <v>82</v>
      </c>
      <c r="D1447" s="3" t="s">
        <v>36</v>
      </c>
      <c r="E1447" s="3" t="s">
        <v>48</v>
      </c>
      <c r="F1447" s="3" t="s">
        <v>49</v>
      </c>
      <c r="G1447" s="3" t="s">
        <v>163</v>
      </c>
      <c r="H1447" s="3" t="s">
        <v>26</v>
      </c>
      <c r="I1447" s="8">
        <v>45048</v>
      </c>
      <c r="J1447" s="10"/>
      <c r="K1447" s="3"/>
      <c r="L1447" s="3" t="s">
        <v>132</v>
      </c>
      <c r="M1447" s="3" t="s">
        <v>53</v>
      </c>
      <c r="N1447" s="3" t="s">
        <v>213</v>
      </c>
      <c r="O1447" s="3" t="s">
        <v>42</v>
      </c>
      <c r="P1447" s="30">
        <v>86997.29</v>
      </c>
      <c r="Q1447" s="3" t="s">
        <v>62</v>
      </c>
      <c r="R1447" s="3">
        <v>6</v>
      </c>
      <c r="S1447" s="3">
        <v>469</v>
      </c>
      <c r="T1447" s="3">
        <v>23.5</v>
      </c>
      <c r="U1447" s="3" t="s">
        <v>44</v>
      </c>
      <c r="V1447" s="18" t="s">
        <v>33</v>
      </c>
    </row>
    <row r="1448" spans="1:22" ht="15" customHeight="1" x14ac:dyDescent="0.25">
      <c r="A1448" s="15" t="s">
        <v>2696</v>
      </c>
      <c r="B1448" s="1" t="s">
        <v>2697</v>
      </c>
      <c r="C1448">
        <v>24</v>
      </c>
      <c r="D1448" s="1" t="s">
        <v>47</v>
      </c>
      <c r="E1448" s="1" t="s">
        <v>48</v>
      </c>
      <c r="F1448" s="1" t="s">
        <v>83</v>
      </c>
      <c r="G1448" s="1" t="s">
        <v>25</v>
      </c>
      <c r="H1448" s="1" t="s">
        <v>51</v>
      </c>
      <c r="I1448" s="7">
        <v>44027</v>
      </c>
      <c r="J1448" s="7">
        <v>44041</v>
      </c>
      <c r="K1448" s="1">
        <v>14</v>
      </c>
      <c r="L1448" s="1" t="s">
        <v>39</v>
      </c>
      <c r="M1448" s="1" t="s">
        <v>40</v>
      </c>
      <c r="N1448" s="1" t="s">
        <v>248</v>
      </c>
      <c r="O1448" s="1" t="s">
        <v>55</v>
      </c>
      <c r="P1448" s="29">
        <v>20420</v>
      </c>
      <c r="Q1448" s="1" t="s">
        <v>31</v>
      </c>
      <c r="R1448" s="1">
        <v>12</v>
      </c>
      <c r="S1448" s="1">
        <v>167</v>
      </c>
      <c r="T1448" s="1">
        <v>20.6</v>
      </c>
      <c r="U1448" s="1" t="s">
        <v>32</v>
      </c>
      <c r="V1448" s="17" t="s">
        <v>33</v>
      </c>
    </row>
    <row r="1449" spans="1:22" ht="15" customHeight="1" x14ac:dyDescent="0.25">
      <c r="A1449" s="16" t="s">
        <v>2698</v>
      </c>
      <c r="B1449" s="3" t="s">
        <v>699</v>
      </c>
      <c r="C1449">
        <v>71</v>
      </c>
      <c r="D1449" s="3" t="s">
        <v>82</v>
      </c>
      <c r="E1449" s="3" t="s">
        <v>48</v>
      </c>
      <c r="F1449" s="3" t="s">
        <v>83</v>
      </c>
      <c r="G1449" s="3" t="s">
        <v>71</v>
      </c>
      <c r="H1449" s="3" t="s">
        <v>26</v>
      </c>
      <c r="I1449" s="8">
        <v>45526</v>
      </c>
      <c r="J1449" s="8">
        <v>45529</v>
      </c>
      <c r="K1449" s="3">
        <v>3</v>
      </c>
      <c r="L1449" s="3" t="s">
        <v>185</v>
      </c>
      <c r="M1449" s="3" t="s">
        <v>186</v>
      </c>
      <c r="N1449" s="3" t="s">
        <v>72</v>
      </c>
      <c r="O1449" s="3" t="s">
        <v>42</v>
      </c>
      <c r="P1449" s="30">
        <v>20979</v>
      </c>
      <c r="Q1449" s="3" t="s">
        <v>374</v>
      </c>
      <c r="R1449" s="3">
        <v>5</v>
      </c>
      <c r="S1449" s="3">
        <v>472</v>
      </c>
      <c r="T1449" s="3">
        <v>33.9</v>
      </c>
      <c r="U1449" s="3" t="s">
        <v>32</v>
      </c>
      <c r="V1449" s="18" t="s">
        <v>33</v>
      </c>
    </row>
    <row r="1450" spans="1:22" ht="15" customHeight="1" x14ac:dyDescent="0.25">
      <c r="A1450" s="15" t="s">
        <v>2699</v>
      </c>
      <c r="B1450" s="1" t="s">
        <v>2700</v>
      </c>
      <c r="C1450">
        <v>73</v>
      </c>
      <c r="D1450" s="1" t="s">
        <v>82</v>
      </c>
      <c r="E1450" s="1" t="s">
        <v>48</v>
      </c>
      <c r="F1450" s="1" t="s">
        <v>99</v>
      </c>
      <c r="G1450" s="1" t="s">
        <v>131</v>
      </c>
      <c r="H1450" s="1" t="s">
        <v>26</v>
      </c>
      <c r="I1450" s="7">
        <v>44665</v>
      </c>
      <c r="J1450" s="7">
        <v>44671</v>
      </c>
      <c r="K1450" s="1">
        <v>6</v>
      </c>
      <c r="L1450" s="1" t="s">
        <v>39</v>
      </c>
      <c r="M1450" s="1" t="s">
        <v>40</v>
      </c>
      <c r="N1450" s="1" t="s">
        <v>157</v>
      </c>
      <c r="O1450" s="1" t="s">
        <v>42</v>
      </c>
      <c r="P1450" s="29">
        <v>76855.95</v>
      </c>
      <c r="Q1450" s="1" t="s">
        <v>152</v>
      </c>
      <c r="R1450" s="1">
        <v>3</v>
      </c>
      <c r="S1450" s="1">
        <v>337</v>
      </c>
      <c r="T1450" s="1">
        <v>34.1</v>
      </c>
      <c r="U1450" s="1" t="s">
        <v>44</v>
      </c>
      <c r="V1450" s="17" t="s">
        <v>33</v>
      </c>
    </row>
    <row r="1451" spans="1:22" ht="15" customHeight="1" x14ac:dyDescent="0.25">
      <c r="A1451" s="16" t="s">
        <v>2701</v>
      </c>
      <c r="B1451" s="2" t="s">
        <v>3674</v>
      </c>
      <c r="C1451">
        <v>11</v>
      </c>
      <c r="D1451" s="3" t="s">
        <v>22</v>
      </c>
      <c r="E1451" s="3" t="s">
        <v>48</v>
      </c>
      <c r="F1451" s="2" t="s">
        <v>3714</v>
      </c>
      <c r="G1451" s="3" t="s">
        <v>77</v>
      </c>
      <c r="H1451" s="3" t="s">
        <v>26</v>
      </c>
      <c r="I1451" s="8">
        <v>45628</v>
      </c>
      <c r="J1451" s="8">
        <v>45642</v>
      </c>
      <c r="K1451" s="3">
        <v>14</v>
      </c>
      <c r="L1451" s="3" t="s">
        <v>132</v>
      </c>
      <c r="M1451" s="3" t="s">
        <v>53</v>
      </c>
      <c r="N1451" s="3" t="s">
        <v>94</v>
      </c>
      <c r="O1451" s="3" t="s">
        <v>104</v>
      </c>
      <c r="P1451" s="30">
        <v>10677.73</v>
      </c>
      <c r="Q1451" s="3" t="s">
        <v>592</v>
      </c>
      <c r="R1451" s="3">
        <v>9</v>
      </c>
      <c r="S1451" s="3">
        <v>383</v>
      </c>
      <c r="T1451" s="3">
        <v>32.4</v>
      </c>
      <c r="U1451" s="3" t="s">
        <v>44</v>
      </c>
      <c r="V1451" s="18" t="s">
        <v>33</v>
      </c>
    </row>
    <row r="1452" spans="1:22" ht="15" customHeight="1" x14ac:dyDescent="0.25">
      <c r="A1452" s="15" t="s">
        <v>2702</v>
      </c>
      <c r="B1452" s="1" t="s">
        <v>2703</v>
      </c>
      <c r="C1452">
        <v>70</v>
      </c>
      <c r="D1452" s="1" t="s">
        <v>82</v>
      </c>
      <c r="E1452" s="1" t="s">
        <v>23</v>
      </c>
      <c r="F1452" s="1" t="s">
        <v>37</v>
      </c>
      <c r="G1452" s="1" t="s">
        <v>131</v>
      </c>
      <c r="H1452" s="1" t="s">
        <v>26</v>
      </c>
      <c r="I1452" s="7">
        <v>44741</v>
      </c>
      <c r="J1452" s="7">
        <v>44745</v>
      </c>
      <c r="K1452" s="1">
        <v>4</v>
      </c>
      <c r="L1452" s="1" t="s">
        <v>132</v>
      </c>
      <c r="M1452" s="1" t="s">
        <v>53</v>
      </c>
      <c r="N1452" s="1" t="s">
        <v>133</v>
      </c>
      <c r="O1452" s="1" t="s">
        <v>42</v>
      </c>
      <c r="P1452" s="29">
        <v>27989.84</v>
      </c>
      <c r="Q1452" s="1" t="s">
        <v>291</v>
      </c>
      <c r="R1452" s="1">
        <v>7</v>
      </c>
      <c r="S1452" s="1">
        <v>343</v>
      </c>
      <c r="T1452" s="1">
        <v>17</v>
      </c>
      <c r="U1452" s="1" t="s">
        <v>44</v>
      </c>
      <c r="V1452" s="17" t="s">
        <v>33</v>
      </c>
    </row>
    <row r="1453" spans="1:22" ht="15" customHeight="1" x14ac:dyDescent="0.25">
      <c r="A1453" s="16" t="s">
        <v>2704</v>
      </c>
      <c r="B1453" s="3" t="s">
        <v>2548</v>
      </c>
      <c r="C1453">
        <v>66</v>
      </c>
      <c r="D1453" s="3" t="s">
        <v>82</v>
      </c>
      <c r="E1453" s="3" t="s">
        <v>23</v>
      </c>
      <c r="F1453" s="3" t="s">
        <v>49</v>
      </c>
      <c r="G1453" s="3" t="s">
        <v>38</v>
      </c>
      <c r="H1453" s="3" t="s">
        <v>51</v>
      </c>
      <c r="I1453" s="6">
        <v>43750</v>
      </c>
      <c r="J1453" s="8">
        <v>43815</v>
      </c>
      <c r="K1453" s="3">
        <v>6</v>
      </c>
      <c r="L1453" s="3" t="s">
        <v>52</v>
      </c>
      <c r="M1453" s="3" t="s">
        <v>53</v>
      </c>
      <c r="N1453" s="3" t="s">
        <v>203</v>
      </c>
      <c r="O1453" s="3" t="s">
        <v>30</v>
      </c>
      <c r="P1453" s="30">
        <v>18105.45</v>
      </c>
      <c r="Q1453" s="3" t="s">
        <v>437</v>
      </c>
      <c r="R1453" s="3">
        <v>8</v>
      </c>
      <c r="S1453" s="3">
        <v>100</v>
      </c>
      <c r="T1453" s="3">
        <v>22.8</v>
      </c>
      <c r="U1453" s="3" t="s">
        <v>32</v>
      </c>
      <c r="V1453" s="18" t="s">
        <v>45</v>
      </c>
    </row>
    <row r="1454" spans="1:22" ht="15" customHeight="1" x14ac:dyDescent="0.25">
      <c r="A1454" s="15" t="s">
        <v>2705</v>
      </c>
      <c r="B1454" s="1" t="s">
        <v>2706</v>
      </c>
      <c r="C1454">
        <v>62</v>
      </c>
      <c r="D1454" s="1" t="s">
        <v>59</v>
      </c>
      <c r="E1454" s="1" t="s">
        <v>48</v>
      </c>
      <c r="F1454" s="1" t="s">
        <v>99</v>
      </c>
      <c r="G1454" s="1" t="s">
        <v>38</v>
      </c>
      <c r="H1454" s="1" t="s">
        <v>51</v>
      </c>
      <c r="I1454" s="6">
        <v>45267</v>
      </c>
      <c r="J1454" s="7">
        <v>45274</v>
      </c>
      <c r="K1454" s="1">
        <v>7</v>
      </c>
      <c r="L1454" s="1" t="s">
        <v>132</v>
      </c>
      <c r="M1454" s="1" t="s">
        <v>53</v>
      </c>
      <c r="N1454" s="1" t="s">
        <v>41</v>
      </c>
      <c r="O1454" s="1" t="s">
        <v>30</v>
      </c>
      <c r="P1454" s="29">
        <v>10658.75</v>
      </c>
      <c r="Q1454" s="1" t="s">
        <v>567</v>
      </c>
      <c r="R1454" s="1">
        <v>6</v>
      </c>
      <c r="S1454" s="1">
        <v>136</v>
      </c>
      <c r="T1454" s="1">
        <v>42.3</v>
      </c>
      <c r="U1454" s="1" t="s">
        <v>86</v>
      </c>
      <c r="V1454" s="17" t="s">
        <v>33</v>
      </c>
    </row>
    <row r="1455" spans="1:22" ht="15" customHeight="1" x14ac:dyDescent="0.25">
      <c r="A1455" s="16" t="s">
        <v>2707</v>
      </c>
      <c r="B1455" s="3" t="s">
        <v>2708</v>
      </c>
      <c r="C1455">
        <v>30</v>
      </c>
      <c r="D1455" s="3" t="s">
        <v>47</v>
      </c>
      <c r="E1455" s="3" t="s">
        <v>48</v>
      </c>
      <c r="F1455" s="3" t="s">
        <v>76</v>
      </c>
      <c r="G1455" s="3" t="s">
        <v>71</v>
      </c>
      <c r="H1455" s="3" t="s">
        <v>26</v>
      </c>
      <c r="I1455" s="8">
        <v>45587</v>
      </c>
      <c r="J1455" s="8">
        <v>45591</v>
      </c>
      <c r="K1455" s="3">
        <v>4</v>
      </c>
      <c r="L1455" s="3" t="s">
        <v>122</v>
      </c>
      <c r="M1455" s="3" t="s">
        <v>40</v>
      </c>
      <c r="N1455" s="3" t="s">
        <v>72</v>
      </c>
      <c r="O1455" s="3" t="s">
        <v>30</v>
      </c>
      <c r="P1455" s="30">
        <v>8742.99</v>
      </c>
      <c r="Q1455" s="3" t="s">
        <v>374</v>
      </c>
      <c r="R1455" s="3">
        <v>4</v>
      </c>
      <c r="S1455" s="3">
        <v>417</v>
      </c>
      <c r="T1455" s="3">
        <v>24.6</v>
      </c>
      <c r="U1455" s="3" t="s">
        <v>32</v>
      </c>
      <c r="V1455" s="18" t="s">
        <v>33</v>
      </c>
    </row>
    <row r="1456" spans="1:22" ht="15" customHeight="1" x14ac:dyDescent="0.25">
      <c r="A1456" s="15" t="s">
        <v>2709</v>
      </c>
      <c r="B1456" s="2" t="s">
        <v>3675</v>
      </c>
      <c r="C1456">
        <v>60</v>
      </c>
      <c r="D1456" s="1" t="s">
        <v>59</v>
      </c>
      <c r="E1456" s="1" t="s">
        <v>48</v>
      </c>
      <c r="F1456" s="1" t="s">
        <v>24</v>
      </c>
      <c r="G1456" s="1" t="s">
        <v>131</v>
      </c>
      <c r="H1456" s="1" t="s">
        <v>78</v>
      </c>
      <c r="I1456" s="7">
        <v>45312</v>
      </c>
      <c r="J1456" s="7">
        <v>45317</v>
      </c>
      <c r="K1456" s="1">
        <v>5</v>
      </c>
      <c r="L1456" s="1" t="s">
        <v>132</v>
      </c>
      <c r="M1456" s="1" t="s">
        <v>53</v>
      </c>
      <c r="N1456" s="1" t="s">
        <v>133</v>
      </c>
      <c r="O1456" s="1" t="s">
        <v>42</v>
      </c>
      <c r="P1456" s="29">
        <v>16884.12</v>
      </c>
      <c r="Q1456" s="1" t="s">
        <v>134</v>
      </c>
      <c r="R1456" s="1">
        <v>7</v>
      </c>
      <c r="S1456" s="1">
        <v>461</v>
      </c>
      <c r="T1456" s="1">
        <v>31.8</v>
      </c>
      <c r="U1456" s="1" t="s">
        <v>86</v>
      </c>
      <c r="V1456" s="17" t="s">
        <v>33</v>
      </c>
    </row>
    <row r="1457" spans="1:22" ht="15" customHeight="1" x14ac:dyDescent="0.25">
      <c r="A1457" s="16" t="s">
        <v>2710</v>
      </c>
      <c r="B1457" s="3" t="s">
        <v>991</v>
      </c>
      <c r="C1457">
        <v>71</v>
      </c>
      <c r="D1457" s="3" t="s">
        <v>82</v>
      </c>
      <c r="E1457" s="3" t="s">
        <v>23</v>
      </c>
      <c r="F1457" s="3" t="s">
        <v>24</v>
      </c>
      <c r="G1457" s="3" t="s">
        <v>131</v>
      </c>
      <c r="H1457" s="3" t="s">
        <v>26</v>
      </c>
      <c r="I1457" s="8">
        <v>45029</v>
      </c>
      <c r="J1457" s="8">
        <v>45035</v>
      </c>
      <c r="K1457" s="3">
        <v>6</v>
      </c>
      <c r="L1457" s="3" t="s">
        <v>112</v>
      </c>
      <c r="M1457" s="3" t="s">
        <v>40</v>
      </c>
      <c r="N1457" s="3" t="s">
        <v>157</v>
      </c>
      <c r="O1457" s="3" t="s">
        <v>55</v>
      </c>
      <c r="P1457" s="30">
        <v>47167.08</v>
      </c>
      <c r="Q1457" s="3" t="s">
        <v>148</v>
      </c>
      <c r="R1457" s="3">
        <v>6</v>
      </c>
      <c r="S1457" s="3">
        <v>326</v>
      </c>
      <c r="T1457" s="3">
        <v>29.9</v>
      </c>
      <c r="U1457" s="3" t="s">
        <v>86</v>
      </c>
      <c r="V1457" s="18" t="s">
        <v>33</v>
      </c>
    </row>
    <row r="1458" spans="1:22" ht="15" customHeight="1" x14ac:dyDescent="0.25">
      <c r="A1458" s="15" t="s">
        <v>2711</v>
      </c>
      <c r="B1458" s="1" t="s">
        <v>2712</v>
      </c>
      <c r="C1458">
        <v>43</v>
      </c>
      <c r="D1458" s="1" t="s">
        <v>98</v>
      </c>
      <c r="E1458" s="1" t="s">
        <v>23</v>
      </c>
      <c r="F1458" s="1" t="s">
        <v>37</v>
      </c>
      <c r="G1458" s="1" t="s">
        <v>131</v>
      </c>
      <c r="H1458" s="1" t="s">
        <v>26</v>
      </c>
      <c r="I1458" s="7">
        <v>44769</v>
      </c>
      <c r="J1458" s="7">
        <v>44750</v>
      </c>
      <c r="K1458" s="1">
        <v>11</v>
      </c>
      <c r="L1458" s="1" t="s">
        <v>89</v>
      </c>
      <c r="M1458" s="1" t="s">
        <v>90</v>
      </c>
      <c r="N1458" s="1" t="s">
        <v>157</v>
      </c>
      <c r="O1458" s="1" t="s">
        <v>30</v>
      </c>
      <c r="P1458" s="29">
        <v>26562.17</v>
      </c>
      <c r="Q1458" s="1" t="s">
        <v>695</v>
      </c>
      <c r="R1458" s="1">
        <v>7</v>
      </c>
      <c r="S1458" s="1">
        <v>312</v>
      </c>
      <c r="T1458" s="1">
        <v>21</v>
      </c>
      <c r="U1458" s="1" t="s">
        <v>44</v>
      </c>
      <c r="V1458" s="17" t="s">
        <v>33</v>
      </c>
    </row>
    <row r="1459" spans="1:22" ht="15" customHeight="1" x14ac:dyDescent="0.25">
      <c r="A1459" s="16" t="s">
        <v>2713</v>
      </c>
      <c r="B1459" s="3" t="s">
        <v>869</v>
      </c>
      <c r="C1459">
        <v>54</v>
      </c>
      <c r="D1459" s="3" t="s">
        <v>98</v>
      </c>
      <c r="E1459" s="3" t="s">
        <v>48</v>
      </c>
      <c r="F1459" s="3" t="s">
        <v>49</v>
      </c>
      <c r="G1459" s="3" t="s">
        <v>50</v>
      </c>
      <c r="H1459" s="3" t="s">
        <v>26</v>
      </c>
      <c r="I1459" s="6">
        <v>44948</v>
      </c>
      <c r="J1459" s="8">
        <v>44959</v>
      </c>
      <c r="K1459" s="3">
        <v>11</v>
      </c>
      <c r="L1459" s="3" t="s">
        <v>122</v>
      </c>
      <c r="M1459" s="3" t="s">
        <v>40</v>
      </c>
      <c r="N1459" s="3" t="s">
        <v>126</v>
      </c>
      <c r="O1459" s="3" t="s">
        <v>30</v>
      </c>
      <c r="P1459" s="30">
        <v>22298.35</v>
      </c>
      <c r="Q1459" s="3" t="s">
        <v>85</v>
      </c>
      <c r="R1459" s="3">
        <v>8</v>
      </c>
      <c r="S1459" s="3">
        <v>366</v>
      </c>
      <c r="T1459" s="3">
        <v>22.1</v>
      </c>
      <c r="U1459" s="3" t="s">
        <v>44</v>
      </c>
      <c r="V1459" s="18" t="s">
        <v>45</v>
      </c>
    </row>
    <row r="1460" spans="1:22" ht="15" customHeight="1" x14ac:dyDescent="0.25">
      <c r="A1460" s="15" t="s">
        <v>2714</v>
      </c>
      <c r="B1460" s="1" t="s">
        <v>2715</v>
      </c>
      <c r="C1460">
        <v>88</v>
      </c>
      <c r="D1460" s="1" t="s">
        <v>36</v>
      </c>
      <c r="E1460" s="1" t="s">
        <v>23</v>
      </c>
      <c r="F1460" s="1" t="s">
        <v>24</v>
      </c>
      <c r="G1460" s="1" t="s">
        <v>50</v>
      </c>
      <c r="H1460" s="1" t="s">
        <v>51</v>
      </c>
      <c r="I1460" s="7">
        <v>45353</v>
      </c>
      <c r="J1460" s="7">
        <v>45368</v>
      </c>
      <c r="K1460" s="1">
        <v>15</v>
      </c>
      <c r="L1460" s="1" t="s">
        <v>231</v>
      </c>
      <c r="M1460" s="1" t="s">
        <v>53</v>
      </c>
      <c r="N1460" s="1" t="s">
        <v>126</v>
      </c>
      <c r="O1460" s="1" t="s">
        <v>30</v>
      </c>
      <c r="P1460" s="29">
        <v>56396.92</v>
      </c>
      <c r="Q1460" s="1" t="s">
        <v>85</v>
      </c>
      <c r="R1460" s="1">
        <v>9</v>
      </c>
      <c r="S1460" s="1">
        <v>116</v>
      </c>
      <c r="T1460" s="1">
        <v>15.7</v>
      </c>
      <c r="U1460" s="1" t="s">
        <v>32</v>
      </c>
      <c r="V1460" s="17" t="s">
        <v>33</v>
      </c>
    </row>
    <row r="1461" spans="1:22" ht="15" customHeight="1" x14ac:dyDescent="0.25">
      <c r="A1461" s="16" t="s">
        <v>2716</v>
      </c>
      <c r="B1461" s="3" t="s">
        <v>2717</v>
      </c>
      <c r="C1461">
        <v>41</v>
      </c>
      <c r="D1461" s="3" t="s">
        <v>98</v>
      </c>
      <c r="E1461" s="3" t="s">
        <v>48</v>
      </c>
      <c r="F1461" s="3" t="s">
        <v>76</v>
      </c>
      <c r="G1461" s="3" t="s">
        <v>50</v>
      </c>
      <c r="H1461" s="3" t="s">
        <v>26</v>
      </c>
      <c r="I1461" s="8">
        <v>45657</v>
      </c>
      <c r="J1461" s="8">
        <v>45674</v>
      </c>
      <c r="K1461" s="3">
        <v>17</v>
      </c>
      <c r="L1461" s="3" t="s">
        <v>39</v>
      </c>
      <c r="M1461" s="3" t="s">
        <v>40</v>
      </c>
      <c r="N1461" s="3" t="s">
        <v>126</v>
      </c>
      <c r="O1461" s="3" t="s">
        <v>30</v>
      </c>
      <c r="P1461" s="30">
        <v>38874.620000000003</v>
      </c>
      <c r="Q1461" s="3" t="s">
        <v>56</v>
      </c>
      <c r="R1461" s="3">
        <v>9</v>
      </c>
      <c r="S1461" s="3">
        <v>337</v>
      </c>
      <c r="T1461" s="3">
        <v>26.9</v>
      </c>
      <c r="U1461" s="3" t="s">
        <v>86</v>
      </c>
      <c r="V1461" s="18" t="s">
        <v>33</v>
      </c>
    </row>
    <row r="1462" spans="1:22" ht="15" customHeight="1" x14ac:dyDescent="0.25">
      <c r="A1462" s="15" t="s">
        <v>2718</v>
      </c>
      <c r="B1462" s="1" t="s">
        <v>2719</v>
      </c>
      <c r="C1462">
        <v>50</v>
      </c>
      <c r="D1462" s="1" t="s">
        <v>98</v>
      </c>
      <c r="E1462" s="1" t="s">
        <v>23</v>
      </c>
      <c r="F1462" s="1" t="s">
        <v>70</v>
      </c>
      <c r="G1462" s="1" t="s">
        <v>38</v>
      </c>
      <c r="H1462" s="1" t="s">
        <v>78</v>
      </c>
      <c r="I1462" s="7">
        <v>45395</v>
      </c>
      <c r="J1462" s="7">
        <v>45399</v>
      </c>
      <c r="K1462" s="1">
        <v>4</v>
      </c>
      <c r="L1462" s="1" t="s">
        <v>39</v>
      </c>
      <c r="M1462" s="1" t="s">
        <v>40</v>
      </c>
      <c r="N1462" s="1" t="s">
        <v>203</v>
      </c>
      <c r="O1462" s="1" t="s">
        <v>55</v>
      </c>
      <c r="P1462" s="29">
        <v>14099.12</v>
      </c>
      <c r="Q1462" s="1" t="s">
        <v>437</v>
      </c>
      <c r="R1462" s="1">
        <v>7</v>
      </c>
      <c r="S1462" s="1">
        <v>379</v>
      </c>
      <c r="T1462" s="1">
        <v>28.3</v>
      </c>
      <c r="U1462" s="1" t="s">
        <v>44</v>
      </c>
      <c r="V1462" s="17" t="s">
        <v>33</v>
      </c>
    </row>
    <row r="1463" spans="1:22" ht="15" customHeight="1" x14ac:dyDescent="0.25">
      <c r="A1463" s="16" t="s">
        <v>2720</v>
      </c>
      <c r="B1463" s="3" t="s">
        <v>2721</v>
      </c>
      <c r="C1463">
        <v>37</v>
      </c>
      <c r="D1463" s="3" t="s">
        <v>98</v>
      </c>
      <c r="E1463" s="3" t="s">
        <v>23</v>
      </c>
      <c r="F1463" s="3" t="s">
        <v>99</v>
      </c>
      <c r="G1463" s="3" t="s">
        <v>38</v>
      </c>
      <c r="H1463" s="3" t="s">
        <v>26</v>
      </c>
      <c r="I1463" s="6">
        <v>44975</v>
      </c>
      <c r="J1463" s="8">
        <v>44981</v>
      </c>
      <c r="K1463" s="3">
        <v>6</v>
      </c>
      <c r="L1463" s="3" t="s">
        <v>231</v>
      </c>
      <c r="M1463" s="3" t="s">
        <v>53</v>
      </c>
      <c r="N1463" s="3" t="s">
        <v>203</v>
      </c>
      <c r="O1463" s="3" t="s">
        <v>30</v>
      </c>
      <c r="P1463" s="30">
        <v>32819.67</v>
      </c>
      <c r="Q1463" s="3" t="s">
        <v>437</v>
      </c>
      <c r="R1463" s="3">
        <v>8</v>
      </c>
      <c r="S1463" s="3">
        <v>476</v>
      </c>
      <c r="T1463" s="3">
        <v>28.3</v>
      </c>
      <c r="U1463" s="3" t="s">
        <v>44</v>
      </c>
      <c r="V1463" s="18" t="s">
        <v>33</v>
      </c>
    </row>
    <row r="1464" spans="1:22" ht="15" customHeight="1" x14ac:dyDescent="0.25">
      <c r="A1464" s="15" t="s">
        <v>2722</v>
      </c>
      <c r="B1464" s="1" t="s">
        <v>1801</v>
      </c>
      <c r="C1464">
        <v>78</v>
      </c>
      <c r="D1464" s="1" t="s">
        <v>36</v>
      </c>
      <c r="E1464" s="1" t="s">
        <v>48</v>
      </c>
      <c r="F1464" s="1" t="s">
        <v>24</v>
      </c>
      <c r="G1464" s="1" t="s">
        <v>25</v>
      </c>
      <c r="H1464" s="1" t="s">
        <v>51</v>
      </c>
      <c r="I1464" s="7">
        <v>45559</v>
      </c>
      <c r="J1464" s="7">
        <v>45301</v>
      </c>
      <c r="K1464" s="1">
        <v>7</v>
      </c>
      <c r="L1464" s="1" t="s">
        <v>89</v>
      </c>
      <c r="M1464" s="1" t="s">
        <v>90</v>
      </c>
      <c r="N1464" s="1" t="s">
        <v>248</v>
      </c>
      <c r="O1464" s="1" t="s">
        <v>30</v>
      </c>
      <c r="P1464" s="29">
        <v>74949.509999999995</v>
      </c>
      <c r="Q1464" s="1" t="s">
        <v>31</v>
      </c>
      <c r="R1464" s="1">
        <v>12</v>
      </c>
      <c r="S1464" s="1">
        <v>134</v>
      </c>
      <c r="T1464" s="1">
        <v>17.899999999999999</v>
      </c>
      <c r="U1464" s="1" t="s">
        <v>44</v>
      </c>
      <c r="V1464" s="17" t="s">
        <v>33</v>
      </c>
    </row>
    <row r="1465" spans="1:22" ht="15" customHeight="1" x14ac:dyDescent="0.25">
      <c r="A1465" s="16" t="s">
        <v>2723</v>
      </c>
      <c r="B1465" s="3" t="s">
        <v>1514</v>
      </c>
      <c r="C1465">
        <v>73</v>
      </c>
      <c r="D1465" s="3" t="s">
        <v>82</v>
      </c>
      <c r="E1465" s="3" t="s">
        <v>48</v>
      </c>
      <c r="F1465" s="3" t="s">
        <v>37</v>
      </c>
      <c r="G1465" s="3" t="s">
        <v>2140</v>
      </c>
      <c r="H1465" s="3" t="s">
        <v>51</v>
      </c>
      <c r="I1465" s="6">
        <v>45509</v>
      </c>
      <c r="J1465" s="8">
        <v>45421</v>
      </c>
      <c r="K1465" s="3">
        <v>1</v>
      </c>
      <c r="L1465" s="3" t="s">
        <v>132</v>
      </c>
      <c r="M1465" s="3" t="s">
        <v>53</v>
      </c>
      <c r="N1465" s="3" t="s">
        <v>177</v>
      </c>
      <c r="O1465" s="3" t="s">
        <v>42</v>
      </c>
      <c r="P1465" s="30">
        <v>8905.61</v>
      </c>
      <c r="Q1465" s="3" t="s">
        <v>503</v>
      </c>
      <c r="R1465" s="3">
        <v>3</v>
      </c>
      <c r="S1465" s="3">
        <v>191</v>
      </c>
      <c r="T1465" s="3">
        <v>28.7</v>
      </c>
      <c r="U1465" s="3" t="s">
        <v>44</v>
      </c>
      <c r="V1465" s="18" t="s">
        <v>33</v>
      </c>
    </row>
    <row r="1466" spans="1:22" ht="15" customHeight="1" x14ac:dyDescent="0.25">
      <c r="A1466" s="15" t="s">
        <v>2724</v>
      </c>
      <c r="B1466" s="1" t="s">
        <v>2725</v>
      </c>
      <c r="C1466">
        <v>81</v>
      </c>
      <c r="D1466" s="1" t="s">
        <v>36</v>
      </c>
      <c r="E1466" s="1" t="s">
        <v>48</v>
      </c>
      <c r="F1466" s="1" t="s">
        <v>83</v>
      </c>
      <c r="G1466" s="1" t="s">
        <v>71</v>
      </c>
      <c r="H1466" s="1" t="s">
        <v>51</v>
      </c>
      <c r="I1466" s="7">
        <v>45617</v>
      </c>
      <c r="J1466" s="7">
        <v>45620</v>
      </c>
      <c r="K1466" s="1">
        <v>3</v>
      </c>
      <c r="L1466" s="1" t="s">
        <v>102</v>
      </c>
      <c r="M1466" s="1" t="s">
        <v>28</v>
      </c>
      <c r="N1466" s="1" t="s">
        <v>72</v>
      </c>
      <c r="O1466" s="1" t="s">
        <v>104</v>
      </c>
      <c r="P1466" s="29">
        <v>16698</v>
      </c>
      <c r="Q1466" s="1" t="s">
        <v>170</v>
      </c>
      <c r="R1466" s="1">
        <v>1</v>
      </c>
      <c r="S1466" s="1">
        <v>172</v>
      </c>
      <c r="T1466" s="1">
        <v>16.8</v>
      </c>
      <c r="U1466" s="1" t="s">
        <v>44</v>
      </c>
      <c r="V1466" s="17" t="s">
        <v>33</v>
      </c>
    </row>
    <row r="1467" spans="1:22" ht="15" customHeight="1" x14ac:dyDescent="0.25">
      <c r="A1467" s="16" t="s">
        <v>2726</v>
      </c>
      <c r="B1467" s="3" t="s">
        <v>909</v>
      </c>
      <c r="C1467">
        <v>88</v>
      </c>
      <c r="D1467" s="3" t="s">
        <v>36</v>
      </c>
      <c r="E1467" s="3" t="s">
        <v>48</v>
      </c>
      <c r="F1467" s="3" t="s">
        <v>49</v>
      </c>
      <c r="G1467" s="3" t="s">
        <v>131</v>
      </c>
      <c r="H1467" s="3" t="s">
        <v>51</v>
      </c>
      <c r="I1467" s="8">
        <v>44765</v>
      </c>
      <c r="J1467" s="8">
        <v>44771</v>
      </c>
      <c r="K1467" s="3">
        <v>6</v>
      </c>
      <c r="L1467" s="3" t="s">
        <v>52</v>
      </c>
      <c r="M1467" s="3" t="s">
        <v>53</v>
      </c>
      <c r="N1467" s="3" t="s">
        <v>157</v>
      </c>
      <c r="O1467" s="3" t="s">
        <v>30</v>
      </c>
      <c r="P1467" s="30">
        <v>25982.240000000002</v>
      </c>
      <c r="Q1467" s="3" t="s">
        <v>158</v>
      </c>
      <c r="R1467" s="3">
        <v>7</v>
      </c>
      <c r="S1467" s="3">
        <v>129</v>
      </c>
      <c r="T1467" s="3">
        <v>39</v>
      </c>
      <c r="U1467" s="3" t="s">
        <v>44</v>
      </c>
      <c r="V1467" s="18" t="s">
        <v>45</v>
      </c>
    </row>
    <row r="1468" spans="1:22" ht="15" customHeight="1" x14ac:dyDescent="0.25">
      <c r="A1468" s="15" t="s">
        <v>2727</v>
      </c>
      <c r="B1468" s="1" t="s">
        <v>2728</v>
      </c>
      <c r="C1468">
        <v>81</v>
      </c>
      <c r="D1468" s="1" t="s">
        <v>36</v>
      </c>
      <c r="E1468" s="1" t="s">
        <v>48</v>
      </c>
      <c r="F1468" s="1" t="s">
        <v>83</v>
      </c>
      <c r="G1468" s="1" t="s">
        <v>209</v>
      </c>
      <c r="H1468" s="1" t="s">
        <v>51</v>
      </c>
      <c r="I1468" s="6">
        <v>43737</v>
      </c>
      <c r="J1468" s="7">
        <v>43739</v>
      </c>
      <c r="K1468" s="1">
        <v>2</v>
      </c>
      <c r="L1468" s="1" t="s">
        <v>52</v>
      </c>
      <c r="M1468" s="1" t="s">
        <v>53</v>
      </c>
      <c r="N1468" s="1" t="s">
        <v>61</v>
      </c>
      <c r="O1468" s="1" t="s">
        <v>55</v>
      </c>
      <c r="P1468" s="29">
        <v>31364.07</v>
      </c>
      <c r="Q1468" s="1" t="s">
        <v>511</v>
      </c>
      <c r="R1468" s="1">
        <v>6</v>
      </c>
      <c r="S1468" s="1">
        <v>138</v>
      </c>
      <c r="T1468" s="1">
        <v>27.8</v>
      </c>
      <c r="U1468" s="1" t="s">
        <v>44</v>
      </c>
      <c r="V1468" s="17" t="s">
        <v>33</v>
      </c>
    </row>
    <row r="1469" spans="1:22" ht="15" customHeight="1" x14ac:dyDescent="0.25">
      <c r="A1469" s="16" t="s">
        <v>2729</v>
      </c>
      <c r="B1469" s="3" t="s">
        <v>2730</v>
      </c>
      <c r="C1469">
        <v>63</v>
      </c>
      <c r="D1469" s="3" t="s">
        <v>59</v>
      </c>
      <c r="E1469" s="3" t="s">
        <v>48</v>
      </c>
      <c r="F1469" s="3" t="s">
        <v>76</v>
      </c>
      <c r="G1469" s="3" t="s">
        <v>71</v>
      </c>
      <c r="H1469" s="3" t="s">
        <v>51</v>
      </c>
      <c r="I1469" s="8">
        <v>44671</v>
      </c>
      <c r="J1469" s="8">
        <v>44673</v>
      </c>
      <c r="K1469" s="3">
        <v>2</v>
      </c>
      <c r="L1469" s="3" t="s">
        <v>185</v>
      </c>
      <c r="M1469" s="3" t="s">
        <v>186</v>
      </c>
      <c r="N1469" s="3" t="s">
        <v>312</v>
      </c>
      <c r="O1469" s="3" t="s">
        <v>42</v>
      </c>
      <c r="P1469" s="30">
        <v>22413</v>
      </c>
      <c r="Q1469" s="3" t="s">
        <v>178</v>
      </c>
      <c r="R1469" s="3">
        <v>4</v>
      </c>
      <c r="S1469" s="3">
        <v>130</v>
      </c>
      <c r="T1469" s="3">
        <v>15.4</v>
      </c>
      <c r="U1469" s="3" t="s">
        <v>32</v>
      </c>
      <c r="V1469" s="18" t="s">
        <v>33</v>
      </c>
    </row>
    <row r="1470" spans="1:22" ht="15" customHeight="1" x14ac:dyDescent="0.25">
      <c r="A1470" s="15" t="s">
        <v>2731</v>
      </c>
      <c r="B1470" s="1" t="s">
        <v>1771</v>
      </c>
      <c r="C1470">
        <v>69</v>
      </c>
      <c r="D1470" s="1" t="s">
        <v>82</v>
      </c>
      <c r="E1470" s="1" t="s">
        <v>48</v>
      </c>
      <c r="F1470" s="1" t="s">
        <v>76</v>
      </c>
      <c r="G1470" s="1" t="s">
        <v>163</v>
      </c>
      <c r="H1470" s="1" t="s">
        <v>26</v>
      </c>
      <c r="I1470" s="7">
        <v>43842</v>
      </c>
      <c r="J1470" s="7">
        <v>43847</v>
      </c>
      <c r="K1470" s="1">
        <v>5</v>
      </c>
      <c r="L1470" s="1" t="s">
        <v>39</v>
      </c>
      <c r="M1470" s="1" t="s">
        <v>40</v>
      </c>
      <c r="N1470" s="1" t="s">
        <v>346</v>
      </c>
      <c r="O1470" s="1" t="s">
        <v>30</v>
      </c>
      <c r="P1470" s="29">
        <v>65786.31</v>
      </c>
      <c r="Q1470" s="1" t="s">
        <v>257</v>
      </c>
      <c r="R1470" s="1">
        <v>5</v>
      </c>
      <c r="S1470" s="1">
        <v>337</v>
      </c>
      <c r="T1470" s="1">
        <v>28.2</v>
      </c>
      <c r="U1470" s="1" t="s">
        <v>86</v>
      </c>
      <c r="V1470" s="17" t="s">
        <v>33</v>
      </c>
    </row>
    <row r="1471" spans="1:22" ht="15" customHeight="1" x14ac:dyDescent="0.25">
      <c r="A1471" s="16" t="s">
        <v>2732</v>
      </c>
      <c r="B1471" s="3" t="s">
        <v>785</v>
      </c>
      <c r="C1471">
        <v>77</v>
      </c>
      <c r="D1471" s="3" t="s">
        <v>36</v>
      </c>
      <c r="E1471" s="3" t="s">
        <v>23</v>
      </c>
      <c r="F1471" s="3" t="s">
        <v>155</v>
      </c>
      <c r="G1471" s="3" t="s">
        <v>60</v>
      </c>
      <c r="H1471" s="3" t="s">
        <v>51</v>
      </c>
      <c r="I1471" s="6">
        <v>45202</v>
      </c>
      <c r="J1471" s="8">
        <v>45210</v>
      </c>
      <c r="K1471" s="3">
        <v>8</v>
      </c>
      <c r="L1471" s="3" t="s">
        <v>132</v>
      </c>
      <c r="M1471" s="3" t="s">
        <v>53</v>
      </c>
      <c r="N1471" s="3" t="s">
        <v>210</v>
      </c>
      <c r="O1471" s="3" t="s">
        <v>42</v>
      </c>
      <c r="P1471" s="30">
        <v>27643.49</v>
      </c>
      <c r="Q1471" s="3" t="s">
        <v>511</v>
      </c>
      <c r="R1471" s="3">
        <v>6</v>
      </c>
      <c r="S1471" s="3">
        <v>154</v>
      </c>
      <c r="T1471" s="3">
        <v>26.1</v>
      </c>
      <c r="U1471" s="3" t="s">
        <v>44</v>
      </c>
      <c r="V1471" s="18" t="s">
        <v>33</v>
      </c>
    </row>
    <row r="1472" spans="1:22" ht="15" customHeight="1" x14ac:dyDescent="0.25">
      <c r="A1472" s="15" t="s">
        <v>2733</v>
      </c>
      <c r="B1472" s="1" t="s">
        <v>2734</v>
      </c>
      <c r="C1472">
        <v>31</v>
      </c>
      <c r="D1472" s="1" t="s">
        <v>47</v>
      </c>
      <c r="E1472" s="1" t="s">
        <v>23</v>
      </c>
      <c r="F1472" s="1" t="s">
        <v>70</v>
      </c>
      <c r="G1472" s="1" t="s">
        <v>163</v>
      </c>
      <c r="H1472" s="1" t="s">
        <v>26</v>
      </c>
      <c r="I1472" s="6">
        <v>44196</v>
      </c>
      <c r="J1472" s="7">
        <v>44199</v>
      </c>
      <c r="K1472" s="1">
        <v>3</v>
      </c>
      <c r="L1472" s="1" t="s">
        <v>132</v>
      </c>
      <c r="M1472" s="1" t="s">
        <v>53</v>
      </c>
      <c r="N1472" s="1" t="s">
        <v>164</v>
      </c>
      <c r="O1472" s="1" t="s">
        <v>42</v>
      </c>
      <c r="P1472" s="29">
        <v>34717</v>
      </c>
      <c r="Q1472" s="1" t="s">
        <v>259</v>
      </c>
      <c r="R1472" s="1">
        <v>4</v>
      </c>
      <c r="S1472" s="1">
        <v>102</v>
      </c>
      <c r="T1472" s="1">
        <v>28.6</v>
      </c>
      <c r="U1472" s="1" t="s">
        <v>32</v>
      </c>
      <c r="V1472" s="17" t="s">
        <v>33</v>
      </c>
    </row>
    <row r="1473" spans="1:22" ht="15" customHeight="1" x14ac:dyDescent="0.25">
      <c r="A1473" s="16" t="s">
        <v>2735</v>
      </c>
      <c r="B1473" s="3" t="s">
        <v>2736</v>
      </c>
      <c r="C1473">
        <v>5</v>
      </c>
      <c r="D1473" s="3" t="s">
        <v>22</v>
      </c>
      <c r="E1473" s="3" t="s">
        <v>23</v>
      </c>
      <c r="F1473" s="3" t="s">
        <v>37</v>
      </c>
      <c r="G1473" s="3" t="s">
        <v>131</v>
      </c>
      <c r="H1473" s="3" t="s">
        <v>26</v>
      </c>
      <c r="I1473" s="8">
        <v>44719</v>
      </c>
      <c r="J1473" s="8">
        <v>44730</v>
      </c>
      <c r="K1473" s="3">
        <v>11</v>
      </c>
      <c r="L1473" s="3" t="s">
        <v>132</v>
      </c>
      <c r="M1473" s="3" t="s">
        <v>53</v>
      </c>
      <c r="N1473" s="3" t="s">
        <v>147</v>
      </c>
      <c r="O1473" s="3" t="s">
        <v>104</v>
      </c>
      <c r="P1473" s="30">
        <v>22278.560000000001</v>
      </c>
      <c r="Q1473" s="3" t="s">
        <v>291</v>
      </c>
      <c r="R1473" s="3">
        <v>5</v>
      </c>
      <c r="S1473" s="3">
        <v>354</v>
      </c>
      <c r="T1473" s="3">
        <v>42.1</v>
      </c>
      <c r="U1473" s="3" t="s">
        <v>32</v>
      </c>
      <c r="V1473" s="18" t="s">
        <v>33</v>
      </c>
    </row>
    <row r="1474" spans="1:22" ht="15" customHeight="1" x14ac:dyDescent="0.25">
      <c r="A1474" s="15" t="s">
        <v>2737</v>
      </c>
      <c r="B1474" s="1" t="s">
        <v>2738</v>
      </c>
      <c r="C1474">
        <v>6</v>
      </c>
      <c r="D1474" s="1" t="s">
        <v>22</v>
      </c>
      <c r="E1474" s="1" t="s">
        <v>48</v>
      </c>
      <c r="F1474" s="1" t="s">
        <v>83</v>
      </c>
      <c r="G1474" s="1" t="s">
        <v>38</v>
      </c>
      <c r="H1474" s="1" t="s">
        <v>51</v>
      </c>
      <c r="I1474" s="7">
        <v>45629</v>
      </c>
      <c r="J1474" s="7">
        <v>45635</v>
      </c>
      <c r="K1474" s="1">
        <v>6</v>
      </c>
      <c r="L1474" s="1" t="s">
        <v>185</v>
      </c>
      <c r="M1474" s="1" t="s">
        <v>186</v>
      </c>
      <c r="N1474" s="1" t="s">
        <v>203</v>
      </c>
      <c r="O1474" s="1" t="s">
        <v>30</v>
      </c>
      <c r="P1474" s="29">
        <v>11052.46</v>
      </c>
      <c r="Q1474" s="1" t="s">
        <v>236</v>
      </c>
      <c r="R1474" s="1">
        <v>8</v>
      </c>
      <c r="S1474" s="1">
        <v>192</v>
      </c>
      <c r="T1474" s="1">
        <v>32.6</v>
      </c>
      <c r="U1474" s="1" t="s">
        <v>32</v>
      </c>
      <c r="V1474" s="17" t="s">
        <v>33</v>
      </c>
    </row>
    <row r="1475" spans="1:22" ht="15" customHeight="1" x14ac:dyDescent="0.25">
      <c r="A1475" s="16" t="s">
        <v>2739</v>
      </c>
      <c r="B1475" s="3" t="s">
        <v>2740</v>
      </c>
      <c r="C1475">
        <v>71</v>
      </c>
      <c r="D1475" s="3" t="s">
        <v>82</v>
      </c>
      <c r="E1475" s="3" t="s">
        <v>23</v>
      </c>
      <c r="F1475" s="3" t="s">
        <v>155</v>
      </c>
      <c r="G1475" s="3" t="s">
        <v>417</v>
      </c>
      <c r="H1475" s="3" t="s">
        <v>78</v>
      </c>
      <c r="I1475" s="8">
        <v>45271</v>
      </c>
      <c r="J1475" s="8">
        <v>45245</v>
      </c>
      <c r="K1475" s="3">
        <v>3</v>
      </c>
      <c r="L1475" s="3" t="s">
        <v>185</v>
      </c>
      <c r="M1475" s="3" t="s">
        <v>186</v>
      </c>
      <c r="N1475" s="3" t="s">
        <v>173</v>
      </c>
      <c r="O1475" s="3" t="s">
        <v>66</v>
      </c>
      <c r="P1475" s="30">
        <v>46625.82</v>
      </c>
      <c r="Q1475" s="3" t="s">
        <v>119</v>
      </c>
      <c r="R1475" s="3">
        <v>7</v>
      </c>
      <c r="S1475" s="3">
        <v>230</v>
      </c>
      <c r="T1475" s="3">
        <v>26.8</v>
      </c>
      <c r="U1475" s="3" t="s">
        <v>44</v>
      </c>
      <c r="V1475" s="18" t="s">
        <v>33</v>
      </c>
    </row>
    <row r="1476" spans="1:22" ht="15" customHeight="1" x14ac:dyDescent="0.25">
      <c r="A1476" s="15" t="s">
        <v>2741</v>
      </c>
      <c r="B1476" s="1" t="s">
        <v>2428</v>
      </c>
      <c r="C1476">
        <v>44</v>
      </c>
      <c r="D1476" s="1" t="s">
        <v>98</v>
      </c>
      <c r="E1476" s="1" t="s">
        <v>23</v>
      </c>
      <c r="F1476" s="1" t="s">
        <v>155</v>
      </c>
      <c r="G1476" s="1" t="s">
        <v>77</v>
      </c>
      <c r="H1476" s="1" t="s">
        <v>26</v>
      </c>
      <c r="I1476" s="7">
        <v>44224</v>
      </c>
      <c r="J1476" s="7">
        <v>44241</v>
      </c>
      <c r="K1476" s="1">
        <v>17</v>
      </c>
      <c r="L1476" s="1" t="s">
        <v>132</v>
      </c>
      <c r="M1476" s="1" t="s">
        <v>53</v>
      </c>
      <c r="N1476" s="1" t="s">
        <v>94</v>
      </c>
      <c r="O1476" s="1" t="s">
        <v>30</v>
      </c>
      <c r="P1476" s="29">
        <v>48553.3</v>
      </c>
      <c r="Q1476" s="1" t="s">
        <v>80</v>
      </c>
      <c r="R1476" s="1">
        <v>10</v>
      </c>
      <c r="S1476" s="1">
        <v>355</v>
      </c>
      <c r="T1476" s="1">
        <v>28.8</v>
      </c>
      <c r="U1476" s="1" t="s">
        <v>32</v>
      </c>
      <c r="V1476" s="17" t="s">
        <v>33</v>
      </c>
    </row>
    <row r="1477" spans="1:22" ht="15" customHeight="1" x14ac:dyDescent="0.25">
      <c r="A1477" s="16" t="s">
        <v>2742</v>
      </c>
      <c r="B1477" s="3" t="s">
        <v>1867</v>
      </c>
      <c r="C1477">
        <v>24</v>
      </c>
      <c r="D1477" s="3" t="s">
        <v>47</v>
      </c>
      <c r="E1477" s="3" t="s">
        <v>48</v>
      </c>
      <c r="F1477" s="2" t="s">
        <v>155</v>
      </c>
      <c r="G1477" s="3" t="s">
        <v>77</v>
      </c>
      <c r="H1477" s="3" t="s">
        <v>26</v>
      </c>
      <c r="I1477" s="8">
        <v>44455</v>
      </c>
      <c r="J1477" s="8">
        <v>44463</v>
      </c>
      <c r="K1477" s="3">
        <v>8</v>
      </c>
      <c r="L1477" s="3" t="s">
        <v>112</v>
      </c>
      <c r="M1477" s="3" t="s">
        <v>40</v>
      </c>
      <c r="N1477" s="3" t="s">
        <v>79</v>
      </c>
      <c r="O1477" s="3" t="s">
        <v>66</v>
      </c>
      <c r="P1477" s="30">
        <v>38024.550000000003</v>
      </c>
      <c r="Q1477" s="3" t="s">
        <v>181</v>
      </c>
      <c r="R1477" s="3">
        <v>10</v>
      </c>
      <c r="S1477" s="3">
        <v>323</v>
      </c>
      <c r="T1477" s="3">
        <v>35.700000000000003</v>
      </c>
      <c r="U1477" s="3" t="s">
        <v>32</v>
      </c>
      <c r="V1477" s="18" t="s">
        <v>45</v>
      </c>
    </row>
    <row r="1478" spans="1:22" ht="15" customHeight="1" x14ac:dyDescent="0.25">
      <c r="A1478" s="15" t="s">
        <v>2743</v>
      </c>
      <c r="B1478" s="2" t="s">
        <v>1027</v>
      </c>
      <c r="C1478">
        <v>57</v>
      </c>
      <c r="D1478" s="1" t="s">
        <v>59</v>
      </c>
      <c r="E1478" s="1" t="s">
        <v>48</v>
      </c>
      <c r="F1478" s="1" t="s">
        <v>24</v>
      </c>
      <c r="G1478" s="1" t="s">
        <v>25</v>
      </c>
      <c r="H1478" s="1" t="s">
        <v>78</v>
      </c>
      <c r="I1478" s="6">
        <v>44394</v>
      </c>
      <c r="J1478" s="7">
        <v>44408</v>
      </c>
      <c r="K1478" s="1">
        <v>14</v>
      </c>
      <c r="L1478" s="1" t="s">
        <v>132</v>
      </c>
      <c r="M1478" s="1" t="s">
        <v>53</v>
      </c>
      <c r="N1478" s="1" t="s">
        <v>599</v>
      </c>
      <c r="O1478" s="1" t="s">
        <v>30</v>
      </c>
      <c r="P1478" s="29">
        <v>63191.29</v>
      </c>
      <c r="Q1478" s="1" t="s">
        <v>67</v>
      </c>
      <c r="R1478" s="1">
        <v>12</v>
      </c>
      <c r="S1478" s="1">
        <v>236</v>
      </c>
      <c r="T1478" s="1">
        <v>25.9</v>
      </c>
      <c r="U1478" s="1" t="s">
        <v>86</v>
      </c>
      <c r="V1478" s="17" t="s">
        <v>33</v>
      </c>
    </row>
    <row r="1479" spans="1:22" ht="15" customHeight="1" x14ac:dyDescent="0.25">
      <c r="A1479" s="16" t="s">
        <v>2744</v>
      </c>
      <c r="B1479" s="3" t="s">
        <v>2745</v>
      </c>
      <c r="C1479">
        <v>64</v>
      </c>
      <c r="D1479" s="3" t="s">
        <v>59</v>
      </c>
      <c r="E1479" s="3" t="s">
        <v>23</v>
      </c>
      <c r="F1479" s="3" t="s">
        <v>83</v>
      </c>
      <c r="G1479" s="3" t="s">
        <v>163</v>
      </c>
      <c r="H1479" s="3" t="s">
        <v>51</v>
      </c>
      <c r="I1479" s="8">
        <v>45070</v>
      </c>
      <c r="J1479" s="8">
        <v>45073</v>
      </c>
      <c r="K1479" s="3">
        <v>3</v>
      </c>
      <c r="L1479" s="3" t="s">
        <v>39</v>
      </c>
      <c r="M1479" s="3" t="s">
        <v>40</v>
      </c>
      <c r="N1479" s="3" t="s">
        <v>164</v>
      </c>
      <c r="O1479" s="3" t="s">
        <v>30</v>
      </c>
      <c r="P1479" s="30">
        <v>20737.54</v>
      </c>
      <c r="Q1479" s="3" t="s">
        <v>234</v>
      </c>
      <c r="R1479" s="3">
        <v>5</v>
      </c>
      <c r="S1479" s="3">
        <v>101</v>
      </c>
      <c r="T1479" s="3">
        <v>23.1</v>
      </c>
      <c r="U1479" s="3" t="s">
        <v>32</v>
      </c>
      <c r="V1479" s="18" t="s">
        <v>45</v>
      </c>
    </row>
    <row r="1480" spans="1:22" ht="15" customHeight="1" x14ac:dyDescent="0.25">
      <c r="A1480" s="15" t="s">
        <v>2746</v>
      </c>
      <c r="B1480" s="1" t="s">
        <v>896</v>
      </c>
      <c r="C1480">
        <v>33</v>
      </c>
      <c r="D1480" s="1" t="s">
        <v>47</v>
      </c>
      <c r="E1480" s="1" t="s">
        <v>48</v>
      </c>
      <c r="F1480" s="1" t="s">
        <v>70</v>
      </c>
      <c r="G1480" s="1" t="s">
        <v>131</v>
      </c>
      <c r="H1480" s="1" t="s">
        <v>26</v>
      </c>
      <c r="I1480" s="7">
        <v>44498</v>
      </c>
      <c r="J1480" s="10"/>
      <c r="K1480" s="1"/>
      <c r="L1480" s="1" t="s">
        <v>52</v>
      </c>
      <c r="M1480" s="1" t="s">
        <v>53</v>
      </c>
      <c r="N1480" s="1" t="s">
        <v>157</v>
      </c>
      <c r="O1480" s="1" t="s">
        <v>30</v>
      </c>
      <c r="P1480" s="29">
        <v>29720.46</v>
      </c>
      <c r="Q1480" s="1" t="s">
        <v>266</v>
      </c>
      <c r="R1480" s="1">
        <v>7</v>
      </c>
      <c r="S1480" s="1">
        <v>387</v>
      </c>
      <c r="T1480" s="4"/>
      <c r="U1480" s="1" t="s">
        <v>32</v>
      </c>
      <c r="V1480" s="17" t="s">
        <v>33</v>
      </c>
    </row>
    <row r="1481" spans="1:22" ht="15" customHeight="1" x14ac:dyDescent="0.25">
      <c r="A1481" s="16" t="s">
        <v>2747</v>
      </c>
      <c r="B1481" s="3" t="s">
        <v>2748</v>
      </c>
      <c r="C1481">
        <v>82</v>
      </c>
      <c r="D1481" s="3" t="s">
        <v>36</v>
      </c>
      <c r="E1481" s="3" t="s">
        <v>48</v>
      </c>
      <c r="F1481" s="3" t="s">
        <v>83</v>
      </c>
      <c r="G1481" s="3" t="s">
        <v>38</v>
      </c>
      <c r="H1481" s="3" t="s">
        <v>51</v>
      </c>
      <c r="I1481" s="6">
        <v>44334</v>
      </c>
      <c r="J1481" s="8">
        <v>44338</v>
      </c>
      <c r="K1481" s="3">
        <v>4</v>
      </c>
      <c r="L1481" s="3" t="s">
        <v>89</v>
      </c>
      <c r="M1481" s="3" t="s">
        <v>90</v>
      </c>
      <c r="N1481" s="3" t="s">
        <v>203</v>
      </c>
      <c r="O1481" s="3" t="s">
        <v>30</v>
      </c>
      <c r="P1481" s="30">
        <v>17331.64</v>
      </c>
      <c r="Q1481" s="3" t="s">
        <v>174</v>
      </c>
      <c r="R1481" s="3">
        <v>8</v>
      </c>
      <c r="S1481" s="3">
        <v>130</v>
      </c>
      <c r="T1481" s="3">
        <v>35.200000000000003</v>
      </c>
      <c r="U1481" s="3" t="s">
        <v>44</v>
      </c>
      <c r="V1481" s="18" t="s">
        <v>33</v>
      </c>
    </row>
    <row r="1482" spans="1:22" ht="15" customHeight="1" x14ac:dyDescent="0.25">
      <c r="A1482" s="15" t="s">
        <v>2749</v>
      </c>
      <c r="B1482" s="1" t="s">
        <v>2750</v>
      </c>
      <c r="C1482">
        <v>18</v>
      </c>
      <c r="D1482" s="1" t="s">
        <v>47</v>
      </c>
      <c r="E1482" s="1" t="s">
        <v>23</v>
      </c>
      <c r="F1482" s="1" t="s">
        <v>83</v>
      </c>
      <c r="G1482" s="1" t="s">
        <v>25</v>
      </c>
      <c r="H1482" s="1" t="s">
        <v>78</v>
      </c>
      <c r="I1482" s="7">
        <v>45150</v>
      </c>
      <c r="J1482" s="7">
        <v>45181</v>
      </c>
      <c r="K1482" s="1">
        <v>31</v>
      </c>
      <c r="L1482" s="1" t="s">
        <v>185</v>
      </c>
      <c r="M1482" s="1" t="s">
        <v>186</v>
      </c>
      <c r="N1482" s="1" t="s">
        <v>963</v>
      </c>
      <c r="O1482" s="1" t="s">
        <v>30</v>
      </c>
      <c r="P1482" s="29">
        <v>18760.07</v>
      </c>
      <c r="Q1482" s="1" t="s">
        <v>515</v>
      </c>
      <c r="R1482" s="1">
        <v>12</v>
      </c>
      <c r="S1482" s="1">
        <v>260</v>
      </c>
      <c r="T1482" s="1">
        <v>30.5</v>
      </c>
      <c r="U1482" s="1" t="s">
        <v>44</v>
      </c>
      <c r="V1482" s="17" t="s">
        <v>33</v>
      </c>
    </row>
    <row r="1483" spans="1:22" ht="15" customHeight="1" x14ac:dyDescent="0.25">
      <c r="A1483" s="16" t="s">
        <v>2751</v>
      </c>
      <c r="B1483" s="3" t="s">
        <v>1617</v>
      </c>
      <c r="C1483">
        <v>74</v>
      </c>
      <c r="D1483" s="3" t="s">
        <v>82</v>
      </c>
      <c r="E1483" s="3" t="s">
        <v>48</v>
      </c>
      <c r="F1483" s="3" t="s">
        <v>24</v>
      </c>
      <c r="G1483" s="3" t="s">
        <v>38</v>
      </c>
      <c r="H1483" s="3" t="s">
        <v>51</v>
      </c>
      <c r="I1483" s="8">
        <v>43697</v>
      </c>
      <c r="J1483" s="8">
        <v>43701</v>
      </c>
      <c r="K1483" s="3">
        <v>4</v>
      </c>
      <c r="L1483" s="3" t="s">
        <v>231</v>
      </c>
      <c r="M1483" s="3" t="s">
        <v>53</v>
      </c>
      <c r="N1483" s="3" t="s">
        <v>173</v>
      </c>
      <c r="O1483" s="3" t="s">
        <v>30</v>
      </c>
      <c r="P1483" s="30">
        <v>6883.39</v>
      </c>
      <c r="Q1483" s="3" t="s">
        <v>43</v>
      </c>
      <c r="R1483" s="3">
        <v>8</v>
      </c>
      <c r="S1483" s="3">
        <v>172</v>
      </c>
      <c r="T1483" s="3">
        <v>33.5</v>
      </c>
      <c r="U1483" s="3" t="s">
        <v>44</v>
      </c>
      <c r="V1483" s="18" t="s">
        <v>33</v>
      </c>
    </row>
    <row r="1484" spans="1:22" ht="15" customHeight="1" x14ac:dyDescent="0.25">
      <c r="A1484" s="15" t="s">
        <v>2752</v>
      </c>
      <c r="B1484" s="1" t="s">
        <v>2753</v>
      </c>
      <c r="C1484">
        <v>83</v>
      </c>
      <c r="D1484" s="1" t="s">
        <v>36</v>
      </c>
      <c r="E1484" s="1" t="s">
        <v>48</v>
      </c>
      <c r="F1484" s="1" t="s">
        <v>70</v>
      </c>
      <c r="G1484" s="1" t="s">
        <v>77</v>
      </c>
      <c r="H1484" s="1" t="s">
        <v>26</v>
      </c>
      <c r="I1484" s="7">
        <v>45512</v>
      </c>
      <c r="J1484" s="7">
        <v>45525</v>
      </c>
      <c r="K1484" s="1">
        <v>13</v>
      </c>
      <c r="L1484" s="1" t="s">
        <v>102</v>
      </c>
      <c r="M1484" s="1" t="s">
        <v>28</v>
      </c>
      <c r="N1484" s="1" t="s">
        <v>216</v>
      </c>
      <c r="O1484" s="1" t="s">
        <v>104</v>
      </c>
      <c r="P1484" s="29">
        <v>65215.63</v>
      </c>
      <c r="Q1484" s="1" t="s">
        <v>95</v>
      </c>
      <c r="R1484" s="1">
        <v>10</v>
      </c>
      <c r="S1484" s="1">
        <v>312</v>
      </c>
      <c r="T1484" s="1">
        <v>38.799999999999997</v>
      </c>
      <c r="U1484" s="1" t="s">
        <v>86</v>
      </c>
      <c r="V1484" s="17" t="s">
        <v>33</v>
      </c>
    </row>
    <row r="1485" spans="1:22" ht="15" customHeight="1" x14ac:dyDescent="0.25">
      <c r="A1485" s="16" t="s">
        <v>2754</v>
      </c>
      <c r="B1485" s="3" t="s">
        <v>2755</v>
      </c>
      <c r="C1485">
        <v>45</v>
      </c>
      <c r="D1485" s="3" t="s">
        <v>98</v>
      </c>
      <c r="E1485" s="3" t="s">
        <v>23</v>
      </c>
      <c r="F1485" s="3" t="s">
        <v>83</v>
      </c>
      <c r="G1485" s="3" t="s">
        <v>50</v>
      </c>
      <c r="H1485" s="3" t="s">
        <v>26</v>
      </c>
      <c r="I1485" s="8">
        <v>44895</v>
      </c>
      <c r="J1485" s="8">
        <v>44910</v>
      </c>
      <c r="K1485" s="3">
        <v>15</v>
      </c>
      <c r="L1485" s="3" t="s">
        <v>102</v>
      </c>
      <c r="M1485" s="3" t="s">
        <v>28</v>
      </c>
      <c r="N1485" s="3" t="s">
        <v>126</v>
      </c>
      <c r="O1485" s="3" t="s">
        <v>104</v>
      </c>
      <c r="P1485" s="30">
        <v>56756.73</v>
      </c>
      <c r="Q1485" s="3" t="s">
        <v>623</v>
      </c>
      <c r="R1485" s="3">
        <v>5</v>
      </c>
      <c r="S1485" s="3">
        <v>339</v>
      </c>
      <c r="T1485" s="3">
        <v>27.5</v>
      </c>
      <c r="U1485" s="3" t="s">
        <v>86</v>
      </c>
      <c r="V1485" s="18" t="s">
        <v>33</v>
      </c>
    </row>
    <row r="1486" spans="1:22" ht="15" customHeight="1" x14ac:dyDescent="0.25">
      <c r="A1486" s="15" t="s">
        <v>2756</v>
      </c>
      <c r="B1486" s="1" t="s">
        <v>2757</v>
      </c>
      <c r="C1486">
        <v>68</v>
      </c>
      <c r="D1486" s="1" t="s">
        <v>82</v>
      </c>
      <c r="E1486" s="1" t="s">
        <v>23</v>
      </c>
      <c r="F1486" s="1" t="s">
        <v>70</v>
      </c>
      <c r="G1486" s="1" t="s">
        <v>25</v>
      </c>
      <c r="H1486" s="1" t="s">
        <v>78</v>
      </c>
      <c r="I1486" s="7">
        <v>43540</v>
      </c>
      <c r="J1486" s="7">
        <v>43549</v>
      </c>
      <c r="K1486" s="1">
        <v>9</v>
      </c>
      <c r="L1486" s="1" t="s">
        <v>52</v>
      </c>
      <c r="M1486" s="1" t="s">
        <v>53</v>
      </c>
      <c r="N1486" s="1" t="s">
        <v>65</v>
      </c>
      <c r="O1486" s="1" t="s">
        <v>42</v>
      </c>
      <c r="P1486" s="29">
        <v>121342.21</v>
      </c>
      <c r="Q1486" s="1" t="s">
        <v>105</v>
      </c>
      <c r="R1486" s="1">
        <v>12</v>
      </c>
      <c r="S1486" s="1">
        <v>330</v>
      </c>
      <c r="T1486" s="1">
        <v>24.9</v>
      </c>
      <c r="U1486" s="1" t="s">
        <v>44</v>
      </c>
      <c r="V1486" s="17" t="s">
        <v>45</v>
      </c>
    </row>
    <row r="1487" spans="1:22" ht="15" customHeight="1" x14ac:dyDescent="0.25">
      <c r="A1487" s="16" t="s">
        <v>2758</v>
      </c>
      <c r="B1487" s="3" t="s">
        <v>2759</v>
      </c>
      <c r="C1487">
        <v>82</v>
      </c>
      <c r="D1487" s="3" t="s">
        <v>36</v>
      </c>
      <c r="E1487" s="3" t="s">
        <v>23</v>
      </c>
      <c r="F1487" s="3" t="s">
        <v>70</v>
      </c>
      <c r="G1487" s="3" t="s">
        <v>50</v>
      </c>
      <c r="H1487" s="3" t="s">
        <v>51</v>
      </c>
      <c r="I1487" s="6">
        <v>43519</v>
      </c>
      <c r="J1487" s="8">
        <v>43522</v>
      </c>
      <c r="K1487" s="3">
        <v>3</v>
      </c>
      <c r="L1487" s="3" t="s">
        <v>39</v>
      </c>
      <c r="M1487" s="3" t="s">
        <v>40</v>
      </c>
      <c r="N1487" s="3" t="s">
        <v>126</v>
      </c>
      <c r="O1487" s="3" t="s">
        <v>66</v>
      </c>
      <c r="P1487" s="30">
        <v>75609.7</v>
      </c>
      <c r="Q1487" s="3" t="s">
        <v>56</v>
      </c>
      <c r="R1487" s="3">
        <v>7</v>
      </c>
      <c r="S1487" s="3">
        <v>104</v>
      </c>
      <c r="T1487" s="3">
        <v>18.399999999999999</v>
      </c>
      <c r="U1487" s="3" t="s">
        <v>44</v>
      </c>
      <c r="V1487" s="18" t="s">
        <v>33</v>
      </c>
    </row>
    <row r="1488" spans="1:22" ht="15" customHeight="1" x14ac:dyDescent="0.25">
      <c r="A1488" s="15" t="s">
        <v>2760</v>
      </c>
      <c r="B1488" s="1" t="s">
        <v>2761</v>
      </c>
      <c r="C1488">
        <v>29</v>
      </c>
      <c r="D1488" s="1" t="s">
        <v>47</v>
      </c>
      <c r="E1488" s="1" t="s">
        <v>48</v>
      </c>
      <c r="F1488" s="1" t="s">
        <v>49</v>
      </c>
      <c r="G1488" s="1" t="s">
        <v>77</v>
      </c>
      <c r="H1488" s="1" t="s">
        <v>26</v>
      </c>
      <c r="I1488" s="7">
        <v>43845</v>
      </c>
      <c r="J1488" s="7">
        <v>43863</v>
      </c>
      <c r="K1488" s="1">
        <v>18</v>
      </c>
      <c r="L1488" s="1" t="s">
        <v>27</v>
      </c>
      <c r="M1488" s="1" t="s">
        <v>28</v>
      </c>
      <c r="N1488" s="1" t="s">
        <v>94</v>
      </c>
      <c r="O1488" s="1" t="s">
        <v>30</v>
      </c>
      <c r="P1488" s="29">
        <v>75368</v>
      </c>
      <c r="Q1488" s="1" t="s">
        <v>95</v>
      </c>
      <c r="R1488" s="1">
        <v>5</v>
      </c>
      <c r="S1488" s="1">
        <v>314</v>
      </c>
      <c r="T1488" s="1">
        <v>40.4</v>
      </c>
      <c r="U1488" s="1" t="s">
        <v>86</v>
      </c>
      <c r="V1488" s="17" t="s">
        <v>33</v>
      </c>
    </row>
    <row r="1489" spans="1:22" ht="15" customHeight="1" x14ac:dyDescent="0.25">
      <c r="A1489" s="16" t="s">
        <v>2762</v>
      </c>
      <c r="B1489" s="3" t="s">
        <v>2763</v>
      </c>
      <c r="C1489">
        <v>44</v>
      </c>
      <c r="D1489" s="3" t="s">
        <v>98</v>
      </c>
      <c r="E1489" s="3" t="s">
        <v>23</v>
      </c>
      <c r="F1489" s="3" t="s">
        <v>83</v>
      </c>
      <c r="G1489" s="3" t="s">
        <v>50</v>
      </c>
      <c r="H1489" s="3" t="s">
        <v>26</v>
      </c>
      <c r="I1489" s="8">
        <v>43481</v>
      </c>
      <c r="J1489" s="8">
        <v>43496</v>
      </c>
      <c r="K1489" s="3">
        <v>15</v>
      </c>
      <c r="L1489" s="3" t="s">
        <v>52</v>
      </c>
      <c r="M1489" s="3" t="s">
        <v>53</v>
      </c>
      <c r="N1489" s="3" t="s">
        <v>116</v>
      </c>
      <c r="O1489" s="3" t="s">
        <v>104</v>
      </c>
      <c r="P1489" s="30">
        <v>34022.370000000003</v>
      </c>
      <c r="Q1489" s="3" t="s">
        <v>194</v>
      </c>
      <c r="R1489" s="3">
        <v>9</v>
      </c>
      <c r="S1489" s="3">
        <v>354</v>
      </c>
      <c r="T1489" s="3">
        <v>22.7</v>
      </c>
      <c r="U1489" s="3" t="s">
        <v>44</v>
      </c>
      <c r="V1489" s="18" t="s">
        <v>33</v>
      </c>
    </row>
    <row r="1490" spans="1:22" ht="15" customHeight="1" x14ac:dyDescent="0.25">
      <c r="A1490" s="15" t="s">
        <v>2764</v>
      </c>
      <c r="B1490" s="1" t="s">
        <v>997</v>
      </c>
      <c r="C1490">
        <v>25</v>
      </c>
      <c r="D1490" s="1" t="s">
        <v>47</v>
      </c>
      <c r="E1490" s="1" t="s">
        <v>23</v>
      </c>
      <c r="F1490" s="1" t="s">
        <v>24</v>
      </c>
      <c r="G1490" s="1" t="s">
        <v>25</v>
      </c>
      <c r="H1490" s="1" t="s">
        <v>26</v>
      </c>
      <c r="I1490" s="7">
        <v>45223</v>
      </c>
      <c r="J1490" s="7">
        <v>45259</v>
      </c>
      <c r="K1490" s="1">
        <v>36</v>
      </c>
      <c r="L1490" s="1" t="s">
        <v>27</v>
      </c>
      <c r="M1490" s="1" t="s">
        <v>28</v>
      </c>
      <c r="N1490" s="1" t="s">
        <v>65</v>
      </c>
      <c r="O1490" s="1" t="s">
        <v>30</v>
      </c>
      <c r="P1490" s="29">
        <v>46306.98</v>
      </c>
      <c r="Q1490" s="1" t="s">
        <v>198</v>
      </c>
      <c r="R1490" s="1">
        <v>12</v>
      </c>
      <c r="S1490" s="1">
        <v>284</v>
      </c>
      <c r="T1490" s="4"/>
      <c r="U1490" s="1" t="s">
        <v>44</v>
      </c>
      <c r="V1490" s="17" t="s">
        <v>33</v>
      </c>
    </row>
    <row r="1491" spans="1:22" ht="15" customHeight="1" x14ac:dyDescent="0.25">
      <c r="A1491" s="16" t="s">
        <v>2765</v>
      </c>
      <c r="B1491" s="3" t="s">
        <v>708</v>
      </c>
      <c r="C1491">
        <v>56</v>
      </c>
      <c r="D1491" s="3" t="s">
        <v>59</v>
      </c>
      <c r="E1491" s="3" t="s">
        <v>48</v>
      </c>
      <c r="F1491" s="3" t="s">
        <v>24</v>
      </c>
      <c r="G1491" s="3" t="s">
        <v>77</v>
      </c>
      <c r="H1491" s="3" t="s">
        <v>26</v>
      </c>
      <c r="I1491" s="6">
        <v>44250</v>
      </c>
      <c r="J1491" s="8">
        <v>44259</v>
      </c>
      <c r="K1491" s="3">
        <v>9</v>
      </c>
      <c r="L1491" s="3" t="s">
        <v>89</v>
      </c>
      <c r="M1491" s="3" t="s">
        <v>90</v>
      </c>
      <c r="N1491" s="3" t="s">
        <v>94</v>
      </c>
      <c r="O1491" s="3" t="s">
        <v>104</v>
      </c>
      <c r="P1491" s="30">
        <v>93489</v>
      </c>
      <c r="Q1491" s="3" t="s">
        <v>181</v>
      </c>
      <c r="R1491" s="3">
        <v>10</v>
      </c>
      <c r="S1491" s="3">
        <v>334</v>
      </c>
      <c r="T1491" s="3">
        <v>28.3</v>
      </c>
      <c r="U1491" s="3" t="s">
        <v>44</v>
      </c>
      <c r="V1491" s="18" t="s">
        <v>33</v>
      </c>
    </row>
    <row r="1492" spans="1:22" ht="15" customHeight="1" x14ac:dyDescent="0.25">
      <c r="A1492" s="15" t="s">
        <v>2766</v>
      </c>
      <c r="B1492" s="1" t="s">
        <v>2168</v>
      </c>
      <c r="C1492">
        <v>72</v>
      </c>
      <c r="D1492" s="1" t="s">
        <v>82</v>
      </c>
      <c r="E1492" s="1" t="s">
        <v>23</v>
      </c>
      <c r="F1492" s="1" t="s">
        <v>49</v>
      </c>
      <c r="G1492" s="1" t="s">
        <v>163</v>
      </c>
      <c r="H1492" s="1" t="s">
        <v>51</v>
      </c>
      <c r="I1492" s="7">
        <v>44086</v>
      </c>
      <c r="J1492" s="7">
        <v>44090</v>
      </c>
      <c r="K1492" s="1">
        <v>4</v>
      </c>
      <c r="L1492" s="1" t="s">
        <v>89</v>
      </c>
      <c r="M1492" s="1" t="s">
        <v>90</v>
      </c>
      <c r="N1492" s="1" t="s">
        <v>346</v>
      </c>
      <c r="O1492" s="1" t="s">
        <v>30</v>
      </c>
      <c r="P1492" s="29">
        <v>24618.91</v>
      </c>
      <c r="Q1492" s="1" t="s">
        <v>234</v>
      </c>
      <c r="R1492" s="1">
        <v>3</v>
      </c>
      <c r="S1492" s="1">
        <v>140</v>
      </c>
      <c r="T1492" s="1">
        <v>26.5</v>
      </c>
      <c r="U1492" s="1" t="s">
        <v>44</v>
      </c>
      <c r="V1492" s="17" t="s">
        <v>33</v>
      </c>
    </row>
    <row r="1493" spans="1:22" ht="15" customHeight="1" x14ac:dyDescent="0.25">
      <c r="A1493" s="16" t="s">
        <v>2767</v>
      </c>
      <c r="B1493" s="3" t="s">
        <v>2768</v>
      </c>
      <c r="C1493">
        <v>38</v>
      </c>
      <c r="D1493" s="3" t="s">
        <v>98</v>
      </c>
      <c r="E1493" s="3" t="s">
        <v>23</v>
      </c>
      <c r="F1493" s="3" t="s">
        <v>155</v>
      </c>
      <c r="G1493" s="3" t="s">
        <v>60</v>
      </c>
      <c r="H1493" s="3" t="s">
        <v>26</v>
      </c>
      <c r="I1493" s="6">
        <v>45240</v>
      </c>
      <c r="J1493" s="8">
        <v>45217</v>
      </c>
      <c r="K1493" s="3">
        <v>7</v>
      </c>
      <c r="L1493" s="3" t="s">
        <v>231</v>
      </c>
      <c r="M1493" s="3" t="s">
        <v>53</v>
      </c>
      <c r="N1493" s="3" t="s">
        <v>210</v>
      </c>
      <c r="O1493" s="3" t="s">
        <v>30</v>
      </c>
      <c r="P1493" s="30">
        <v>31086</v>
      </c>
      <c r="Q1493" s="3" t="s">
        <v>170</v>
      </c>
      <c r="R1493" s="3">
        <v>6</v>
      </c>
      <c r="S1493" s="3">
        <v>295</v>
      </c>
      <c r="T1493" s="3">
        <v>30.5</v>
      </c>
      <c r="U1493" s="3" t="s">
        <v>32</v>
      </c>
      <c r="V1493" s="18" t="s">
        <v>33</v>
      </c>
    </row>
    <row r="1494" spans="1:22" ht="15" customHeight="1" x14ac:dyDescent="0.25">
      <c r="A1494" s="15" t="s">
        <v>2769</v>
      </c>
      <c r="B1494" s="1" t="s">
        <v>2770</v>
      </c>
      <c r="C1494">
        <v>69</v>
      </c>
      <c r="D1494" s="1" t="s">
        <v>82</v>
      </c>
      <c r="E1494" s="1" t="s">
        <v>48</v>
      </c>
      <c r="F1494" s="1" t="s">
        <v>24</v>
      </c>
      <c r="G1494" s="1" t="s">
        <v>77</v>
      </c>
      <c r="H1494" s="1" t="s">
        <v>26</v>
      </c>
      <c r="I1494" s="7">
        <v>43829</v>
      </c>
      <c r="J1494" s="7">
        <v>43840</v>
      </c>
      <c r="K1494" s="1">
        <v>11</v>
      </c>
      <c r="L1494" s="1" t="s">
        <v>132</v>
      </c>
      <c r="M1494" s="1" t="s">
        <v>53</v>
      </c>
      <c r="N1494" s="1" t="s">
        <v>84</v>
      </c>
      <c r="O1494" s="1" t="s">
        <v>104</v>
      </c>
      <c r="P1494" s="29">
        <v>70101.08</v>
      </c>
      <c r="Q1494" s="1" t="s">
        <v>85</v>
      </c>
      <c r="R1494" s="1">
        <v>9</v>
      </c>
      <c r="S1494" s="1">
        <v>327</v>
      </c>
      <c r="T1494" s="1">
        <v>36.5</v>
      </c>
      <c r="U1494" s="1" t="s">
        <v>44</v>
      </c>
      <c r="V1494" s="17" t="s">
        <v>33</v>
      </c>
    </row>
    <row r="1495" spans="1:22" ht="15" customHeight="1" x14ac:dyDescent="0.25">
      <c r="A1495" s="16" t="s">
        <v>2771</v>
      </c>
      <c r="B1495" s="3" t="s">
        <v>2772</v>
      </c>
      <c r="C1495">
        <v>56</v>
      </c>
      <c r="D1495" s="3" t="s">
        <v>59</v>
      </c>
      <c r="E1495" s="3" t="s">
        <v>48</v>
      </c>
      <c r="F1495" s="3" t="s">
        <v>24</v>
      </c>
      <c r="G1495" s="3" t="s">
        <v>77</v>
      </c>
      <c r="H1495" s="3" t="s">
        <v>26</v>
      </c>
      <c r="I1495" s="8">
        <v>44739</v>
      </c>
      <c r="J1495" s="8">
        <v>44751</v>
      </c>
      <c r="K1495" s="3">
        <v>12</v>
      </c>
      <c r="L1495" s="3" t="s">
        <v>231</v>
      </c>
      <c r="M1495" s="3" t="s">
        <v>53</v>
      </c>
      <c r="N1495" s="3" t="s">
        <v>84</v>
      </c>
      <c r="O1495" s="3" t="s">
        <v>55</v>
      </c>
      <c r="P1495" s="30">
        <v>176154.79</v>
      </c>
      <c r="Q1495" s="3" t="s">
        <v>95</v>
      </c>
      <c r="R1495" s="3">
        <v>10</v>
      </c>
      <c r="S1495" s="3">
        <v>378</v>
      </c>
      <c r="T1495" s="4"/>
      <c r="U1495" s="3" t="s">
        <v>32</v>
      </c>
      <c r="V1495" s="18" t="s">
        <v>33</v>
      </c>
    </row>
    <row r="1496" spans="1:22" ht="15" customHeight="1" x14ac:dyDescent="0.25">
      <c r="A1496" s="15" t="s">
        <v>2773</v>
      </c>
      <c r="B1496" s="1" t="s">
        <v>2774</v>
      </c>
      <c r="C1496">
        <v>23</v>
      </c>
      <c r="D1496" s="1" t="s">
        <v>47</v>
      </c>
      <c r="E1496" s="1" t="s">
        <v>23</v>
      </c>
      <c r="F1496" s="1" t="s">
        <v>70</v>
      </c>
      <c r="G1496" s="1" t="s">
        <v>77</v>
      </c>
      <c r="H1496" s="1" t="s">
        <v>26</v>
      </c>
      <c r="I1496" s="6">
        <v>44375</v>
      </c>
      <c r="J1496" s="7">
        <v>44391</v>
      </c>
      <c r="K1496" s="1">
        <v>16</v>
      </c>
      <c r="L1496" s="1" t="s">
        <v>112</v>
      </c>
      <c r="M1496" s="1" t="s">
        <v>40</v>
      </c>
      <c r="N1496" s="1" t="s">
        <v>94</v>
      </c>
      <c r="O1496" s="1" t="s">
        <v>55</v>
      </c>
      <c r="P1496" s="29">
        <v>83711</v>
      </c>
      <c r="Q1496" s="1" t="s">
        <v>223</v>
      </c>
      <c r="R1496" s="1">
        <v>10</v>
      </c>
      <c r="S1496" s="1">
        <v>333</v>
      </c>
      <c r="T1496" s="1">
        <v>27.4</v>
      </c>
      <c r="U1496" s="1" t="s">
        <v>44</v>
      </c>
      <c r="V1496" s="17" t="s">
        <v>33</v>
      </c>
    </row>
    <row r="1497" spans="1:22" ht="15" customHeight="1" x14ac:dyDescent="0.25">
      <c r="A1497" s="16" t="s">
        <v>2775</v>
      </c>
      <c r="B1497" s="2" t="s">
        <v>3676</v>
      </c>
      <c r="C1497">
        <v>89</v>
      </c>
      <c r="D1497" s="3" t="s">
        <v>36</v>
      </c>
      <c r="E1497" s="3" t="s">
        <v>48</v>
      </c>
      <c r="F1497" s="3" t="s">
        <v>70</v>
      </c>
      <c r="G1497" s="3" t="s">
        <v>50</v>
      </c>
      <c r="H1497" s="3" t="s">
        <v>26</v>
      </c>
      <c r="I1497" s="6">
        <v>45189</v>
      </c>
      <c r="J1497" s="8">
        <v>45195</v>
      </c>
      <c r="K1497" s="3">
        <v>6</v>
      </c>
      <c r="L1497" s="3" t="s">
        <v>39</v>
      </c>
      <c r="M1497" s="3" t="s">
        <v>40</v>
      </c>
      <c r="N1497" s="3" t="s">
        <v>54</v>
      </c>
      <c r="O1497" s="3" t="s">
        <v>55</v>
      </c>
      <c r="P1497" s="30">
        <v>103246.51</v>
      </c>
      <c r="Q1497" s="3" t="s">
        <v>127</v>
      </c>
      <c r="R1497" s="3">
        <v>9</v>
      </c>
      <c r="S1497" s="3">
        <v>377</v>
      </c>
      <c r="T1497" s="3">
        <v>25.9</v>
      </c>
      <c r="U1497" s="3" t="s">
        <v>32</v>
      </c>
      <c r="V1497" s="18" t="s">
        <v>45</v>
      </c>
    </row>
    <row r="1498" spans="1:22" ht="15" customHeight="1" x14ac:dyDescent="0.25">
      <c r="A1498" s="15" t="s">
        <v>2776</v>
      </c>
      <c r="B1498" s="1" t="s">
        <v>2777</v>
      </c>
      <c r="C1498">
        <v>55</v>
      </c>
      <c r="D1498" s="1" t="s">
        <v>59</v>
      </c>
      <c r="E1498" s="1" t="s">
        <v>48</v>
      </c>
      <c r="F1498" s="1" t="s">
        <v>76</v>
      </c>
      <c r="G1498" s="1" t="s">
        <v>131</v>
      </c>
      <c r="H1498" s="1" t="s">
        <v>26</v>
      </c>
      <c r="I1498" s="7">
        <v>44216</v>
      </c>
      <c r="J1498" s="7">
        <v>44220</v>
      </c>
      <c r="K1498" s="1">
        <v>4</v>
      </c>
      <c r="L1498" s="1" t="s">
        <v>89</v>
      </c>
      <c r="M1498" s="1" t="s">
        <v>90</v>
      </c>
      <c r="N1498" s="1" t="s">
        <v>147</v>
      </c>
      <c r="O1498" s="1" t="s">
        <v>55</v>
      </c>
      <c r="P1498" s="29">
        <v>41154.58</v>
      </c>
      <c r="Q1498" s="1" t="s">
        <v>152</v>
      </c>
      <c r="R1498" s="1">
        <v>7</v>
      </c>
      <c r="S1498" s="1">
        <v>341</v>
      </c>
      <c r="T1498" s="1">
        <v>25</v>
      </c>
      <c r="U1498" s="1" t="s">
        <v>44</v>
      </c>
      <c r="V1498" s="17" t="s">
        <v>33</v>
      </c>
    </row>
    <row r="1499" spans="1:22" ht="15" customHeight="1" x14ac:dyDescent="0.25">
      <c r="A1499" s="16" t="s">
        <v>2778</v>
      </c>
      <c r="B1499" s="3" t="s">
        <v>2779</v>
      </c>
      <c r="C1499">
        <v>56</v>
      </c>
      <c r="D1499" s="3" t="s">
        <v>59</v>
      </c>
      <c r="E1499" s="3" t="s">
        <v>23</v>
      </c>
      <c r="F1499" s="3" t="s">
        <v>83</v>
      </c>
      <c r="G1499" s="3" t="s">
        <v>131</v>
      </c>
      <c r="H1499" s="3" t="s">
        <v>26</v>
      </c>
      <c r="I1499" s="8">
        <v>45200</v>
      </c>
      <c r="J1499" s="8">
        <v>45203</v>
      </c>
      <c r="K1499" s="3">
        <v>3</v>
      </c>
      <c r="L1499" s="3" t="s">
        <v>39</v>
      </c>
      <c r="M1499" s="3" t="s">
        <v>40</v>
      </c>
      <c r="N1499" s="3" t="s">
        <v>157</v>
      </c>
      <c r="O1499" s="3" t="s">
        <v>66</v>
      </c>
      <c r="P1499" s="30">
        <v>53728</v>
      </c>
      <c r="Q1499" s="3" t="s">
        <v>158</v>
      </c>
      <c r="R1499" s="3">
        <v>7</v>
      </c>
      <c r="S1499" s="3">
        <v>333</v>
      </c>
      <c r="T1499" s="3">
        <v>30</v>
      </c>
      <c r="U1499" s="3" t="s">
        <v>86</v>
      </c>
      <c r="V1499" s="18" t="s">
        <v>33</v>
      </c>
    </row>
    <row r="1500" spans="1:22" ht="15" customHeight="1" x14ac:dyDescent="0.25">
      <c r="A1500" s="15" t="s">
        <v>2780</v>
      </c>
      <c r="B1500" s="1" t="s">
        <v>2781</v>
      </c>
      <c r="C1500">
        <v>69</v>
      </c>
      <c r="D1500" s="1" t="s">
        <v>82</v>
      </c>
      <c r="E1500" s="1" t="s">
        <v>48</v>
      </c>
      <c r="F1500" s="1" t="s">
        <v>99</v>
      </c>
      <c r="G1500" s="1" t="s">
        <v>77</v>
      </c>
      <c r="H1500" s="1" t="s">
        <v>51</v>
      </c>
      <c r="I1500" s="7">
        <v>44286</v>
      </c>
      <c r="J1500" s="7">
        <v>44293</v>
      </c>
      <c r="K1500" s="1">
        <v>7</v>
      </c>
      <c r="L1500" s="1" t="s">
        <v>27</v>
      </c>
      <c r="M1500" s="1" t="s">
        <v>28</v>
      </c>
      <c r="N1500" s="1" t="s">
        <v>79</v>
      </c>
      <c r="O1500" s="1" t="s">
        <v>42</v>
      </c>
      <c r="P1500" s="29">
        <v>63230.9</v>
      </c>
      <c r="Q1500" s="1" t="s">
        <v>592</v>
      </c>
      <c r="R1500" s="1">
        <v>10</v>
      </c>
      <c r="S1500" s="1">
        <v>102</v>
      </c>
      <c r="T1500" s="1">
        <v>35.5</v>
      </c>
      <c r="U1500" s="1" t="s">
        <v>86</v>
      </c>
      <c r="V1500" s="17" t="s">
        <v>33</v>
      </c>
    </row>
    <row r="1501" spans="1:22" ht="15" customHeight="1" x14ac:dyDescent="0.25">
      <c r="A1501" s="16" t="s">
        <v>2782</v>
      </c>
      <c r="B1501" s="2" t="s">
        <v>2433</v>
      </c>
      <c r="C1501">
        <v>67</v>
      </c>
      <c r="D1501" s="3" t="s">
        <v>82</v>
      </c>
      <c r="E1501" s="3" t="s">
        <v>48</v>
      </c>
      <c r="F1501" s="3" t="s">
        <v>24</v>
      </c>
      <c r="G1501" s="3" t="s">
        <v>25</v>
      </c>
      <c r="H1501" s="3" t="s">
        <v>78</v>
      </c>
      <c r="I1501" s="8">
        <v>43802</v>
      </c>
      <c r="J1501" s="8">
        <v>43549</v>
      </c>
      <c r="K1501" s="3">
        <v>13</v>
      </c>
      <c r="L1501" s="3" t="s">
        <v>39</v>
      </c>
      <c r="M1501" s="3" t="s">
        <v>40</v>
      </c>
      <c r="N1501" s="3" t="s">
        <v>65</v>
      </c>
      <c r="O1501" s="3" t="s">
        <v>104</v>
      </c>
      <c r="P1501" s="30">
        <v>71205.22</v>
      </c>
      <c r="Q1501" s="3" t="s">
        <v>706</v>
      </c>
      <c r="R1501" s="3">
        <v>11</v>
      </c>
      <c r="S1501" s="3">
        <v>164</v>
      </c>
      <c r="T1501" s="3">
        <v>24.7</v>
      </c>
      <c r="U1501" s="3" t="s">
        <v>44</v>
      </c>
      <c r="V1501" s="18" t="s">
        <v>33</v>
      </c>
    </row>
    <row r="1502" spans="1:22" ht="15" customHeight="1" x14ac:dyDescent="0.25">
      <c r="A1502" s="15" t="s">
        <v>2783</v>
      </c>
      <c r="B1502" s="1" t="s">
        <v>2784</v>
      </c>
      <c r="C1502">
        <v>67</v>
      </c>
      <c r="D1502" s="1" t="s">
        <v>82</v>
      </c>
      <c r="E1502" s="1" t="s">
        <v>23</v>
      </c>
      <c r="F1502" s="1" t="s">
        <v>83</v>
      </c>
      <c r="G1502" s="1" t="s">
        <v>77</v>
      </c>
      <c r="H1502" s="1" t="s">
        <v>26</v>
      </c>
      <c r="I1502" s="7">
        <v>44911</v>
      </c>
      <c r="J1502" s="7">
        <v>44925</v>
      </c>
      <c r="K1502" s="1">
        <v>14</v>
      </c>
      <c r="L1502" s="1" t="s">
        <v>132</v>
      </c>
      <c r="M1502" s="1" t="s">
        <v>53</v>
      </c>
      <c r="N1502" s="1" t="s">
        <v>79</v>
      </c>
      <c r="O1502" s="1" t="s">
        <v>30</v>
      </c>
      <c r="P1502" s="29">
        <v>118841</v>
      </c>
      <c r="Q1502" s="1" t="s">
        <v>91</v>
      </c>
      <c r="R1502" s="1">
        <v>9</v>
      </c>
      <c r="S1502" s="1">
        <v>387</v>
      </c>
      <c r="T1502" s="1">
        <v>31.2</v>
      </c>
      <c r="U1502" s="1" t="s">
        <v>44</v>
      </c>
      <c r="V1502" s="17" t="s">
        <v>45</v>
      </c>
    </row>
    <row r="1503" spans="1:22" ht="15" customHeight="1" x14ac:dyDescent="0.25">
      <c r="A1503" s="16" t="s">
        <v>2785</v>
      </c>
      <c r="B1503" s="2" t="s">
        <v>682</v>
      </c>
      <c r="C1503">
        <v>66</v>
      </c>
      <c r="D1503" s="3" t="s">
        <v>82</v>
      </c>
      <c r="E1503" s="3" t="s">
        <v>23</v>
      </c>
      <c r="F1503" s="2" t="s">
        <v>76</v>
      </c>
      <c r="G1503" s="3" t="s">
        <v>163</v>
      </c>
      <c r="H1503" s="3" t="s">
        <v>51</v>
      </c>
      <c r="I1503" s="8">
        <v>44916</v>
      </c>
      <c r="J1503" s="8">
        <v>44919</v>
      </c>
      <c r="K1503" s="3">
        <v>3</v>
      </c>
      <c r="L1503" s="3" t="s">
        <v>132</v>
      </c>
      <c r="M1503" s="3" t="s">
        <v>53</v>
      </c>
      <c r="N1503" s="3" t="s">
        <v>346</v>
      </c>
      <c r="O1503" s="3" t="s">
        <v>30</v>
      </c>
      <c r="P1503" s="30">
        <v>24003.93</v>
      </c>
      <c r="Q1503" s="3" t="s">
        <v>257</v>
      </c>
      <c r="R1503" s="3">
        <v>2</v>
      </c>
      <c r="S1503" s="3">
        <v>168</v>
      </c>
      <c r="T1503" s="3">
        <v>34.5</v>
      </c>
      <c r="U1503" s="3" t="s">
        <v>32</v>
      </c>
      <c r="V1503" s="18" t="s">
        <v>33</v>
      </c>
    </row>
    <row r="1504" spans="1:22" ht="15" customHeight="1" x14ac:dyDescent="0.25">
      <c r="A1504" s="15" t="s">
        <v>2786</v>
      </c>
      <c r="B1504" s="1" t="s">
        <v>2787</v>
      </c>
      <c r="C1504">
        <v>15</v>
      </c>
      <c r="D1504" s="1" t="s">
        <v>22</v>
      </c>
      <c r="E1504" s="1" t="s">
        <v>23</v>
      </c>
      <c r="F1504" s="1" t="s">
        <v>24</v>
      </c>
      <c r="G1504" s="1" t="s">
        <v>163</v>
      </c>
      <c r="H1504" s="1" t="s">
        <v>26</v>
      </c>
      <c r="I1504" s="6">
        <v>43971</v>
      </c>
      <c r="J1504" s="7">
        <v>43982</v>
      </c>
      <c r="K1504" s="1">
        <v>11</v>
      </c>
      <c r="L1504" s="1" t="s">
        <v>52</v>
      </c>
      <c r="M1504" s="1" t="s">
        <v>53</v>
      </c>
      <c r="N1504" s="1" t="s">
        <v>213</v>
      </c>
      <c r="O1504" s="1" t="s">
        <v>30</v>
      </c>
      <c r="P1504" s="29">
        <v>23239.07</v>
      </c>
      <c r="Q1504" s="1" t="s">
        <v>259</v>
      </c>
      <c r="R1504" s="1">
        <v>6</v>
      </c>
      <c r="S1504" s="1">
        <v>366</v>
      </c>
      <c r="T1504" s="1">
        <v>30.6</v>
      </c>
      <c r="U1504" s="1" t="s">
        <v>44</v>
      </c>
      <c r="V1504" s="17" t="s">
        <v>33</v>
      </c>
    </row>
    <row r="1505" spans="1:22" ht="15" customHeight="1" x14ac:dyDescent="0.25">
      <c r="A1505" s="16" t="s">
        <v>2788</v>
      </c>
      <c r="B1505" s="3" t="s">
        <v>2789</v>
      </c>
      <c r="C1505">
        <v>41</v>
      </c>
      <c r="D1505" s="3" t="s">
        <v>98</v>
      </c>
      <c r="E1505" s="3" t="s">
        <v>23</v>
      </c>
      <c r="F1505" s="3" t="s">
        <v>99</v>
      </c>
      <c r="G1505" s="3" t="s">
        <v>71</v>
      </c>
      <c r="H1505" s="3" t="s">
        <v>51</v>
      </c>
      <c r="I1505" s="8">
        <v>45149</v>
      </c>
      <c r="J1505" s="8">
        <v>45210</v>
      </c>
      <c r="K1505" s="3">
        <v>2</v>
      </c>
      <c r="L1505" s="3" t="s">
        <v>52</v>
      </c>
      <c r="M1505" s="3" t="s">
        <v>53</v>
      </c>
      <c r="N1505" s="3" t="s">
        <v>72</v>
      </c>
      <c r="O1505" s="3" t="s">
        <v>42</v>
      </c>
      <c r="P1505" s="30">
        <v>9950.42</v>
      </c>
      <c r="Q1505" s="3" t="s">
        <v>178</v>
      </c>
      <c r="R1505" s="3">
        <v>5</v>
      </c>
      <c r="S1505" s="3">
        <v>178</v>
      </c>
      <c r="T1505" s="3">
        <v>29.1</v>
      </c>
      <c r="U1505" s="3" t="s">
        <v>32</v>
      </c>
      <c r="V1505" s="18" t="s">
        <v>33</v>
      </c>
    </row>
    <row r="1506" spans="1:22" ht="15" customHeight="1" x14ac:dyDescent="0.25">
      <c r="A1506" s="15" t="s">
        <v>2790</v>
      </c>
      <c r="B1506" s="2" t="s">
        <v>1760</v>
      </c>
      <c r="C1506">
        <v>35</v>
      </c>
      <c r="D1506" s="1" t="s">
        <v>98</v>
      </c>
      <c r="E1506" s="1" t="s">
        <v>23</v>
      </c>
      <c r="F1506" s="1" t="s">
        <v>83</v>
      </c>
      <c r="G1506" s="1" t="s">
        <v>131</v>
      </c>
      <c r="H1506" s="1" t="s">
        <v>78</v>
      </c>
      <c r="I1506" s="6">
        <v>45354</v>
      </c>
      <c r="J1506" s="7">
        <v>45356</v>
      </c>
      <c r="K1506" s="1">
        <v>2</v>
      </c>
      <c r="L1506" s="1" t="s">
        <v>122</v>
      </c>
      <c r="M1506" s="1" t="s">
        <v>40</v>
      </c>
      <c r="N1506" s="1" t="s">
        <v>157</v>
      </c>
      <c r="O1506" s="1" t="s">
        <v>66</v>
      </c>
      <c r="P1506" s="29">
        <v>35420.160000000003</v>
      </c>
      <c r="Q1506" s="1" t="s">
        <v>152</v>
      </c>
      <c r="R1506" s="1">
        <v>6</v>
      </c>
      <c r="S1506" s="1">
        <v>241</v>
      </c>
      <c r="T1506" s="1">
        <v>24.3</v>
      </c>
      <c r="U1506" s="1" t="s">
        <v>44</v>
      </c>
      <c r="V1506" s="17" t="s">
        <v>33</v>
      </c>
    </row>
    <row r="1507" spans="1:22" ht="15" customHeight="1" x14ac:dyDescent="0.25">
      <c r="A1507" s="16" t="s">
        <v>2791</v>
      </c>
      <c r="B1507" s="3" t="s">
        <v>2792</v>
      </c>
      <c r="C1507">
        <v>92</v>
      </c>
      <c r="D1507" s="3" t="s">
        <v>36</v>
      </c>
      <c r="E1507" s="3" t="s">
        <v>23</v>
      </c>
      <c r="F1507" s="2" t="s">
        <v>155</v>
      </c>
      <c r="G1507" s="3" t="s">
        <v>131</v>
      </c>
      <c r="H1507" s="3" t="s">
        <v>26</v>
      </c>
      <c r="I1507" s="6">
        <v>43790</v>
      </c>
      <c r="J1507" s="8">
        <v>43798</v>
      </c>
      <c r="K1507" s="3">
        <v>8</v>
      </c>
      <c r="L1507" s="3" t="s">
        <v>122</v>
      </c>
      <c r="M1507" s="3" t="s">
        <v>40</v>
      </c>
      <c r="N1507" s="3" t="s">
        <v>157</v>
      </c>
      <c r="O1507" s="3" t="s">
        <v>42</v>
      </c>
      <c r="P1507" s="30">
        <v>77581.84</v>
      </c>
      <c r="Q1507" s="3" t="s">
        <v>148</v>
      </c>
      <c r="R1507" s="3">
        <v>7</v>
      </c>
      <c r="S1507" s="3">
        <v>330</v>
      </c>
      <c r="T1507" s="4"/>
      <c r="U1507" s="3" t="s">
        <v>44</v>
      </c>
      <c r="V1507" s="18" t="s">
        <v>33</v>
      </c>
    </row>
    <row r="1508" spans="1:22" ht="15" customHeight="1" x14ac:dyDescent="0.25">
      <c r="A1508" s="15" t="s">
        <v>2793</v>
      </c>
      <c r="B1508" s="2" t="s">
        <v>3677</v>
      </c>
      <c r="C1508">
        <v>71</v>
      </c>
      <c r="D1508" s="1" t="s">
        <v>82</v>
      </c>
      <c r="E1508" s="1" t="s">
        <v>48</v>
      </c>
      <c r="F1508" s="1" t="s">
        <v>99</v>
      </c>
      <c r="G1508" s="1" t="s">
        <v>77</v>
      </c>
      <c r="H1508" s="1" t="s">
        <v>26</v>
      </c>
      <c r="I1508" s="6">
        <v>44559</v>
      </c>
      <c r="J1508" s="7">
        <v>44579</v>
      </c>
      <c r="K1508" s="1">
        <v>20</v>
      </c>
      <c r="L1508" s="1" t="s">
        <v>112</v>
      </c>
      <c r="M1508" s="1" t="s">
        <v>40</v>
      </c>
      <c r="N1508" s="1" t="s">
        <v>94</v>
      </c>
      <c r="O1508" s="1" t="s">
        <v>30</v>
      </c>
      <c r="P1508" s="29">
        <v>101980</v>
      </c>
      <c r="Q1508" s="1" t="s">
        <v>100</v>
      </c>
      <c r="R1508" s="1">
        <v>9</v>
      </c>
      <c r="S1508" s="1">
        <v>373</v>
      </c>
      <c r="T1508" s="1">
        <v>36.4</v>
      </c>
      <c r="U1508" s="1" t="s">
        <v>44</v>
      </c>
      <c r="V1508" s="17" t="s">
        <v>45</v>
      </c>
    </row>
    <row r="1509" spans="1:22" ht="15" customHeight="1" x14ac:dyDescent="0.25">
      <c r="A1509" s="16" t="s">
        <v>2794</v>
      </c>
      <c r="B1509" s="3" t="s">
        <v>2795</v>
      </c>
      <c r="C1509">
        <v>67</v>
      </c>
      <c r="D1509" s="3" t="s">
        <v>82</v>
      </c>
      <c r="E1509" s="3" t="s">
        <v>23</v>
      </c>
      <c r="F1509" s="3" t="s">
        <v>83</v>
      </c>
      <c r="G1509" s="3" t="s">
        <v>38</v>
      </c>
      <c r="H1509" s="3" t="s">
        <v>51</v>
      </c>
      <c r="I1509" s="8">
        <v>44143</v>
      </c>
      <c r="J1509" s="8">
        <v>44147</v>
      </c>
      <c r="K1509" s="3">
        <v>4</v>
      </c>
      <c r="L1509" s="3" t="s">
        <v>122</v>
      </c>
      <c r="M1509" s="3" t="s">
        <v>40</v>
      </c>
      <c r="N1509" s="3" t="s">
        <v>203</v>
      </c>
      <c r="O1509" s="3" t="s">
        <v>42</v>
      </c>
      <c r="P1509" s="30">
        <v>20701.740000000002</v>
      </c>
      <c r="Q1509" s="3" t="s">
        <v>119</v>
      </c>
      <c r="R1509" s="3">
        <v>8</v>
      </c>
      <c r="S1509" s="3">
        <v>187</v>
      </c>
      <c r="T1509" s="3">
        <v>38.4</v>
      </c>
      <c r="U1509" s="3" t="s">
        <v>44</v>
      </c>
      <c r="V1509" s="18" t="s">
        <v>45</v>
      </c>
    </row>
    <row r="1510" spans="1:22" ht="15" customHeight="1" x14ac:dyDescent="0.25">
      <c r="A1510" s="15" t="s">
        <v>2796</v>
      </c>
      <c r="B1510" s="1" t="s">
        <v>2797</v>
      </c>
      <c r="C1510">
        <v>49</v>
      </c>
      <c r="D1510" s="1" t="s">
        <v>98</v>
      </c>
      <c r="E1510" s="1" t="s">
        <v>23</v>
      </c>
      <c r="F1510" s="1" t="s">
        <v>37</v>
      </c>
      <c r="G1510" s="1" t="s">
        <v>25</v>
      </c>
      <c r="H1510" s="1" t="s">
        <v>26</v>
      </c>
      <c r="I1510" s="7">
        <v>44431</v>
      </c>
      <c r="J1510" s="7">
        <v>44356</v>
      </c>
      <c r="K1510" s="1">
        <v>14</v>
      </c>
      <c r="L1510" s="1" t="s">
        <v>52</v>
      </c>
      <c r="M1510" s="1" t="s">
        <v>53</v>
      </c>
      <c r="N1510" s="1" t="s">
        <v>29</v>
      </c>
      <c r="O1510" s="1" t="s">
        <v>104</v>
      </c>
      <c r="P1510" s="29">
        <v>50003</v>
      </c>
      <c r="Q1510" s="1" t="s">
        <v>67</v>
      </c>
      <c r="R1510" s="1">
        <v>12</v>
      </c>
      <c r="S1510" s="1">
        <v>312</v>
      </c>
      <c r="T1510" s="1">
        <v>23.2</v>
      </c>
      <c r="U1510" s="1" t="s">
        <v>44</v>
      </c>
      <c r="V1510" s="17" t="s">
        <v>33</v>
      </c>
    </row>
    <row r="1511" spans="1:22" ht="15" customHeight="1" x14ac:dyDescent="0.25">
      <c r="A1511" s="16" t="s">
        <v>2798</v>
      </c>
      <c r="B1511" s="2" t="s">
        <v>3678</v>
      </c>
      <c r="C1511">
        <v>82</v>
      </c>
      <c r="D1511" s="3" t="s">
        <v>36</v>
      </c>
      <c r="E1511" s="3" t="s">
        <v>23</v>
      </c>
      <c r="F1511" s="3" t="s">
        <v>99</v>
      </c>
      <c r="G1511" s="3" t="s">
        <v>77</v>
      </c>
      <c r="H1511" s="3" t="s">
        <v>78</v>
      </c>
      <c r="I1511" s="6">
        <v>44699</v>
      </c>
      <c r="J1511" s="8">
        <v>44706</v>
      </c>
      <c r="K1511" s="3">
        <v>7</v>
      </c>
      <c r="L1511" s="3" t="s">
        <v>102</v>
      </c>
      <c r="M1511" s="3" t="s">
        <v>28</v>
      </c>
      <c r="N1511" s="3" t="s">
        <v>84</v>
      </c>
      <c r="O1511" s="3" t="s">
        <v>104</v>
      </c>
      <c r="P1511" s="30">
        <v>32899.94</v>
      </c>
      <c r="Q1511" s="3" t="s">
        <v>95</v>
      </c>
      <c r="R1511" s="3">
        <v>7</v>
      </c>
      <c r="S1511" s="3">
        <v>282</v>
      </c>
      <c r="T1511" s="3">
        <v>23.4</v>
      </c>
      <c r="U1511" s="3" t="s">
        <v>86</v>
      </c>
      <c r="V1511" s="18" t="s">
        <v>33</v>
      </c>
    </row>
    <row r="1512" spans="1:22" ht="15" customHeight="1" x14ac:dyDescent="0.25">
      <c r="A1512" s="15" t="s">
        <v>2799</v>
      </c>
      <c r="B1512" s="1" t="s">
        <v>2800</v>
      </c>
      <c r="C1512">
        <v>62</v>
      </c>
      <c r="D1512" s="1" t="s">
        <v>59</v>
      </c>
      <c r="E1512" s="1" t="s">
        <v>23</v>
      </c>
      <c r="F1512" s="1" t="s">
        <v>70</v>
      </c>
      <c r="G1512" s="1" t="s">
        <v>50</v>
      </c>
      <c r="H1512" s="1" t="s">
        <v>26</v>
      </c>
      <c r="I1512" s="7">
        <v>44157</v>
      </c>
      <c r="J1512" s="7">
        <v>44162</v>
      </c>
      <c r="K1512" s="1">
        <v>5</v>
      </c>
      <c r="L1512" s="1" t="s">
        <v>231</v>
      </c>
      <c r="M1512" s="1" t="s">
        <v>53</v>
      </c>
      <c r="N1512" s="1" t="s">
        <v>116</v>
      </c>
      <c r="O1512" s="1" t="s">
        <v>30</v>
      </c>
      <c r="P1512" s="29">
        <v>39543.949999999997</v>
      </c>
      <c r="Q1512" s="1" t="s">
        <v>85</v>
      </c>
      <c r="R1512" s="1">
        <v>9</v>
      </c>
      <c r="S1512" s="1">
        <v>358</v>
      </c>
      <c r="T1512" s="1">
        <v>26.9</v>
      </c>
      <c r="U1512" s="1" t="s">
        <v>86</v>
      </c>
      <c r="V1512" s="17" t="s">
        <v>33</v>
      </c>
    </row>
    <row r="1513" spans="1:22" ht="15" customHeight="1" x14ac:dyDescent="0.25">
      <c r="A1513" s="16" t="s">
        <v>2801</v>
      </c>
      <c r="B1513" s="2" t="s">
        <v>193</v>
      </c>
      <c r="C1513">
        <v>54</v>
      </c>
      <c r="D1513" s="3" t="s">
        <v>98</v>
      </c>
      <c r="E1513" s="3" t="s">
        <v>23</v>
      </c>
      <c r="F1513" s="3" t="s">
        <v>155</v>
      </c>
      <c r="G1513" s="3" t="s">
        <v>131</v>
      </c>
      <c r="H1513" s="3" t="s">
        <v>78</v>
      </c>
      <c r="I1513" s="6">
        <v>43719</v>
      </c>
      <c r="J1513" s="8">
        <v>43783</v>
      </c>
      <c r="K1513" s="3">
        <v>5</v>
      </c>
      <c r="L1513" s="3" t="s">
        <v>102</v>
      </c>
      <c r="M1513" s="3" t="s">
        <v>28</v>
      </c>
      <c r="N1513" s="3" t="s">
        <v>157</v>
      </c>
      <c r="O1513" s="3" t="s">
        <v>30</v>
      </c>
      <c r="P1513" s="30">
        <v>27416</v>
      </c>
      <c r="Q1513" s="3" t="s">
        <v>148</v>
      </c>
      <c r="R1513" s="3">
        <v>7</v>
      </c>
      <c r="S1513" s="3">
        <v>237</v>
      </c>
      <c r="T1513" s="3">
        <v>24.2</v>
      </c>
      <c r="U1513" s="3" t="s">
        <v>44</v>
      </c>
      <c r="V1513" s="18" t="s">
        <v>33</v>
      </c>
    </row>
    <row r="1514" spans="1:22" ht="15" customHeight="1" x14ac:dyDescent="0.25">
      <c r="A1514" s="15" t="s">
        <v>2802</v>
      </c>
      <c r="B1514" s="1" t="s">
        <v>2803</v>
      </c>
      <c r="C1514">
        <v>54</v>
      </c>
      <c r="D1514" s="1" t="s">
        <v>98</v>
      </c>
      <c r="E1514" s="1" t="s">
        <v>48</v>
      </c>
      <c r="F1514" s="1" t="s">
        <v>37</v>
      </c>
      <c r="G1514" s="1" t="s">
        <v>163</v>
      </c>
      <c r="H1514" s="1" t="s">
        <v>26</v>
      </c>
      <c r="I1514" s="6">
        <v>45129</v>
      </c>
      <c r="J1514" s="7">
        <v>45136</v>
      </c>
      <c r="K1514" s="1">
        <v>7</v>
      </c>
      <c r="L1514" s="1" t="s">
        <v>112</v>
      </c>
      <c r="M1514" s="1" t="s">
        <v>40</v>
      </c>
      <c r="N1514" s="1" t="s">
        <v>346</v>
      </c>
      <c r="O1514" s="1" t="s">
        <v>104</v>
      </c>
      <c r="P1514" s="29">
        <v>26547.85</v>
      </c>
      <c r="Q1514" s="1" t="s">
        <v>165</v>
      </c>
      <c r="R1514" s="1">
        <v>6</v>
      </c>
      <c r="S1514" s="1">
        <v>309</v>
      </c>
      <c r="T1514" s="1">
        <v>25.4</v>
      </c>
      <c r="U1514" s="1" t="s">
        <v>86</v>
      </c>
      <c r="V1514" s="17" t="s">
        <v>33</v>
      </c>
    </row>
    <row r="1515" spans="1:22" ht="15" customHeight="1" x14ac:dyDescent="0.25">
      <c r="A1515" s="16" t="s">
        <v>2804</v>
      </c>
      <c r="B1515" s="3" t="s">
        <v>21</v>
      </c>
      <c r="C1515">
        <v>39</v>
      </c>
      <c r="D1515" s="3" t="s">
        <v>98</v>
      </c>
      <c r="E1515" s="3" t="s">
        <v>23</v>
      </c>
      <c r="F1515" s="3" t="s">
        <v>70</v>
      </c>
      <c r="G1515" s="3" t="s">
        <v>163</v>
      </c>
      <c r="H1515" s="3" t="s">
        <v>51</v>
      </c>
      <c r="I1515" s="8">
        <v>45448</v>
      </c>
      <c r="J1515" s="8">
        <v>45510</v>
      </c>
      <c r="K1515" s="3">
        <v>3</v>
      </c>
      <c r="L1515" s="3" t="s">
        <v>122</v>
      </c>
      <c r="M1515" s="3" t="s">
        <v>40</v>
      </c>
      <c r="N1515" s="3" t="s">
        <v>164</v>
      </c>
      <c r="O1515" s="3" t="s">
        <v>30</v>
      </c>
      <c r="P1515" s="30">
        <v>23326</v>
      </c>
      <c r="Q1515" s="3" t="s">
        <v>259</v>
      </c>
      <c r="R1515" s="3">
        <v>4</v>
      </c>
      <c r="S1515" s="3">
        <v>169</v>
      </c>
      <c r="T1515" s="3">
        <v>26.9</v>
      </c>
      <c r="U1515" s="3" t="s">
        <v>32</v>
      </c>
      <c r="V1515" s="18" t="s">
        <v>33</v>
      </c>
    </row>
    <row r="1516" spans="1:22" ht="15" customHeight="1" x14ac:dyDescent="0.25">
      <c r="A1516" s="15" t="s">
        <v>2805</v>
      </c>
      <c r="B1516" s="1" t="s">
        <v>2806</v>
      </c>
      <c r="C1516">
        <v>15</v>
      </c>
      <c r="D1516" s="1" t="s">
        <v>22</v>
      </c>
      <c r="E1516" s="1" t="s">
        <v>23</v>
      </c>
      <c r="F1516" s="1" t="s">
        <v>70</v>
      </c>
      <c r="G1516" s="1" t="s">
        <v>77</v>
      </c>
      <c r="H1516" s="1" t="s">
        <v>26</v>
      </c>
      <c r="I1516" s="6">
        <v>43510</v>
      </c>
      <c r="J1516" s="7">
        <v>43521</v>
      </c>
      <c r="K1516" s="1">
        <v>11</v>
      </c>
      <c r="L1516" s="1" t="s">
        <v>132</v>
      </c>
      <c r="M1516" s="1" t="s">
        <v>53</v>
      </c>
      <c r="N1516" s="1" t="s">
        <v>183</v>
      </c>
      <c r="O1516" s="1" t="s">
        <v>42</v>
      </c>
      <c r="P1516" s="29">
        <v>60456.639999999999</v>
      </c>
      <c r="Q1516" s="1" t="s">
        <v>80</v>
      </c>
      <c r="R1516" s="1">
        <v>10</v>
      </c>
      <c r="S1516" s="1">
        <v>390</v>
      </c>
      <c r="T1516" s="1">
        <v>25.4</v>
      </c>
      <c r="U1516" s="1" t="s">
        <v>44</v>
      </c>
      <c r="V1516" s="17" t="s">
        <v>45</v>
      </c>
    </row>
    <row r="1517" spans="1:22" ht="15" customHeight="1" x14ac:dyDescent="0.25">
      <c r="A1517" s="16" t="s">
        <v>2807</v>
      </c>
      <c r="B1517" s="3" t="s">
        <v>2808</v>
      </c>
      <c r="C1517">
        <v>66</v>
      </c>
      <c r="D1517" s="3" t="s">
        <v>82</v>
      </c>
      <c r="E1517" s="3" t="s">
        <v>23</v>
      </c>
      <c r="F1517" s="3" t="s">
        <v>83</v>
      </c>
      <c r="G1517" s="3" t="s">
        <v>60</v>
      </c>
      <c r="H1517" s="3" t="s">
        <v>78</v>
      </c>
      <c r="I1517" s="8">
        <v>45629</v>
      </c>
      <c r="J1517" s="8">
        <v>45636</v>
      </c>
      <c r="K1517" s="3">
        <v>7</v>
      </c>
      <c r="L1517" s="3" t="s">
        <v>122</v>
      </c>
      <c r="M1517" s="3" t="s">
        <v>40</v>
      </c>
      <c r="N1517" s="3" t="s">
        <v>103</v>
      </c>
      <c r="O1517" s="3" t="s">
        <v>55</v>
      </c>
      <c r="P1517" s="30">
        <v>77106</v>
      </c>
      <c r="Q1517" s="3" t="s">
        <v>511</v>
      </c>
      <c r="R1517" s="3">
        <v>2</v>
      </c>
      <c r="S1517" s="3">
        <v>383</v>
      </c>
      <c r="T1517" s="4"/>
      <c r="U1517" s="3" t="s">
        <v>32</v>
      </c>
      <c r="V1517" s="18" t="s">
        <v>33</v>
      </c>
    </row>
    <row r="1518" spans="1:22" ht="15" customHeight="1" x14ac:dyDescent="0.25">
      <c r="A1518" s="15" t="s">
        <v>2809</v>
      </c>
      <c r="B1518" s="1" t="s">
        <v>2810</v>
      </c>
      <c r="C1518">
        <v>21</v>
      </c>
      <c r="D1518" s="1" t="s">
        <v>47</v>
      </c>
      <c r="E1518" s="1" t="s">
        <v>48</v>
      </c>
      <c r="F1518" s="1" t="s">
        <v>99</v>
      </c>
      <c r="G1518" s="1" t="s">
        <v>163</v>
      </c>
      <c r="H1518" s="1" t="s">
        <v>51</v>
      </c>
      <c r="I1518" s="7">
        <v>45264</v>
      </c>
      <c r="J1518" s="7">
        <v>45268</v>
      </c>
      <c r="K1518" s="1">
        <v>4</v>
      </c>
      <c r="L1518" s="1" t="s">
        <v>231</v>
      </c>
      <c r="M1518" s="1" t="s">
        <v>53</v>
      </c>
      <c r="N1518" s="1" t="s">
        <v>213</v>
      </c>
      <c r="O1518" s="1" t="s">
        <v>42</v>
      </c>
      <c r="P1518" s="29">
        <v>17840</v>
      </c>
      <c r="Q1518" s="1" t="s">
        <v>234</v>
      </c>
      <c r="R1518" s="1">
        <v>4</v>
      </c>
      <c r="S1518" s="1">
        <v>143</v>
      </c>
      <c r="T1518" s="1">
        <v>30.1</v>
      </c>
      <c r="U1518" s="1" t="s">
        <v>32</v>
      </c>
      <c r="V1518" s="17" t="s">
        <v>33</v>
      </c>
    </row>
    <row r="1519" spans="1:22" ht="15" customHeight="1" x14ac:dyDescent="0.25">
      <c r="A1519" s="16" t="s">
        <v>2811</v>
      </c>
      <c r="B1519" s="3" t="s">
        <v>2644</v>
      </c>
      <c r="C1519">
        <v>4</v>
      </c>
      <c r="D1519" s="3" t="s">
        <v>22</v>
      </c>
      <c r="E1519" s="3" t="s">
        <v>23</v>
      </c>
      <c r="F1519" s="3" t="s">
        <v>24</v>
      </c>
      <c r="G1519" s="3" t="s">
        <v>77</v>
      </c>
      <c r="H1519" s="3" t="s">
        <v>26</v>
      </c>
      <c r="I1519" s="6">
        <v>44997</v>
      </c>
      <c r="J1519" s="8">
        <v>45276</v>
      </c>
      <c r="K1519" s="3">
        <v>13</v>
      </c>
      <c r="L1519" s="3" t="s">
        <v>185</v>
      </c>
      <c r="M1519" s="3" t="s">
        <v>186</v>
      </c>
      <c r="N1519" s="3" t="s">
        <v>79</v>
      </c>
      <c r="O1519" s="3" t="s">
        <v>42</v>
      </c>
      <c r="P1519" s="30">
        <v>46528.39</v>
      </c>
      <c r="Q1519" s="3" t="s">
        <v>80</v>
      </c>
      <c r="R1519" s="3">
        <v>10</v>
      </c>
      <c r="S1519" s="3">
        <v>335</v>
      </c>
      <c r="T1519" s="3">
        <v>43.3</v>
      </c>
      <c r="U1519" s="3" t="s">
        <v>44</v>
      </c>
      <c r="V1519" s="18" t="s">
        <v>33</v>
      </c>
    </row>
    <row r="1520" spans="1:22" ht="15" customHeight="1" x14ac:dyDescent="0.25">
      <c r="A1520" s="15" t="s">
        <v>2812</v>
      </c>
      <c r="B1520" s="1" t="s">
        <v>1294</v>
      </c>
      <c r="C1520">
        <v>80</v>
      </c>
      <c r="D1520" s="1" t="s">
        <v>36</v>
      </c>
      <c r="E1520" s="1" t="s">
        <v>23</v>
      </c>
      <c r="F1520" s="1" t="s">
        <v>37</v>
      </c>
      <c r="G1520" s="1" t="s">
        <v>131</v>
      </c>
      <c r="H1520" s="1" t="s">
        <v>78</v>
      </c>
      <c r="I1520" s="7">
        <v>43922</v>
      </c>
      <c r="J1520" s="7">
        <v>44078</v>
      </c>
      <c r="K1520" s="1">
        <v>8</v>
      </c>
      <c r="L1520" s="1" t="s">
        <v>122</v>
      </c>
      <c r="M1520" s="1" t="s">
        <v>40</v>
      </c>
      <c r="N1520" s="1" t="s">
        <v>133</v>
      </c>
      <c r="O1520" s="1" t="s">
        <v>30</v>
      </c>
      <c r="P1520" s="29">
        <v>19482.169999999998</v>
      </c>
      <c r="Q1520" s="1" t="s">
        <v>158</v>
      </c>
      <c r="R1520" s="1">
        <v>5</v>
      </c>
      <c r="S1520" s="1">
        <v>200</v>
      </c>
      <c r="T1520" s="1">
        <v>35.299999999999997</v>
      </c>
      <c r="U1520" s="1" t="s">
        <v>44</v>
      </c>
      <c r="V1520" s="17" t="s">
        <v>33</v>
      </c>
    </row>
    <row r="1521" spans="1:22" ht="15" customHeight="1" x14ac:dyDescent="0.25">
      <c r="A1521" s="16" t="s">
        <v>2813</v>
      </c>
      <c r="B1521" s="3" t="s">
        <v>2814</v>
      </c>
      <c r="C1521">
        <v>66</v>
      </c>
      <c r="D1521" s="3" t="s">
        <v>82</v>
      </c>
      <c r="E1521" s="3" t="s">
        <v>23</v>
      </c>
      <c r="F1521" s="3" t="s">
        <v>99</v>
      </c>
      <c r="G1521" s="3" t="s">
        <v>38</v>
      </c>
      <c r="H1521" s="3" t="s">
        <v>51</v>
      </c>
      <c r="I1521" s="8">
        <v>43966</v>
      </c>
      <c r="J1521" s="8">
        <v>43971</v>
      </c>
      <c r="K1521" s="3">
        <v>5</v>
      </c>
      <c r="L1521" s="3" t="s">
        <v>112</v>
      </c>
      <c r="M1521" s="3" t="s">
        <v>40</v>
      </c>
      <c r="N1521" s="3" t="s">
        <v>41</v>
      </c>
      <c r="O1521" s="3" t="s">
        <v>104</v>
      </c>
      <c r="P1521" s="30">
        <v>16587.93</v>
      </c>
      <c r="Q1521" s="3" t="s">
        <v>119</v>
      </c>
      <c r="R1521" s="3">
        <v>8</v>
      </c>
      <c r="S1521" s="3">
        <v>191</v>
      </c>
      <c r="T1521" s="3">
        <v>25.8</v>
      </c>
      <c r="U1521" s="3" t="s">
        <v>44</v>
      </c>
      <c r="V1521" s="18" t="s">
        <v>33</v>
      </c>
    </row>
    <row r="1522" spans="1:22" ht="15" customHeight="1" x14ac:dyDescent="0.25">
      <c r="A1522" s="15" t="s">
        <v>2815</v>
      </c>
      <c r="B1522" s="1" t="s">
        <v>2816</v>
      </c>
      <c r="C1522">
        <v>80</v>
      </c>
      <c r="D1522" s="1" t="s">
        <v>36</v>
      </c>
      <c r="E1522" s="1" t="s">
        <v>48</v>
      </c>
      <c r="F1522" s="1" t="s">
        <v>155</v>
      </c>
      <c r="G1522" s="1" t="s">
        <v>38</v>
      </c>
      <c r="H1522" s="1" t="s">
        <v>156</v>
      </c>
      <c r="I1522" s="6">
        <v>45423</v>
      </c>
      <c r="J1522" s="7">
        <v>45606</v>
      </c>
      <c r="K1522" s="1">
        <v>5</v>
      </c>
      <c r="L1522" s="1" t="s">
        <v>112</v>
      </c>
      <c r="M1522" s="1" t="s">
        <v>40</v>
      </c>
      <c r="N1522" s="1" t="s">
        <v>41</v>
      </c>
      <c r="O1522" s="1" t="s">
        <v>55</v>
      </c>
      <c r="P1522" s="29">
        <v>22295.7</v>
      </c>
      <c r="Q1522" s="1" t="s">
        <v>174</v>
      </c>
      <c r="R1522" s="1">
        <v>8</v>
      </c>
      <c r="S1522" s="1">
        <v>124</v>
      </c>
      <c r="T1522" s="1">
        <v>34.5</v>
      </c>
      <c r="U1522" s="1" t="s">
        <v>44</v>
      </c>
      <c r="V1522" s="17" t="s">
        <v>33</v>
      </c>
    </row>
    <row r="1523" spans="1:22" ht="15" customHeight="1" x14ac:dyDescent="0.25">
      <c r="A1523" s="16" t="s">
        <v>2817</v>
      </c>
      <c r="B1523" s="2" t="s">
        <v>3679</v>
      </c>
      <c r="C1523">
        <v>37</v>
      </c>
      <c r="D1523" s="3" t="s">
        <v>98</v>
      </c>
      <c r="E1523" s="3" t="s">
        <v>23</v>
      </c>
      <c r="F1523" s="3" t="s">
        <v>155</v>
      </c>
      <c r="G1523" s="3" t="s">
        <v>131</v>
      </c>
      <c r="H1523" s="3" t="s">
        <v>26</v>
      </c>
      <c r="I1523" s="6">
        <v>44590</v>
      </c>
      <c r="J1523" s="8">
        <v>44836</v>
      </c>
      <c r="K1523" s="3">
        <v>12</v>
      </c>
      <c r="L1523" s="3" t="s">
        <v>132</v>
      </c>
      <c r="M1523" s="3" t="s">
        <v>53</v>
      </c>
      <c r="N1523" s="3" t="s">
        <v>133</v>
      </c>
      <c r="O1523" s="3" t="s">
        <v>30</v>
      </c>
      <c r="P1523" s="30">
        <v>22927</v>
      </c>
      <c r="Q1523" s="3" t="s">
        <v>152</v>
      </c>
      <c r="R1523" s="3">
        <v>4</v>
      </c>
      <c r="S1523" s="3">
        <v>301</v>
      </c>
      <c r="T1523" s="3">
        <v>20.8</v>
      </c>
      <c r="U1523" s="3" t="s">
        <v>44</v>
      </c>
      <c r="V1523" s="18" t="s">
        <v>33</v>
      </c>
    </row>
    <row r="1524" spans="1:22" ht="15" customHeight="1" x14ac:dyDescent="0.25">
      <c r="A1524" s="15" t="s">
        <v>2818</v>
      </c>
      <c r="B1524" s="1" t="s">
        <v>2819</v>
      </c>
      <c r="C1524">
        <v>92</v>
      </c>
      <c r="D1524" s="1" t="s">
        <v>36</v>
      </c>
      <c r="E1524" s="1" t="s">
        <v>23</v>
      </c>
      <c r="F1524" s="1" t="s">
        <v>155</v>
      </c>
      <c r="G1524" s="1" t="s">
        <v>38</v>
      </c>
      <c r="H1524" s="1" t="s">
        <v>78</v>
      </c>
      <c r="I1524" s="7">
        <v>44173</v>
      </c>
      <c r="J1524" s="7">
        <v>44177</v>
      </c>
      <c r="K1524" s="1">
        <v>4</v>
      </c>
      <c r="L1524" s="1" t="s">
        <v>231</v>
      </c>
      <c r="M1524" s="1" t="s">
        <v>53</v>
      </c>
      <c r="N1524" s="1" t="s">
        <v>203</v>
      </c>
      <c r="O1524" s="1" t="s">
        <v>30</v>
      </c>
      <c r="P1524" s="29">
        <v>14755</v>
      </c>
      <c r="Q1524" s="1" t="s">
        <v>305</v>
      </c>
      <c r="R1524" s="1">
        <v>8</v>
      </c>
      <c r="S1524" s="1">
        <v>402</v>
      </c>
      <c r="T1524" s="1">
        <v>25.6</v>
      </c>
      <c r="U1524" s="1" t="s">
        <v>44</v>
      </c>
      <c r="V1524" s="17" t="s">
        <v>45</v>
      </c>
    </row>
    <row r="1525" spans="1:22" ht="15" customHeight="1" x14ac:dyDescent="0.25">
      <c r="A1525" s="16" t="s">
        <v>2820</v>
      </c>
      <c r="B1525" s="3" t="s">
        <v>2821</v>
      </c>
      <c r="C1525">
        <v>35</v>
      </c>
      <c r="D1525" s="3" t="s">
        <v>98</v>
      </c>
      <c r="E1525" s="3" t="s">
        <v>23</v>
      </c>
      <c r="F1525" s="3" t="s">
        <v>76</v>
      </c>
      <c r="G1525" s="3" t="s">
        <v>77</v>
      </c>
      <c r="H1525" s="3" t="s">
        <v>26</v>
      </c>
      <c r="I1525" s="8">
        <v>45064</v>
      </c>
      <c r="J1525" s="8">
        <v>44991</v>
      </c>
      <c r="K1525" s="3">
        <v>16</v>
      </c>
      <c r="L1525" s="3" t="s">
        <v>185</v>
      </c>
      <c r="M1525" s="3" t="s">
        <v>186</v>
      </c>
      <c r="N1525" s="3" t="s">
        <v>79</v>
      </c>
      <c r="O1525" s="3" t="s">
        <v>30</v>
      </c>
      <c r="P1525" s="30">
        <v>44627.89</v>
      </c>
      <c r="Q1525" s="3" t="s">
        <v>91</v>
      </c>
      <c r="R1525" s="3">
        <v>9</v>
      </c>
      <c r="S1525" s="3">
        <v>309</v>
      </c>
      <c r="T1525" s="3">
        <v>39.6</v>
      </c>
      <c r="U1525" s="3" t="s">
        <v>32</v>
      </c>
      <c r="V1525" s="18" t="s">
        <v>33</v>
      </c>
    </row>
    <row r="1526" spans="1:22" ht="15" customHeight="1" x14ac:dyDescent="0.25">
      <c r="A1526" s="15" t="s">
        <v>2822</v>
      </c>
      <c r="B1526" s="1" t="s">
        <v>2823</v>
      </c>
      <c r="C1526">
        <v>43</v>
      </c>
      <c r="D1526" s="1" t="s">
        <v>98</v>
      </c>
      <c r="E1526" s="1" t="s">
        <v>23</v>
      </c>
      <c r="F1526" s="1" t="s">
        <v>37</v>
      </c>
      <c r="G1526" s="1" t="s">
        <v>25</v>
      </c>
      <c r="H1526" s="1" t="s">
        <v>51</v>
      </c>
      <c r="I1526" s="7">
        <v>45355</v>
      </c>
      <c r="J1526" s="7">
        <v>45372</v>
      </c>
      <c r="K1526" s="1">
        <v>17</v>
      </c>
      <c r="L1526" s="1" t="s">
        <v>132</v>
      </c>
      <c r="M1526" s="1" t="s">
        <v>53</v>
      </c>
      <c r="N1526" s="1" t="s">
        <v>65</v>
      </c>
      <c r="O1526" s="1" t="s">
        <v>30</v>
      </c>
      <c r="P1526" s="29">
        <v>59452.82</v>
      </c>
      <c r="Q1526" s="1" t="s">
        <v>67</v>
      </c>
      <c r="R1526" s="1">
        <v>12</v>
      </c>
      <c r="S1526" s="1">
        <v>103</v>
      </c>
      <c r="T1526" s="1">
        <v>33.700000000000003</v>
      </c>
      <c r="U1526" s="1" t="s">
        <v>86</v>
      </c>
      <c r="V1526" s="17" t="s">
        <v>33</v>
      </c>
    </row>
    <row r="1527" spans="1:22" ht="15" customHeight="1" x14ac:dyDescent="0.25">
      <c r="A1527" s="16" t="s">
        <v>2824</v>
      </c>
      <c r="B1527" s="2" t="s">
        <v>3680</v>
      </c>
      <c r="C1527">
        <v>87</v>
      </c>
      <c r="D1527" s="3" t="s">
        <v>36</v>
      </c>
      <c r="E1527" s="3" t="s">
        <v>23</v>
      </c>
      <c r="F1527" s="3" t="s">
        <v>37</v>
      </c>
      <c r="G1527" s="3" t="s">
        <v>38</v>
      </c>
      <c r="H1527" s="3" t="s">
        <v>51</v>
      </c>
      <c r="I1527" s="8">
        <v>44882</v>
      </c>
      <c r="J1527" s="8">
        <v>44885</v>
      </c>
      <c r="K1527" s="3">
        <v>3</v>
      </c>
      <c r="L1527" s="3" t="s">
        <v>27</v>
      </c>
      <c r="M1527" s="3" t="s">
        <v>28</v>
      </c>
      <c r="N1527" s="3" t="s">
        <v>41</v>
      </c>
      <c r="O1527" s="3" t="s">
        <v>55</v>
      </c>
      <c r="P1527" s="30">
        <v>24180.28</v>
      </c>
      <c r="Q1527" s="3" t="s">
        <v>174</v>
      </c>
      <c r="R1527" s="3">
        <v>5</v>
      </c>
      <c r="S1527" s="3">
        <v>149</v>
      </c>
      <c r="T1527" s="3">
        <v>31.8</v>
      </c>
      <c r="U1527" s="3" t="s">
        <v>32</v>
      </c>
      <c r="V1527" s="18" t="s">
        <v>45</v>
      </c>
    </row>
    <row r="1528" spans="1:22" ht="15" customHeight="1" x14ac:dyDescent="0.25">
      <c r="A1528" s="15" t="s">
        <v>2825</v>
      </c>
      <c r="B1528" s="2" t="s">
        <v>3681</v>
      </c>
      <c r="C1528">
        <v>70</v>
      </c>
      <c r="D1528" s="1" t="s">
        <v>82</v>
      </c>
      <c r="E1528" s="1" t="s">
        <v>23</v>
      </c>
      <c r="F1528" s="1" t="s">
        <v>70</v>
      </c>
      <c r="G1528" s="1" t="s">
        <v>131</v>
      </c>
      <c r="H1528" s="1" t="s">
        <v>78</v>
      </c>
      <c r="I1528" s="7">
        <v>44040</v>
      </c>
      <c r="J1528" s="10"/>
      <c r="K1528" s="1"/>
      <c r="L1528" s="1" t="s">
        <v>132</v>
      </c>
      <c r="M1528" s="1" t="s">
        <v>53</v>
      </c>
      <c r="N1528" s="1" t="s">
        <v>157</v>
      </c>
      <c r="O1528" s="1" t="s">
        <v>42</v>
      </c>
      <c r="P1528" s="29">
        <v>21825.64</v>
      </c>
      <c r="Q1528" s="1" t="s">
        <v>158</v>
      </c>
      <c r="R1528" s="1">
        <v>7</v>
      </c>
      <c r="S1528" s="1">
        <v>273</v>
      </c>
      <c r="T1528" s="1">
        <v>20.2</v>
      </c>
      <c r="U1528" s="1" t="s">
        <v>44</v>
      </c>
      <c r="V1528" s="17" t="s">
        <v>33</v>
      </c>
    </row>
    <row r="1529" spans="1:22" ht="15" customHeight="1" x14ac:dyDescent="0.25">
      <c r="A1529" s="16" t="s">
        <v>2826</v>
      </c>
      <c r="B1529" s="3" t="s">
        <v>2827</v>
      </c>
      <c r="C1529">
        <v>9</v>
      </c>
      <c r="D1529" s="3" t="s">
        <v>22</v>
      </c>
      <c r="E1529" s="3" t="s">
        <v>23</v>
      </c>
      <c r="F1529" s="3" t="s">
        <v>49</v>
      </c>
      <c r="G1529" s="3" t="s">
        <v>77</v>
      </c>
      <c r="H1529" s="3" t="s">
        <v>26</v>
      </c>
      <c r="I1529" s="8">
        <v>45581</v>
      </c>
      <c r="J1529" s="10"/>
      <c r="K1529" s="3"/>
      <c r="L1529" s="3" t="s">
        <v>122</v>
      </c>
      <c r="M1529" s="3" t="s">
        <v>40</v>
      </c>
      <c r="N1529" s="3" t="s">
        <v>183</v>
      </c>
      <c r="O1529" s="3" t="s">
        <v>55</v>
      </c>
      <c r="P1529" s="30">
        <v>41292.94</v>
      </c>
      <c r="Q1529" s="3" t="s">
        <v>80</v>
      </c>
      <c r="R1529" s="3">
        <v>7</v>
      </c>
      <c r="S1529" s="3">
        <v>330</v>
      </c>
      <c r="T1529" s="3">
        <v>23.9</v>
      </c>
      <c r="U1529" s="3" t="s">
        <v>44</v>
      </c>
      <c r="V1529" s="18" t="s">
        <v>33</v>
      </c>
    </row>
    <row r="1530" spans="1:22" ht="15" customHeight="1" x14ac:dyDescent="0.25">
      <c r="A1530" s="15" t="s">
        <v>2828</v>
      </c>
      <c r="B1530" s="1" t="s">
        <v>2829</v>
      </c>
      <c r="C1530">
        <v>53</v>
      </c>
      <c r="D1530" s="1" t="s">
        <v>98</v>
      </c>
      <c r="E1530" s="1" t="s">
        <v>23</v>
      </c>
      <c r="F1530" s="1" t="s">
        <v>37</v>
      </c>
      <c r="G1530" s="1" t="s">
        <v>25</v>
      </c>
      <c r="H1530" s="1" t="s">
        <v>78</v>
      </c>
      <c r="I1530" s="7">
        <v>43531</v>
      </c>
      <c r="J1530" s="7">
        <v>43539</v>
      </c>
      <c r="K1530" s="1">
        <v>8</v>
      </c>
      <c r="L1530" s="1" t="s">
        <v>102</v>
      </c>
      <c r="M1530" s="1" t="s">
        <v>28</v>
      </c>
      <c r="N1530" s="1" t="s">
        <v>29</v>
      </c>
      <c r="O1530" s="1" t="s">
        <v>104</v>
      </c>
      <c r="P1530" s="29">
        <v>26633.57</v>
      </c>
      <c r="Q1530" s="1" t="s">
        <v>31</v>
      </c>
      <c r="R1530" s="1">
        <v>11</v>
      </c>
      <c r="S1530" s="1">
        <v>388</v>
      </c>
      <c r="T1530" s="1">
        <v>17.600000000000001</v>
      </c>
      <c r="U1530" s="1" t="s">
        <v>32</v>
      </c>
      <c r="V1530" s="17" t="s">
        <v>33</v>
      </c>
    </row>
    <row r="1531" spans="1:22" ht="15" customHeight="1" x14ac:dyDescent="0.25">
      <c r="A1531" s="16" t="s">
        <v>2830</v>
      </c>
      <c r="B1531" s="3" t="s">
        <v>1313</v>
      </c>
      <c r="C1531">
        <v>74</v>
      </c>
      <c r="D1531" s="3" t="s">
        <v>82</v>
      </c>
      <c r="E1531" s="3" t="s">
        <v>48</v>
      </c>
      <c r="F1531" s="3" t="s">
        <v>99</v>
      </c>
      <c r="G1531" s="3" t="s">
        <v>71</v>
      </c>
      <c r="H1531" s="3" t="s">
        <v>51</v>
      </c>
      <c r="I1531" s="8">
        <v>45024</v>
      </c>
      <c r="J1531" s="8">
        <v>45025</v>
      </c>
      <c r="K1531" s="3">
        <v>1</v>
      </c>
      <c r="L1531" s="3" t="s">
        <v>102</v>
      </c>
      <c r="M1531" s="3" t="s">
        <v>28</v>
      </c>
      <c r="N1531" s="3" t="s">
        <v>72</v>
      </c>
      <c r="O1531" s="3" t="s">
        <v>55</v>
      </c>
      <c r="P1531" s="30">
        <v>14047.29</v>
      </c>
      <c r="Q1531" s="3" t="s">
        <v>178</v>
      </c>
      <c r="R1531" s="3">
        <v>5</v>
      </c>
      <c r="S1531" s="3">
        <v>188</v>
      </c>
      <c r="T1531" s="3">
        <v>21.3</v>
      </c>
      <c r="U1531" s="3" t="s">
        <v>44</v>
      </c>
      <c r="V1531" s="18" t="s">
        <v>33</v>
      </c>
    </row>
    <row r="1532" spans="1:22" ht="15" customHeight="1" x14ac:dyDescent="0.25">
      <c r="A1532" s="15" t="s">
        <v>2831</v>
      </c>
      <c r="B1532" s="1" t="s">
        <v>1570</v>
      </c>
      <c r="C1532">
        <v>72</v>
      </c>
      <c r="D1532" s="1" t="s">
        <v>82</v>
      </c>
      <c r="E1532" s="1" t="s">
        <v>48</v>
      </c>
      <c r="F1532" s="1" t="s">
        <v>70</v>
      </c>
      <c r="G1532" s="1" t="s">
        <v>163</v>
      </c>
      <c r="H1532" s="1" t="s">
        <v>51</v>
      </c>
      <c r="I1532" s="7">
        <v>44137</v>
      </c>
      <c r="J1532" s="7">
        <v>44145</v>
      </c>
      <c r="K1532" s="1">
        <v>8</v>
      </c>
      <c r="L1532" s="1" t="s">
        <v>89</v>
      </c>
      <c r="M1532" s="1" t="s">
        <v>90</v>
      </c>
      <c r="N1532" s="1" t="s">
        <v>346</v>
      </c>
      <c r="O1532" s="1" t="s">
        <v>30</v>
      </c>
      <c r="P1532" s="29">
        <v>33510.51</v>
      </c>
      <c r="Q1532" s="1" t="s">
        <v>382</v>
      </c>
      <c r="R1532" s="1">
        <v>5</v>
      </c>
      <c r="S1532" s="1">
        <v>191</v>
      </c>
      <c r="T1532" s="1">
        <v>23.9</v>
      </c>
      <c r="U1532" s="1" t="s">
        <v>32</v>
      </c>
      <c r="V1532" s="17" t="s">
        <v>33</v>
      </c>
    </row>
    <row r="1533" spans="1:22" ht="15" customHeight="1" x14ac:dyDescent="0.25">
      <c r="A1533" s="16" t="s">
        <v>2832</v>
      </c>
      <c r="B1533" s="3" t="s">
        <v>902</v>
      </c>
      <c r="C1533">
        <v>81</v>
      </c>
      <c r="D1533" s="3" t="s">
        <v>36</v>
      </c>
      <c r="E1533" s="3" t="s">
        <v>48</v>
      </c>
      <c r="F1533" s="3" t="s">
        <v>37</v>
      </c>
      <c r="G1533" s="3" t="s">
        <v>587</v>
      </c>
      <c r="H1533" s="3" t="s">
        <v>26</v>
      </c>
      <c r="I1533" s="8">
        <v>44598</v>
      </c>
      <c r="J1533" s="8">
        <v>44626</v>
      </c>
      <c r="K1533" s="3">
        <v>28</v>
      </c>
      <c r="L1533" s="3" t="s">
        <v>185</v>
      </c>
      <c r="M1533" s="3" t="s">
        <v>186</v>
      </c>
      <c r="N1533" s="3" t="s">
        <v>248</v>
      </c>
      <c r="O1533" s="3" t="s">
        <v>30</v>
      </c>
      <c r="P1533" s="30">
        <v>58385.84</v>
      </c>
      <c r="Q1533" s="3" t="s">
        <v>105</v>
      </c>
      <c r="R1533" s="3">
        <v>9</v>
      </c>
      <c r="S1533" s="3">
        <v>183</v>
      </c>
      <c r="T1533" s="3">
        <v>20.9</v>
      </c>
      <c r="U1533" s="3" t="s">
        <v>32</v>
      </c>
      <c r="V1533" s="18" t="s">
        <v>33</v>
      </c>
    </row>
    <row r="1534" spans="1:22" ht="15" customHeight="1" x14ac:dyDescent="0.25">
      <c r="A1534" s="15" t="s">
        <v>2833</v>
      </c>
      <c r="B1534" s="1" t="s">
        <v>2834</v>
      </c>
      <c r="C1534">
        <v>11</v>
      </c>
      <c r="D1534" s="1" t="s">
        <v>22</v>
      </c>
      <c r="E1534" s="1" t="s">
        <v>23</v>
      </c>
      <c r="F1534" s="1" t="s">
        <v>99</v>
      </c>
      <c r="G1534" s="1" t="s">
        <v>163</v>
      </c>
      <c r="H1534" s="1" t="s">
        <v>78</v>
      </c>
      <c r="I1534" s="7">
        <v>44197</v>
      </c>
      <c r="J1534" s="7">
        <v>44409</v>
      </c>
      <c r="K1534" s="1">
        <v>7</v>
      </c>
      <c r="L1534" s="1" t="s">
        <v>27</v>
      </c>
      <c r="M1534" s="1" t="s">
        <v>28</v>
      </c>
      <c r="N1534" s="1" t="s">
        <v>213</v>
      </c>
      <c r="O1534" s="1" t="s">
        <v>30</v>
      </c>
      <c r="P1534" s="29">
        <v>14711.37</v>
      </c>
      <c r="Q1534" s="1" t="s">
        <v>382</v>
      </c>
      <c r="R1534" s="1">
        <v>5</v>
      </c>
      <c r="S1534" s="1">
        <v>134</v>
      </c>
      <c r="T1534" s="4"/>
      <c r="U1534" s="1" t="s">
        <v>32</v>
      </c>
      <c r="V1534" s="17" t="s">
        <v>33</v>
      </c>
    </row>
    <row r="1535" spans="1:22" ht="15" customHeight="1" x14ac:dyDescent="0.25">
      <c r="A1535" s="16" t="s">
        <v>2835</v>
      </c>
      <c r="B1535" s="3" t="s">
        <v>2836</v>
      </c>
      <c r="C1535">
        <v>29</v>
      </c>
      <c r="D1535" s="3" t="s">
        <v>47</v>
      </c>
      <c r="E1535" s="3" t="s">
        <v>23</v>
      </c>
      <c r="F1535" s="3" t="s">
        <v>76</v>
      </c>
      <c r="G1535" s="3" t="s">
        <v>77</v>
      </c>
      <c r="H1535" s="3" t="s">
        <v>26</v>
      </c>
      <c r="I1535" s="6">
        <v>45253</v>
      </c>
      <c r="J1535" s="8">
        <v>45265</v>
      </c>
      <c r="K1535" s="3">
        <v>12</v>
      </c>
      <c r="L1535" s="3" t="s">
        <v>102</v>
      </c>
      <c r="M1535" s="3" t="s">
        <v>28</v>
      </c>
      <c r="N1535" s="3" t="s">
        <v>79</v>
      </c>
      <c r="O1535" s="3" t="s">
        <v>30</v>
      </c>
      <c r="P1535" s="30">
        <v>53818</v>
      </c>
      <c r="Q1535" s="3" t="s">
        <v>181</v>
      </c>
      <c r="R1535" s="3">
        <v>7</v>
      </c>
      <c r="S1535" s="3">
        <v>319</v>
      </c>
      <c r="T1535" s="3">
        <v>36.1</v>
      </c>
      <c r="U1535" s="3" t="s">
        <v>32</v>
      </c>
      <c r="V1535" s="18" t="s">
        <v>45</v>
      </c>
    </row>
    <row r="1536" spans="1:22" ht="15" customHeight="1" x14ac:dyDescent="0.25">
      <c r="A1536" s="15" t="s">
        <v>2837</v>
      </c>
      <c r="B1536" s="1" t="s">
        <v>2838</v>
      </c>
      <c r="C1536">
        <v>63</v>
      </c>
      <c r="D1536" s="1" t="s">
        <v>59</v>
      </c>
      <c r="E1536" s="1" t="s">
        <v>23</v>
      </c>
      <c r="F1536" s="1" t="s">
        <v>70</v>
      </c>
      <c r="G1536" s="1" t="s">
        <v>77</v>
      </c>
      <c r="H1536" s="1" t="s">
        <v>51</v>
      </c>
      <c r="I1536" s="7">
        <v>43584</v>
      </c>
      <c r="J1536" s="7">
        <v>43590</v>
      </c>
      <c r="K1536" s="1">
        <v>6</v>
      </c>
      <c r="L1536" s="1" t="s">
        <v>39</v>
      </c>
      <c r="M1536" s="1" t="s">
        <v>40</v>
      </c>
      <c r="N1536" s="1" t="s">
        <v>79</v>
      </c>
      <c r="O1536" s="1" t="s">
        <v>30</v>
      </c>
      <c r="P1536" s="29">
        <v>47340.29</v>
      </c>
      <c r="Q1536" s="1" t="s">
        <v>80</v>
      </c>
      <c r="R1536" s="1">
        <v>10</v>
      </c>
      <c r="S1536" s="1">
        <v>123</v>
      </c>
      <c r="T1536" s="1">
        <v>16.899999999999999</v>
      </c>
      <c r="U1536" s="1" t="s">
        <v>86</v>
      </c>
      <c r="V1536" s="17" t="s">
        <v>33</v>
      </c>
    </row>
    <row r="1537" spans="1:22" ht="15" customHeight="1" x14ac:dyDescent="0.25">
      <c r="A1537" s="16" t="s">
        <v>2839</v>
      </c>
      <c r="B1537" s="3" t="s">
        <v>2840</v>
      </c>
      <c r="C1537">
        <v>63</v>
      </c>
      <c r="D1537" s="3" t="s">
        <v>59</v>
      </c>
      <c r="E1537" s="3" t="s">
        <v>48</v>
      </c>
      <c r="F1537" s="3" t="s">
        <v>37</v>
      </c>
      <c r="G1537" s="3" t="s">
        <v>131</v>
      </c>
      <c r="H1537" s="3" t="s">
        <v>26</v>
      </c>
      <c r="I1537" s="6">
        <v>44853</v>
      </c>
      <c r="J1537" s="8">
        <v>44861</v>
      </c>
      <c r="K1537" s="3">
        <v>8</v>
      </c>
      <c r="L1537" s="3" t="s">
        <v>132</v>
      </c>
      <c r="M1537" s="3" t="s">
        <v>53</v>
      </c>
      <c r="N1537" s="3" t="s">
        <v>157</v>
      </c>
      <c r="O1537" s="3" t="s">
        <v>55</v>
      </c>
      <c r="P1537" s="30">
        <v>48381.86</v>
      </c>
      <c r="Q1537" s="3" t="s">
        <v>695</v>
      </c>
      <c r="R1537" s="3">
        <v>6</v>
      </c>
      <c r="S1537" s="3">
        <v>385</v>
      </c>
      <c r="T1537" s="3">
        <v>25.9</v>
      </c>
      <c r="U1537" s="3" t="s">
        <v>32</v>
      </c>
      <c r="V1537" s="18" t="s">
        <v>33</v>
      </c>
    </row>
    <row r="1538" spans="1:22" ht="15" customHeight="1" x14ac:dyDescent="0.25">
      <c r="A1538" s="15" t="s">
        <v>2841</v>
      </c>
      <c r="B1538" s="2" t="s">
        <v>3682</v>
      </c>
      <c r="C1538">
        <v>72</v>
      </c>
      <c r="D1538" s="1" t="s">
        <v>82</v>
      </c>
      <c r="E1538" s="1" t="s">
        <v>48</v>
      </c>
      <c r="F1538" s="1" t="s">
        <v>37</v>
      </c>
      <c r="G1538" s="1" t="s">
        <v>77</v>
      </c>
      <c r="H1538" s="1" t="s">
        <v>26</v>
      </c>
      <c r="I1538" s="6">
        <v>43744</v>
      </c>
      <c r="J1538" s="7">
        <v>43752</v>
      </c>
      <c r="K1538" s="1">
        <v>8</v>
      </c>
      <c r="L1538" s="1" t="s">
        <v>27</v>
      </c>
      <c r="M1538" s="1" t="s">
        <v>28</v>
      </c>
      <c r="N1538" s="1" t="s">
        <v>94</v>
      </c>
      <c r="O1538" s="1" t="s">
        <v>104</v>
      </c>
      <c r="P1538" s="29">
        <v>84314</v>
      </c>
      <c r="Q1538" s="1" t="s">
        <v>95</v>
      </c>
      <c r="R1538" s="1">
        <v>10</v>
      </c>
      <c r="S1538" s="1">
        <v>307</v>
      </c>
      <c r="T1538" s="1">
        <v>19.899999999999999</v>
      </c>
      <c r="U1538" s="1" t="s">
        <v>44</v>
      </c>
      <c r="V1538" s="17" t="s">
        <v>33</v>
      </c>
    </row>
    <row r="1539" spans="1:22" ht="15" customHeight="1" x14ac:dyDescent="0.25">
      <c r="A1539" s="16" t="s">
        <v>2842</v>
      </c>
      <c r="B1539" s="3" t="s">
        <v>2843</v>
      </c>
      <c r="C1539">
        <v>59</v>
      </c>
      <c r="D1539" s="3" t="s">
        <v>59</v>
      </c>
      <c r="E1539" s="3" t="s">
        <v>48</v>
      </c>
      <c r="F1539" s="3" t="s">
        <v>49</v>
      </c>
      <c r="G1539" s="3" t="s">
        <v>38</v>
      </c>
      <c r="H1539" s="3" t="s">
        <v>51</v>
      </c>
      <c r="I1539" s="6">
        <v>44678</v>
      </c>
      <c r="J1539" s="8">
        <v>44681</v>
      </c>
      <c r="K1539" s="3">
        <v>3</v>
      </c>
      <c r="L1539" s="3" t="s">
        <v>122</v>
      </c>
      <c r="M1539" s="3" t="s">
        <v>40</v>
      </c>
      <c r="N1539" s="3" t="s">
        <v>203</v>
      </c>
      <c r="O1539" s="3" t="s">
        <v>42</v>
      </c>
      <c r="P1539" s="30">
        <v>7977.5</v>
      </c>
      <c r="Q1539" s="3" t="s">
        <v>174</v>
      </c>
      <c r="R1539" s="3">
        <v>6</v>
      </c>
      <c r="S1539" s="3">
        <v>186</v>
      </c>
      <c r="T1539" s="3">
        <v>30</v>
      </c>
      <c r="U1539" s="3" t="s">
        <v>32</v>
      </c>
      <c r="V1539" s="18" t="s">
        <v>33</v>
      </c>
    </row>
    <row r="1540" spans="1:22" ht="15" customHeight="1" x14ac:dyDescent="0.25">
      <c r="A1540" s="15" t="s">
        <v>2844</v>
      </c>
      <c r="B1540" s="1" t="s">
        <v>2845</v>
      </c>
      <c r="C1540">
        <v>72</v>
      </c>
      <c r="D1540" s="1" t="s">
        <v>82</v>
      </c>
      <c r="E1540" s="1" t="s">
        <v>48</v>
      </c>
      <c r="F1540" s="1" t="s">
        <v>37</v>
      </c>
      <c r="G1540" s="1" t="s">
        <v>25</v>
      </c>
      <c r="H1540" s="1" t="s">
        <v>51</v>
      </c>
      <c r="I1540" s="7">
        <v>45254</v>
      </c>
      <c r="J1540" s="7">
        <v>45211</v>
      </c>
      <c r="K1540" s="1">
        <v>16</v>
      </c>
      <c r="L1540" s="1" t="s">
        <v>102</v>
      </c>
      <c r="M1540" s="1" t="s">
        <v>28</v>
      </c>
      <c r="N1540" s="1" t="s">
        <v>29</v>
      </c>
      <c r="O1540" s="1" t="s">
        <v>30</v>
      </c>
      <c r="P1540" s="29">
        <v>38110</v>
      </c>
      <c r="Q1540" s="1" t="s">
        <v>322</v>
      </c>
      <c r="R1540" s="1">
        <v>12</v>
      </c>
      <c r="S1540" s="1">
        <v>147</v>
      </c>
      <c r="T1540" s="4"/>
      <c r="U1540" s="1" t="s">
        <v>44</v>
      </c>
      <c r="V1540" s="17" t="s">
        <v>33</v>
      </c>
    </row>
    <row r="1541" spans="1:22" ht="15" customHeight="1" x14ac:dyDescent="0.25">
      <c r="A1541" s="16" t="s">
        <v>2846</v>
      </c>
      <c r="B1541" s="3" t="s">
        <v>2847</v>
      </c>
      <c r="C1541">
        <v>73</v>
      </c>
      <c r="D1541" s="3" t="s">
        <v>82</v>
      </c>
      <c r="E1541" s="3" t="s">
        <v>48</v>
      </c>
      <c r="F1541" s="3" t="s">
        <v>24</v>
      </c>
      <c r="G1541" s="3" t="s">
        <v>25</v>
      </c>
      <c r="H1541" s="3" t="s">
        <v>26</v>
      </c>
      <c r="I1541" s="8">
        <v>45362</v>
      </c>
      <c r="J1541" s="8">
        <v>45384</v>
      </c>
      <c r="K1541" s="3">
        <v>22</v>
      </c>
      <c r="L1541" s="3" t="s">
        <v>27</v>
      </c>
      <c r="M1541" s="3" t="s">
        <v>28</v>
      </c>
      <c r="N1541" s="3" t="s">
        <v>29</v>
      </c>
      <c r="O1541" s="3" t="s">
        <v>30</v>
      </c>
      <c r="P1541" s="30">
        <v>100829</v>
      </c>
      <c r="Q1541" s="3" t="s">
        <v>31</v>
      </c>
      <c r="R1541" s="3">
        <v>12</v>
      </c>
      <c r="S1541" s="3">
        <v>450</v>
      </c>
      <c r="T1541" s="3">
        <v>28.2</v>
      </c>
      <c r="U1541" s="3" t="s">
        <v>32</v>
      </c>
      <c r="V1541" s="18" t="s">
        <v>33</v>
      </c>
    </row>
    <row r="1542" spans="1:22" ht="15" customHeight="1" x14ac:dyDescent="0.25">
      <c r="A1542" s="15" t="s">
        <v>2848</v>
      </c>
      <c r="B1542" s="1" t="s">
        <v>1498</v>
      </c>
      <c r="C1542">
        <v>54</v>
      </c>
      <c r="D1542" s="1" t="s">
        <v>98</v>
      </c>
      <c r="E1542" s="1" t="s">
        <v>23</v>
      </c>
      <c r="F1542" s="1" t="s">
        <v>24</v>
      </c>
      <c r="G1542" s="1" t="s">
        <v>77</v>
      </c>
      <c r="H1542" s="1" t="s">
        <v>26</v>
      </c>
      <c r="I1542" s="7">
        <v>44541</v>
      </c>
      <c r="J1542" s="7">
        <v>44551</v>
      </c>
      <c r="K1542" s="1">
        <v>10</v>
      </c>
      <c r="L1542" s="1" t="s">
        <v>185</v>
      </c>
      <c r="M1542" s="1" t="s">
        <v>186</v>
      </c>
      <c r="N1542" s="1" t="s">
        <v>79</v>
      </c>
      <c r="O1542" s="1" t="s">
        <v>42</v>
      </c>
      <c r="P1542" s="29">
        <v>64739.14</v>
      </c>
      <c r="Q1542" s="1" t="s">
        <v>592</v>
      </c>
      <c r="R1542" s="1">
        <v>9</v>
      </c>
      <c r="S1542" s="1">
        <v>382</v>
      </c>
      <c r="T1542" s="1">
        <v>25.6</v>
      </c>
      <c r="U1542" s="1" t="s">
        <v>44</v>
      </c>
      <c r="V1542" s="17" t="s">
        <v>33</v>
      </c>
    </row>
    <row r="1543" spans="1:22" ht="15" customHeight="1" x14ac:dyDescent="0.25">
      <c r="A1543" s="16" t="s">
        <v>2849</v>
      </c>
      <c r="B1543" s="3" t="s">
        <v>2850</v>
      </c>
      <c r="C1543">
        <v>64</v>
      </c>
      <c r="D1543" s="3" t="s">
        <v>59</v>
      </c>
      <c r="E1543" s="3" t="s">
        <v>48</v>
      </c>
      <c r="F1543" s="3" t="s">
        <v>76</v>
      </c>
      <c r="G1543" s="3" t="s">
        <v>71</v>
      </c>
      <c r="H1543" s="3" t="s">
        <v>51</v>
      </c>
      <c r="I1543" s="6">
        <v>43581</v>
      </c>
      <c r="J1543" s="8">
        <v>43583</v>
      </c>
      <c r="K1543" s="3">
        <v>2</v>
      </c>
      <c r="L1543" s="3" t="s">
        <v>52</v>
      </c>
      <c r="M1543" s="3" t="s">
        <v>53</v>
      </c>
      <c r="N1543" s="3" t="s">
        <v>312</v>
      </c>
      <c r="O1543" s="3" t="s">
        <v>42</v>
      </c>
      <c r="P1543" s="30">
        <v>9171.19</v>
      </c>
      <c r="Q1543" s="3" t="s">
        <v>374</v>
      </c>
      <c r="R1543" s="3">
        <v>3</v>
      </c>
      <c r="S1543" s="3">
        <v>134</v>
      </c>
      <c r="T1543" s="3">
        <v>28.1</v>
      </c>
      <c r="U1543" s="3" t="s">
        <v>32</v>
      </c>
      <c r="V1543" s="18" t="s">
        <v>33</v>
      </c>
    </row>
    <row r="1544" spans="1:22" ht="15" customHeight="1" x14ac:dyDescent="0.25">
      <c r="A1544" s="15" t="s">
        <v>2851</v>
      </c>
      <c r="B1544" s="1" t="s">
        <v>2852</v>
      </c>
      <c r="C1544">
        <v>51</v>
      </c>
      <c r="D1544" s="1" t="s">
        <v>98</v>
      </c>
      <c r="E1544" s="1" t="s">
        <v>48</v>
      </c>
      <c r="F1544" s="1" t="s">
        <v>24</v>
      </c>
      <c r="G1544" s="1" t="s">
        <v>131</v>
      </c>
      <c r="H1544" s="1" t="s">
        <v>51</v>
      </c>
      <c r="I1544" s="7">
        <v>43647</v>
      </c>
      <c r="J1544" s="7">
        <v>43650</v>
      </c>
      <c r="K1544" s="1">
        <v>3</v>
      </c>
      <c r="L1544" s="1" t="s">
        <v>52</v>
      </c>
      <c r="M1544" s="1" t="s">
        <v>53</v>
      </c>
      <c r="N1544" s="1" t="s">
        <v>133</v>
      </c>
      <c r="O1544" s="1" t="s">
        <v>66</v>
      </c>
      <c r="P1544" s="29">
        <v>26851</v>
      </c>
      <c r="Q1544" s="1" t="s">
        <v>266</v>
      </c>
      <c r="R1544" s="1">
        <v>7</v>
      </c>
      <c r="S1544" s="1">
        <v>191</v>
      </c>
      <c r="T1544" s="1">
        <v>33.200000000000003</v>
      </c>
      <c r="U1544" s="1" t="s">
        <v>32</v>
      </c>
      <c r="V1544" s="17" t="s">
        <v>33</v>
      </c>
    </row>
    <row r="1545" spans="1:22" ht="15" customHeight="1" x14ac:dyDescent="0.25">
      <c r="A1545" s="16" t="s">
        <v>2853</v>
      </c>
      <c r="B1545" s="3" t="s">
        <v>2854</v>
      </c>
      <c r="C1545">
        <v>16</v>
      </c>
      <c r="D1545" s="3" t="s">
        <v>22</v>
      </c>
      <c r="E1545" s="3" t="s">
        <v>23</v>
      </c>
      <c r="F1545" s="3" t="s">
        <v>155</v>
      </c>
      <c r="G1545" s="3" t="s">
        <v>38</v>
      </c>
      <c r="H1545" s="3" t="s">
        <v>78</v>
      </c>
      <c r="I1545" s="8">
        <v>43574</v>
      </c>
      <c r="J1545" s="8">
        <v>43579</v>
      </c>
      <c r="K1545" s="3">
        <v>5</v>
      </c>
      <c r="L1545" s="3" t="s">
        <v>122</v>
      </c>
      <c r="M1545" s="3" t="s">
        <v>40</v>
      </c>
      <c r="N1545" s="3" t="s">
        <v>203</v>
      </c>
      <c r="O1545" s="3" t="s">
        <v>30</v>
      </c>
      <c r="P1545" s="30">
        <v>9108.7199999999993</v>
      </c>
      <c r="Q1545" s="3" t="s">
        <v>305</v>
      </c>
      <c r="R1545" s="3">
        <v>7</v>
      </c>
      <c r="S1545" s="3">
        <v>171</v>
      </c>
      <c r="T1545" s="3">
        <v>32.5</v>
      </c>
      <c r="U1545" s="3" t="s">
        <v>44</v>
      </c>
      <c r="V1545" s="18" t="s">
        <v>33</v>
      </c>
    </row>
    <row r="1546" spans="1:22" ht="15" customHeight="1" x14ac:dyDescent="0.25">
      <c r="A1546" s="15" t="s">
        <v>2855</v>
      </c>
      <c r="B1546" s="1" t="s">
        <v>1440</v>
      </c>
      <c r="C1546">
        <v>82</v>
      </c>
      <c r="D1546" s="1" t="s">
        <v>36</v>
      </c>
      <c r="E1546" s="1" t="s">
        <v>23</v>
      </c>
      <c r="F1546" s="1" t="s">
        <v>83</v>
      </c>
      <c r="G1546" s="1" t="s">
        <v>50</v>
      </c>
      <c r="H1546" s="1" t="s">
        <v>26</v>
      </c>
      <c r="I1546" s="7">
        <v>45197</v>
      </c>
      <c r="J1546" s="7">
        <v>45208</v>
      </c>
      <c r="K1546" s="1">
        <v>11</v>
      </c>
      <c r="L1546" s="1" t="s">
        <v>39</v>
      </c>
      <c r="M1546" s="1" t="s">
        <v>40</v>
      </c>
      <c r="N1546" s="1" t="s">
        <v>54</v>
      </c>
      <c r="O1546" s="1" t="s">
        <v>42</v>
      </c>
      <c r="P1546" s="29">
        <v>63628</v>
      </c>
      <c r="Q1546" s="1" t="s">
        <v>85</v>
      </c>
      <c r="R1546" s="1">
        <v>9</v>
      </c>
      <c r="S1546" s="1">
        <v>388</v>
      </c>
      <c r="T1546" s="1">
        <v>33.5</v>
      </c>
      <c r="U1546" s="1" t="s">
        <v>32</v>
      </c>
      <c r="V1546" s="17" t="s">
        <v>33</v>
      </c>
    </row>
    <row r="1547" spans="1:22" ht="15" customHeight="1" x14ac:dyDescent="0.25">
      <c r="A1547" s="16" t="s">
        <v>2856</v>
      </c>
      <c r="B1547" s="3" t="s">
        <v>2857</v>
      </c>
      <c r="C1547">
        <v>85</v>
      </c>
      <c r="D1547" s="3" t="s">
        <v>36</v>
      </c>
      <c r="E1547" s="3" t="s">
        <v>23</v>
      </c>
      <c r="F1547" s="3" t="s">
        <v>70</v>
      </c>
      <c r="G1547" s="3" t="s">
        <v>77</v>
      </c>
      <c r="H1547" s="3" t="s">
        <v>51</v>
      </c>
      <c r="I1547" s="8">
        <v>44229</v>
      </c>
      <c r="J1547" s="8">
        <v>44240</v>
      </c>
      <c r="K1547" s="3">
        <v>11</v>
      </c>
      <c r="L1547" s="3" t="s">
        <v>132</v>
      </c>
      <c r="M1547" s="3" t="s">
        <v>53</v>
      </c>
      <c r="N1547" s="3" t="s">
        <v>79</v>
      </c>
      <c r="O1547" s="3" t="s">
        <v>104</v>
      </c>
      <c r="P1547" s="30">
        <v>58362.7</v>
      </c>
      <c r="Q1547" s="3" t="s">
        <v>80</v>
      </c>
      <c r="R1547" s="3">
        <v>7</v>
      </c>
      <c r="S1547" s="3">
        <v>186</v>
      </c>
      <c r="T1547" s="3">
        <v>31.6</v>
      </c>
      <c r="U1547" s="3" t="s">
        <v>44</v>
      </c>
      <c r="V1547" s="18" t="s">
        <v>45</v>
      </c>
    </row>
    <row r="1548" spans="1:22" ht="15" customHeight="1" x14ac:dyDescent="0.25">
      <c r="A1548" s="15" t="s">
        <v>2858</v>
      </c>
      <c r="B1548" s="1" t="s">
        <v>2859</v>
      </c>
      <c r="C1548">
        <v>71</v>
      </c>
      <c r="D1548" s="1" t="s">
        <v>82</v>
      </c>
      <c r="E1548" s="1" t="s">
        <v>48</v>
      </c>
      <c r="F1548" s="1" t="s">
        <v>99</v>
      </c>
      <c r="G1548" s="1" t="s">
        <v>131</v>
      </c>
      <c r="H1548" s="1" t="s">
        <v>78</v>
      </c>
      <c r="I1548" s="7">
        <v>43525</v>
      </c>
      <c r="J1548" s="7">
        <v>43558</v>
      </c>
      <c r="K1548" s="1">
        <v>3</v>
      </c>
      <c r="L1548" s="1" t="s">
        <v>39</v>
      </c>
      <c r="M1548" s="1" t="s">
        <v>40</v>
      </c>
      <c r="N1548" s="1" t="s">
        <v>157</v>
      </c>
      <c r="O1548" s="1" t="s">
        <v>42</v>
      </c>
      <c r="P1548" s="29">
        <v>21285.72</v>
      </c>
      <c r="Q1548" s="1" t="s">
        <v>695</v>
      </c>
      <c r="R1548" s="1">
        <v>5</v>
      </c>
      <c r="S1548" s="1">
        <v>103</v>
      </c>
      <c r="T1548" s="1">
        <v>25.1</v>
      </c>
      <c r="U1548" s="1" t="s">
        <v>44</v>
      </c>
      <c r="V1548" s="17" t="s">
        <v>33</v>
      </c>
    </row>
    <row r="1549" spans="1:22" ht="15" customHeight="1" x14ac:dyDescent="0.25">
      <c r="A1549" s="16" t="s">
        <v>2860</v>
      </c>
      <c r="B1549" s="3" t="s">
        <v>1745</v>
      </c>
      <c r="C1549">
        <v>92</v>
      </c>
      <c r="D1549" s="3" t="s">
        <v>36</v>
      </c>
      <c r="E1549" s="3" t="s">
        <v>23</v>
      </c>
      <c r="F1549" s="3" t="s">
        <v>70</v>
      </c>
      <c r="G1549" s="3" t="s">
        <v>77</v>
      </c>
      <c r="H1549" s="3" t="s">
        <v>26</v>
      </c>
      <c r="I1549" s="8">
        <v>44747</v>
      </c>
      <c r="J1549" s="8">
        <v>44758</v>
      </c>
      <c r="K1549" s="3">
        <v>11</v>
      </c>
      <c r="L1549" s="3" t="s">
        <v>89</v>
      </c>
      <c r="M1549" s="3" t="s">
        <v>90</v>
      </c>
      <c r="N1549" s="3" t="s">
        <v>94</v>
      </c>
      <c r="O1549" s="3" t="s">
        <v>42</v>
      </c>
      <c r="P1549" s="30">
        <v>132909.26999999999</v>
      </c>
      <c r="Q1549" s="3" t="s">
        <v>592</v>
      </c>
      <c r="R1549" s="3">
        <v>8</v>
      </c>
      <c r="S1549" s="3">
        <v>303</v>
      </c>
      <c r="T1549" s="3">
        <v>20.100000000000001</v>
      </c>
      <c r="U1549" s="3" t="s">
        <v>44</v>
      </c>
      <c r="V1549" s="18" t="s">
        <v>33</v>
      </c>
    </row>
    <row r="1550" spans="1:22" ht="15" customHeight="1" x14ac:dyDescent="0.25">
      <c r="A1550" s="15" t="s">
        <v>2861</v>
      </c>
      <c r="B1550" s="2" t="s">
        <v>1657</v>
      </c>
      <c r="C1550">
        <v>90</v>
      </c>
      <c r="D1550" s="1" t="s">
        <v>36</v>
      </c>
      <c r="E1550" s="1" t="s">
        <v>23</v>
      </c>
      <c r="F1550" s="1" t="s">
        <v>37</v>
      </c>
      <c r="G1550" s="1" t="s">
        <v>71</v>
      </c>
      <c r="H1550" s="1" t="s">
        <v>51</v>
      </c>
      <c r="I1550" s="6">
        <v>44003</v>
      </c>
      <c r="J1550" s="7">
        <v>44006</v>
      </c>
      <c r="K1550" s="1">
        <v>3</v>
      </c>
      <c r="L1550" s="1" t="s">
        <v>112</v>
      </c>
      <c r="M1550" s="1" t="s">
        <v>40</v>
      </c>
      <c r="N1550" s="1" t="s">
        <v>312</v>
      </c>
      <c r="O1550" s="1" t="s">
        <v>30</v>
      </c>
      <c r="P1550" s="29">
        <v>14245.5</v>
      </c>
      <c r="Q1550" s="1" t="s">
        <v>73</v>
      </c>
      <c r="R1550" s="1">
        <v>5</v>
      </c>
      <c r="S1550" s="1">
        <v>145</v>
      </c>
      <c r="T1550" s="1">
        <v>31</v>
      </c>
      <c r="U1550" s="1" t="s">
        <v>86</v>
      </c>
      <c r="V1550" s="17" t="s">
        <v>45</v>
      </c>
    </row>
    <row r="1551" spans="1:22" ht="15" customHeight="1" x14ac:dyDescent="0.25">
      <c r="A1551" s="16" t="s">
        <v>2862</v>
      </c>
      <c r="B1551" s="3" t="s">
        <v>2863</v>
      </c>
      <c r="C1551">
        <v>64</v>
      </c>
      <c r="D1551" s="3" t="s">
        <v>59</v>
      </c>
      <c r="E1551" s="3" t="s">
        <v>23</v>
      </c>
      <c r="F1551" s="3" t="s">
        <v>83</v>
      </c>
      <c r="G1551" s="3" t="s">
        <v>77</v>
      </c>
      <c r="H1551" s="3" t="s">
        <v>26</v>
      </c>
      <c r="I1551" s="8">
        <v>45225</v>
      </c>
      <c r="J1551" s="8">
        <v>45088</v>
      </c>
      <c r="K1551" s="3">
        <v>11</v>
      </c>
      <c r="L1551" s="3" t="s">
        <v>102</v>
      </c>
      <c r="M1551" s="3" t="s">
        <v>28</v>
      </c>
      <c r="N1551" s="3" t="s">
        <v>79</v>
      </c>
      <c r="O1551" s="3" t="s">
        <v>42</v>
      </c>
      <c r="P1551" s="30">
        <v>62090.03</v>
      </c>
      <c r="Q1551" s="3" t="s">
        <v>100</v>
      </c>
      <c r="R1551" s="3">
        <v>10</v>
      </c>
      <c r="S1551" s="3">
        <v>307</v>
      </c>
      <c r="T1551" s="3">
        <v>30.6</v>
      </c>
      <c r="U1551" s="3" t="s">
        <v>86</v>
      </c>
      <c r="V1551" s="18" t="s">
        <v>33</v>
      </c>
    </row>
    <row r="1552" spans="1:22" ht="15" customHeight="1" x14ac:dyDescent="0.25">
      <c r="A1552" s="15" t="s">
        <v>2864</v>
      </c>
      <c r="B1552" s="1" t="s">
        <v>2865</v>
      </c>
      <c r="C1552">
        <v>37</v>
      </c>
      <c r="D1552" s="1" t="s">
        <v>98</v>
      </c>
      <c r="E1552" s="1" t="s">
        <v>48</v>
      </c>
      <c r="F1552" s="1" t="s">
        <v>49</v>
      </c>
      <c r="G1552" s="1" t="s">
        <v>50</v>
      </c>
      <c r="H1552" s="1" t="s">
        <v>51</v>
      </c>
      <c r="I1552" s="7">
        <v>45017</v>
      </c>
      <c r="J1552" s="7">
        <v>45024</v>
      </c>
      <c r="K1552" s="1">
        <v>7</v>
      </c>
      <c r="L1552" s="1" t="s">
        <v>39</v>
      </c>
      <c r="M1552" s="1" t="s">
        <v>40</v>
      </c>
      <c r="N1552" s="1" t="s">
        <v>116</v>
      </c>
      <c r="O1552" s="1" t="s">
        <v>104</v>
      </c>
      <c r="P1552" s="29">
        <v>82610.34</v>
      </c>
      <c r="Q1552" s="1" t="s">
        <v>144</v>
      </c>
      <c r="R1552" s="1">
        <v>8</v>
      </c>
      <c r="S1552" s="1">
        <v>133</v>
      </c>
      <c r="T1552" s="1">
        <v>35.799999999999997</v>
      </c>
      <c r="U1552" s="1" t="s">
        <v>44</v>
      </c>
      <c r="V1552" s="17" t="s">
        <v>45</v>
      </c>
    </row>
    <row r="1553" spans="1:22" ht="15" customHeight="1" x14ac:dyDescent="0.25">
      <c r="A1553" s="16" t="s">
        <v>2866</v>
      </c>
      <c r="B1553" s="3" t="s">
        <v>130</v>
      </c>
      <c r="C1553">
        <v>68</v>
      </c>
      <c r="D1553" s="3" t="s">
        <v>82</v>
      </c>
      <c r="E1553" s="3" t="s">
        <v>23</v>
      </c>
      <c r="F1553" s="3" t="s">
        <v>76</v>
      </c>
      <c r="G1553" s="3" t="s">
        <v>226</v>
      </c>
      <c r="H1553" s="3" t="s">
        <v>51</v>
      </c>
      <c r="I1553" s="8">
        <v>44234</v>
      </c>
      <c r="J1553" s="8">
        <v>44385</v>
      </c>
      <c r="K1553" s="3">
        <v>6</v>
      </c>
      <c r="L1553" s="3" t="s">
        <v>112</v>
      </c>
      <c r="M1553" s="3" t="s">
        <v>40</v>
      </c>
      <c r="N1553" s="3" t="s">
        <v>79</v>
      </c>
      <c r="O1553" s="3" t="s">
        <v>30</v>
      </c>
      <c r="P1553" s="30">
        <v>18291.830000000002</v>
      </c>
      <c r="Q1553" s="3" t="s">
        <v>85</v>
      </c>
      <c r="R1553" s="3">
        <v>10</v>
      </c>
      <c r="S1553" s="3">
        <v>153</v>
      </c>
      <c r="T1553" s="3">
        <v>34.299999999999997</v>
      </c>
      <c r="U1553" s="3" t="s">
        <v>44</v>
      </c>
      <c r="V1553" s="18" t="s">
        <v>33</v>
      </c>
    </row>
    <row r="1554" spans="1:22" ht="15" customHeight="1" x14ac:dyDescent="0.25">
      <c r="A1554" s="15" t="s">
        <v>2867</v>
      </c>
      <c r="B1554" s="1" t="s">
        <v>2459</v>
      </c>
      <c r="C1554">
        <v>29</v>
      </c>
      <c r="D1554" s="1" t="s">
        <v>47</v>
      </c>
      <c r="E1554" s="1" t="s">
        <v>48</v>
      </c>
      <c r="F1554" s="1" t="s">
        <v>155</v>
      </c>
      <c r="G1554" s="1" t="s">
        <v>25</v>
      </c>
      <c r="H1554" s="1" t="s">
        <v>51</v>
      </c>
      <c r="I1554" s="7">
        <v>44443</v>
      </c>
      <c r="J1554" s="7">
        <v>44453</v>
      </c>
      <c r="K1554" s="1">
        <v>10</v>
      </c>
      <c r="L1554" s="1" t="s">
        <v>112</v>
      </c>
      <c r="M1554" s="1" t="s">
        <v>40</v>
      </c>
      <c r="N1554" s="1" t="s">
        <v>248</v>
      </c>
      <c r="O1554" s="1" t="s">
        <v>42</v>
      </c>
      <c r="P1554" s="29">
        <v>30605.65</v>
      </c>
      <c r="Q1554" s="1" t="s">
        <v>105</v>
      </c>
      <c r="R1554" s="1">
        <v>12</v>
      </c>
      <c r="S1554" s="1">
        <v>161</v>
      </c>
      <c r="T1554" s="1">
        <v>20.9</v>
      </c>
      <c r="U1554" s="1" t="s">
        <v>44</v>
      </c>
      <c r="V1554" s="17" t="s">
        <v>33</v>
      </c>
    </row>
    <row r="1555" spans="1:22" ht="15" customHeight="1" x14ac:dyDescent="0.25">
      <c r="A1555" s="16" t="s">
        <v>2868</v>
      </c>
      <c r="B1555" s="3" t="s">
        <v>2869</v>
      </c>
      <c r="C1555">
        <v>66</v>
      </c>
      <c r="D1555" s="3" t="s">
        <v>82</v>
      </c>
      <c r="E1555" s="3" t="s">
        <v>23</v>
      </c>
      <c r="F1555" s="3" t="s">
        <v>37</v>
      </c>
      <c r="G1555" s="3" t="s">
        <v>77</v>
      </c>
      <c r="H1555" s="3" t="s">
        <v>26</v>
      </c>
      <c r="I1555" s="8">
        <v>45251</v>
      </c>
      <c r="J1555" s="8">
        <v>45260</v>
      </c>
      <c r="K1555" s="3">
        <v>9</v>
      </c>
      <c r="L1555" s="3" t="s">
        <v>231</v>
      </c>
      <c r="M1555" s="3" t="s">
        <v>53</v>
      </c>
      <c r="N1555" s="3" t="s">
        <v>94</v>
      </c>
      <c r="O1555" s="3" t="s">
        <v>104</v>
      </c>
      <c r="P1555" s="30">
        <v>73847.649999999994</v>
      </c>
      <c r="Q1555" s="3" t="s">
        <v>123</v>
      </c>
      <c r="R1555" s="3">
        <v>10</v>
      </c>
      <c r="S1555" s="3">
        <v>341</v>
      </c>
      <c r="T1555" s="3">
        <v>29.2</v>
      </c>
      <c r="U1555" s="3" t="s">
        <v>44</v>
      </c>
      <c r="V1555" s="18" t="s">
        <v>45</v>
      </c>
    </row>
    <row r="1556" spans="1:22" ht="15" customHeight="1" x14ac:dyDescent="0.25">
      <c r="A1556" s="15" t="s">
        <v>2870</v>
      </c>
      <c r="B1556" s="2" t="s">
        <v>3683</v>
      </c>
      <c r="C1556">
        <v>82</v>
      </c>
      <c r="D1556" s="1" t="s">
        <v>36</v>
      </c>
      <c r="E1556" s="1" t="s">
        <v>23</v>
      </c>
      <c r="F1556" s="1" t="s">
        <v>155</v>
      </c>
      <c r="G1556" s="1" t="s">
        <v>60</v>
      </c>
      <c r="H1556" s="1" t="s">
        <v>26</v>
      </c>
      <c r="I1556" s="7">
        <v>44672</v>
      </c>
      <c r="J1556" s="7">
        <v>44679</v>
      </c>
      <c r="K1556" s="1">
        <v>7</v>
      </c>
      <c r="L1556" s="1" t="s">
        <v>122</v>
      </c>
      <c r="M1556" s="1" t="s">
        <v>40</v>
      </c>
      <c r="N1556" s="1" t="s">
        <v>61</v>
      </c>
      <c r="O1556" s="1" t="s">
        <v>104</v>
      </c>
      <c r="P1556" s="29">
        <v>36204.67</v>
      </c>
      <c r="Q1556" s="1" t="s">
        <v>137</v>
      </c>
      <c r="R1556" s="1">
        <v>6</v>
      </c>
      <c r="S1556" s="1">
        <v>253</v>
      </c>
      <c r="T1556" s="1">
        <v>27.5</v>
      </c>
      <c r="U1556" s="1" t="s">
        <v>32</v>
      </c>
      <c r="V1556" s="17" t="s">
        <v>33</v>
      </c>
    </row>
    <row r="1557" spans="1:22" ht="15" customHeight="1" x14ac:dyDescent="0.25">
      <c r="A1557" s="16" t="s">
        <v>2871</v>
      </c>
      <c r="B1557" s="3" t="s">
        <v>2025</v>
      </c>
      <c r="C1557">
        <v>87</v>
      </c>
      <c r="D1557" s="3" t="s">
        <v>36</v>
      </c>
      <c r="E1557" s="3" t="s">
        <v>23</v>
      </c>
      <c r="F1557" s="3" t="s">
        <v>37</v>
      </c>
      <c r="G1557" s="3" t="s">
        <v>77</v>
      </c>
      <c r="H1557" s="3" t="s">
        <v>78</v>
      </c>
      <c r="I1557" s="8">
        <v>45435</v>
      </c>
      <c r="J1557" s="8">
        <v>45443</v>
      </c>
      <c r="K1557" s="3">
        <v>8</v>
      </c>
      <c r="L1557" s="3" t="s">
        <v>27</v>
      </c>
      <c r="M1557" s="3" t="s">
        <v>28</v>
      </c>
      <c r="N1557" s="3" t="s">
        <v>94</v>
      </c>
      <c r="O1557" s="3" t="s">
        <v>30</v>
      </c>
      <c r="P1557" s="30">
        <v>58591.47</v>
      </c>
      <c r="Q1557" s="3" t="s">
        <v>181</v>
      </c>
      <c r="R1557" s="3">
        <v>8</v>
      </c>
      <c r="S1557" s="3">
        <v>396</v>
      </c>
      <c r="T1557" s="3">
        <v>46.6</v>
      </c>
      <c r="U1557" s="3" t="s">
        <v>44</v>
      </c>
      <c r="V1557" s="18" t="s">
        <v>33</v>
      </c>
    </row>
    <row r="1558" spans="1:22" ht="15" customHeight="1" x14ac:dyDescent="0.25">
      <c r="A1558" s="15" t="s">
        <v>2872</v>
      </c>
      <c r="B1558" s="1" t="s">
        <v>2784</v>
      </c>
      <c r="C1558">
        <v>73</v>
      </c>
      <c r="D1558" s="1" t="s">
        <v>82</v>
      </c>
      <c r="E1558" s="1" t="s">
        <v>23</v>
      </c>
      <c r="F1558" s="1" t="s">
        <v>76</v>
      </c>
      <c r="G1558" s="1" t="s">
        <v>38</v>
      </c>
      <c r="H1558" s="1" t="s">
        <v>51</v>
      </c>
      <c r="I1558" s="7">
        <v>44160</v>
      </c>
      <c r="J1558" s="7">
        <v>44162</v>
      </c>
      <c r="K1558" s="1">
        <v>2</v>
      </c>
      <c r="L1558" s="1" t="s">
        <v>52</v>
      </c>
      <c r="M1558" s="1" t="s">
        <v>53</v>
      </c>
      <c r="N1558" s="1" t="s">
        <v>173</v>
      </c>
      <c r="O1558" s="1" t="s">
        <v>66</v>
      </c>
      <c r="P1558" s="29">
        <v>28323.49</v>
      </c>
      <c r="Q1558" s="1" t="s">
        <v>236</v>
      </c>
      <c r="R1558" s="1">
        <v>6</v>
      </c>
      <c r="S1558" s="1">
        <v>131</v>
      </c>
      <c r="T1558" s="1">
        <v>34.700000000000003</v>
      </c>
      <c r="U1558" s="1" t="s">
        <v>44</v>
      </c>
      <c r="V1558" s="17" t="s">
        <v>45</v>
      </c>
    </row>
    <row r="1559" spans="1:22" ht="15" customHeight="1" x14ac:dyDescent="0.25">
      <c r="A1559" s="16" t="s">
        <v>2873</v>
      </c>
      <c r="B1559" s="3" t="s">
        <v>2874</v>
      </c>
      <c r="C1559">
        <v>34</v>
      </c>
      <c r="D1559" s="3" t="s">
        <v>47</v>
      </c>
      <c r="E1559" s="3" t="s">
        <v>23</v>
      </c>
      <c r="F1559" s="3" t="s">
        <v>76</v>
      </c>
      <c r="G1559" s="3" t="s">
        <v>71</v>
      </c>
      <c r="H1559" s="3" t="s">
        <v>51</v>
      </c>
      <c r="I1559" s="6">
        <v>44229</v>
      </c>
      <c r="J1559" s="8">
        <v>44232</v>
      </c>
      <c r="K1559" s="3">
        <v>3</v>
      </c>
      <c r="L1559" s="3" t="s">
        <v>27</v>
      </c>
      <c r="M1559" s="3" t="s">
        <v>28</v>
      </c>
      <c r="N1559" s="3" t="s">
        <v>312</v>
      </c>
      <c r="O1559" s="3" t="s">
        <v>30</v>
      </c>
      <c r="P1559" s="30">
        <v>5139.6400000000003</v>
      </c>
      <c r="Q1559" s="3" t="s">
        <v>503</v>
      </c>
      <c r="R1559" s="3">
        <v>4</v>
      </c>
      <c r="S1559" s="3">
        <v>157</v>
      </c>
      <c r="T1559" s="3">
        <v>23.5</v>
      </c>
      <c r="U1559" s="3" t="s">
        <v>44</v>
      </c>
      <c r="V1559" s="18" t="s">
        <v>33</v>
      </c>
    </row>
    <row r="1560" spans="1:22" ht="15" customHeight="1" x14ac:dyDescent="0.25">
      <c r="A1560" s="15" t="s">
        <v>2875</v>
      </c>
      <c r="B1560" s="1" t="s">
        <v>2876</v>
      </c>
      <c r="C1560">
        <v>33</v>
      </c>
      <c r="D1560" s="1" t="s">
        <v>47</v>
      </c>
      <c r="E1560" s="1" t="s">
        <v>48</v>
      </c>
      <c r="F1560" s="1" t="s">
        <v>83</v>
      </c>
      <c r="G1560" s="1" t="s">
        <v>77</v>
      </c>
      <c r="H1560" s="1" t="s">
        <v>26</v>
      </c>
      <c r="I1560" s="7">
        <v>43737</v>
      </c>
      <c r="J1560" s="10"/>
      <c r="K1560" s="1"/>
      <c r="L1560" s="1" t="s">
        <v>39</v>
      </c>
      <c r="M1560" s="1" t="s">
        <v>40</v>
      </c>
      <c r="N1560" s="1" t="s">
        <v>94</v>
      </c>
      <c r="O1560" s="1" t="s">
        <v>104</v>
      </c>
      <c r="P1560" s="29">
        <v>70779.73</v>
      </c>
      <c r="Q1560" s="1" t="s">
        <v>100</v>
      </c>
      <c r="R1560" s="1">
        <v>10</v>
      </c>
      <c r="S1560" s="1">
        <v>313</v>
      </c>
      <c r="T1560" s="1">
        <v>30.8</v>
      </c>
      <c r="U1560" s="1" t="s">
        <v>86</v>
      </c>
      <c r="V1560" s="17" t="s">
        <v>33</v>
      </c>
    </row>
    <row r="1561" spans="1:22" ht="15" customHeight="1" x14ac:dyDescent="0.25">
      <c r="A1561" s="16" t="s">
        <v>2877</v>
      </c>
      <c r="B1561" s="3" t="s">
        <v>2878</v>
      </c>
      <c r="C1561">
        <v>79</v>
      </c>
      <c r="D1561" s="3" t="s">
        <v>36</v>
      </c>
      <c r="E1561" s="3" t="s">
        <v>23</v>
      </c>
      <c r="F1561" s="3" t="s">
        <v>24</v>
      </c>
      <c r="G1561" s="3" t="s">
        <v>71</v>
      </c>
      <c r="H1561" s="3" t="s">
        <v>78</v>
      </c>
      <c r="I1561" s="8">
        <v>44786</v>
      </c>
      <c r="J1561" s="8">
        <v>44788</v>
      </c>
      <c r="K1561" s="3">
        <v>2</v>
      </c>
      <c r="L1561" s="3" t="s">
        <v>231</v>
      </c>
      <c r="M1561" s="3" t="s">
        <v>53</v>
      </c>
      <c r="N1561" s="3" t="s">
        <v>312</v>
      </c>
      <c r="O1561" s="3" t="s">
        <v>42</v>
      </c>
      <c r="P1561" s="30">
        <v>28404.25</v>
      </c>
      <c r="Q1561" s="3" t="s">
        <v>503</v>
      </c>
      <c r="R1561" s="3">
        <v>5</v>
      </c>
      <c r="S1561" s="3">
        <v>258</v>
      </c>
      <c r="T1561" s="3">
        <v>21.9</v>
      </c>
      <c r="U1561" s="3" t="s">
        <v>32</v>
      </c>
      <c r="V1561" s="18" t="s">
        <v>33</v>
      </c>
    </row>
    <row r="1562" spans="1:22" ht="15" customHeight="1" x14ac:dyDescent="0.25">
      <c r="A1562" s="15" t="s">
        <v>2879</v>
      </c>
      <c r="B1562" s="1" t="s">
        <v>2880</v>
      </c>
      <c r="C1562">
        <v>51</v>
      </c>
      <c r="D1562" s="1" t="s">
        <v>98</v>
      </c>
      <c r="E1562" s="1" t="s">
        <v>23</v>
      </c>
      <c r="F1562" s="1" t="s">
        <v>37</v>
      </c>
      <c r="G1562" s="1" t="s">
        <v>60</v>
      </c>
      <c r="H1562" s="1" t="s">
        <v>78</v>
      </c>
      <c r="I1562" s="6">
        <v>44203</v>
      </c>
      <c r="J1562" s="7">
        <v>44384</v>
      </c>
      <c r="K1562" s="1">
        <v>6</v>
      </c>
      <c r="L1562" s="1" t="s">
        <v>52</v>
      </c>
      <c r="M1562" s="1" t="s">
        <v>53</v>
      </c>
      <c r="N1562" s="1" t="s">
        <v>210</v>
      </c>
      <c r="O1562" s="1" t="s">
        <v>42</v>
      </c>
      <c r="P1562" s="29">
        <v>47879.83</v>
      </c>
      <c r="Q1562" s="1" t="s">
        <v>511</v>
      </c>
      <c r="R1562" s="1">
        <v>6</v>
      </c>
      <c r="S1562" s="1">
        <v>331</v>
      </c>
      <c r="T1562" s="1">
        <v>23.9</v>
      </c>
      <c r="U1562" s="1" t="s">
        <v>44</v>
      </c>
      <c r="V1562" s="17" t="s">
        <v>33</v>
      </c>
    </row>
    <row r="1563" spans="1:22" ht="15" customHeight="1" x14ac:dyDescent="0.25">
      <c r="A1563" s="16" t="s">
        <v>2881</v>
      </c>
      <c r="B1563" s="3" t="s">
        <v>2882</v>
      </c>
      <c r="C1563">
        <v>71</v>
      </c>
      <c r="D1563" s="3" t="s">
        <v>82</v>
      </c>
      <c r="E1563" s="3" t="s">
        <v>23</v>
      </c>
      <c r="F1563" s="3" t="s">
        <v>37</v>
      </c>
      <c r="G1563" s="3" t="s">
        <v>25</v>
      </c>
      <c r="H1563" s="3" t="s">
        <v>51</v>
      </c>
      <c r="I1563" s="6">
        <v>44600</v>
      </c>
      <c r="J1563" s="8">
        <v>44792</v>
      </c>
      <c r="K1563" s="3">
        <v>17</v>
      </c>
      <c r="L1563" s="3" t="s">
        <v>39</v>
      </c>
      <c r="M1563" s="3" t="s">
        <v>40</v>
      </c>
      <c r="N1563" s="3" t="s">
        <v>248</v>
      </c>
      <c r="O1563" s="3" t="s">
        <v>55</v>
      </c>
      <c r="P1563" s="30">
        <v>66160.58</v>
      </c>
      <c r="Q1563" s="3" t="s">
        <v>484</v>
      </c>
      <c r="R1563" s="3">
        <v>12</v>
      </c>
      <c r="S1563" s="3">
        <v>131</v>
      </c>
      <c r="T1563" s="3">
        <v>21.8</v>
      </c>
      <c r="U1563" s="3" t="s">
        <v>44</v>
      </c>
      <c r="V1563" s="18" t="s">
        <v>33</v>
      </c>
    </row>
    <row r="1564" spans="1:22" ht="15" customHeight="1" x14ac:dyDescent="0.25">
      <c r="A1564" s="15" t="s">
        <v>2883</v>
      </c>
      <c r="B1564" s="1" t="s">
        <v>676</v>
      </c>
      <c r="C1564">
        <v>44</v>
      </c>
      <c r="D1564" s="1" t="s">
        <v>98</v>
      </c>
      <c r="E1564" s="1" t="s">
        <v>48</v>
      </c>
      <c r="F1564" s="1" t="s">
        <v>24</v>
      </c>
      <c r="G1564" s="1" t="s">
        <v>25</v>
      </c>
      <c r="H1564" s="1" t="s">
        <v>26</v>
      </c>
      <c r="I1564" s="7">
        <v>44473</v>
      </c>
      <c r="J1564" s="7">
        <v>44492</v>
      </c>
      <c r="K1564" s="1">
        <v>19</v>
      </c>
      <c r="L1564" s="1" t="s">
        <v>27</v>
      </c>
      <c r="M1564" s="1" t="s">
        <v>28</v>
      </c>
      <c r="N1564" s="1" t="s">
        <v>29</v>
      </c>
      <c r="O1564" s="1" t="s">
        <v>104</v>
      </c>
      <c r="P1564" s="29">
        <v>146535.76999999999</v>
      </c>
      <c r="Q1564" s="1" t="s">
        <v>484</v>
      </c>
      <c r="R1564" s="1">
        <v>11</v>
      </c>
      <c r="S1564" s="1">
        <v>398</v>
      </c>
      <c r="T1564" s="4"/>
      <c r="U1564" s="1" t="s">
        <v>86</v>
      </c>
      <c r="V1564" s="17" t="s">
        <v>33</v>
      </c>
    </row>
    <row r="1565" spans="1:22" ht="15" customHeight="1" x14ac:dyDescent="0.25">
      <c r="A1565" s="16" t="s">
        <v>2884</v>
      </c>
      <c r="B1565" s="3" t="s">
        <v>475</v>
      </c>
      <c r="C1565">
        <v>40</v>
      </c>
      <c r="D1565" s="3" t="s">
        <v>98</v>
      </c>
      <c r="E1565" s="3" t="s">
        <v>23</v>
      </c>
      <c r="F1565" s="3" t="s">
        <v>49</v>
      </c>
      <c r="G1565" s="3" t="s">
        <v>77</v>
      </c>
      <c r="H1565" s="3" t="s">
        <v>26</v>
      </c>
      <c r="I1565" s="8">
        <v>44347</v>
      </c>
      <c r="J1565" s="8">
        <v>44359</v>
      </c>
      <c r="K1565" s="3">
        <v>12</v>
      </c>
      <c r="L1565" s="3" t="s">
        <v>132</v>
      </c>
      <c r="M1565" s="3" t="s">
        <v>53</v>
      </c>
      <c r="N1565" s="3" t="s">
        <v>79</v>
      </c>
      <c r="O1565" s="3" t="s">
        <v>104</v>
      </c>
      <c r="P1565" s="30">
        <v>92408.72</v>
      </c>
      <c r="Q1565" s="3" t="s">
        <v>95</v>
      </c>
      <c r="R1565" s="3">
        <v>9</v>
      </c>
      <c r="S1565" s="3">
        <v>339</v>
      </c>
      <c r="T1565" s="3">
        <v>21.2</v>
      </c>
      <c r="U1565" s="3" t="s">
        <v>44</v>
      </c>
      <c r="V1565" s="18" t="s">
        <v>33</v>
      </c>
    </row>
    <row r="1566" spans="1:22" ht="15" customHeight="1" x14ac:dyDescent="0.25">
      <c r="A1566" s="15" t="s">
        <v>2885</v>
      </c>
      <c r="B1566" s="1" t="s">
        <v>2469</v>
      </c>
      <c r="C1566">
        <v>75</v>
      </c>
      <c r="D1566" s="1" t="s">
        <v>36</v>
      </c>
      <c r="E1566" s="1" t="s">
        <v>48</v>
      </c>
      <c r="F1566" s="1" t="s">
        <v>70</v>
      </c>
      <c r="G1566" s="1" t="s">
        <v>131</v>
      </c>
      <c r="H1566" s="1" t="s">
        <v>51</v>
      </c>
      <c r="I1566" s="7">
        <v>45281</v>
      </c>
      <c r="J1566" s="7">
        <v>45286</v>
      </c>
      <c r="K1566" s="1">
        <v>5</v>
      </c>
      <c r="L1566" s="1" t="s">
        <v>132</v>
      </c>
      <c r="M1566" s="1" t="s">
        <v>53</v>
      </c>
      <c r="N1566" s="1" t="s">
        <v>133</v>
      </c>
      <c r="O1566" s="1" t="s">
        <v>30</v>
      </c>
      <c r="P1566" s="29">
        <v>37621</v>
      </c>
      <c r="Q1566" s="1" t="s">
        <v>152</v>
      </c>
      <c r="R1566" s="1">
        <v>7</v>
      </c>
      <c r="S1566" s="1">
        <v>134</v>
      </c>
      <c r="T1566" s="1">
        <v>33</v>
      </c>
      <c r="U1566" s="1" t="s">
        <v>44</v>
      </c>
      <c r="V1566" s="17" t="s">
        <v>33</v>
      </c>
    </row>
    <row r="1567" spans="1:22" ht="15" customHeight="1" x14ac:dyDescent="0.25">
      <c r="A1567" s="16" t="s">
        <v>2886</v>
      </c>
      <c r="B1567" s="3" t="s">
        <v>2887</v>
      </c>
      <c r="C1567">
        <v>25</v>
      </c>
      <c r="D1567" s="3" t="s">
        <v>47</v>
      </c>
      <c r="E1567" s="3" t="s">
        <v>23</v>
      </c>
      <c r="F1567" s="3" t="s">
        <v>155</v>
      </c>
      <c r="G1567" s="3" t="s">
        <v>163</v>
      </c>
      <c r="H1567" s="3" t="s">
        <v>51</v>
      </c>
      <c r="I1567" s="8">
        <v>43952</v>
      </c>
      <c r="J1567" s="8">
        <v>43956</v>
      </c>
      <c r="K1567" s="3">
        <v>4</v>
      </c>
      <c r="L1567" s="3" t="s">
        <v>102</v>
      </c>
      <c r="M1567" s="3" t="s">
        <v>28</v>
      </c>
      <c r="N1567" s="3" t="s">
        <v>164</v>
      </c>
      <c r="O1567" s="3" t="s">
        <v>104</v>
      </c>
      <c r="P1567" s="30">
        <v>15079.18</v>
      </c>
      <c r="Q1567" s="3" t="s">
        <v>382</v>
      </c>
      <c r="R1567" s="3">
        <v>5</v>
      </c>
      <c r="S1567" s="3">
        <v>131</v>
      </c>
      <c r="T1567" s="3">
        <v>26</v>
      </c>
      <c r="U1567" s="3" t="s">
        <v>86</v>
      </c>
      <c r="V1567" s="18" t="s">
        <v>33</v>
      </c>
    </row>
    <row r="1568" spans="1:22" ht="15" customHeight="1" x14ac:dyDescent="0.25">
      <c r="A1568" s="15" t="s">
        <v>2888</v>
      </c>
      <c r="B1568" s="1" t="s">
        <v>2889</v>
      </c>
      <c r="C1568">
        <v>27</v>
      </c>
      <c r="D1568" s="1" t="s">
        <v>47</v>
      </c>
      <c r="E1568" s="1" t="s">
        <v>23</v>
      </c>
      <c r="F1568" s="1" t="s">
        <v>49</v>
      </c>
      <c r="G1568" s="1" t="s">
        <v>77</v>
      </c>
      <c r="H1568" s="1" t="s">
        <v>51</v>
      </c>
      <c r="I1568" s="6">
        <v>44608</v>
      </c>
      <c r="J1568" s="7">
        <v>44610</v>
      </c>
      <c r="K1568" s="1">
        <v>2</v>
      </c>
      <c r="L1568" s="1" t="s">
        <v>185</v>
      </c>
      <c r="M1568" s="1" t="s">
        <v>186</v>
      </c>
      <c r="N1568" s="1" t="s">
        <v>79</v>
      </c>
      <c r="O1568" s="1" t="s">
        <v>66</v>
      </c>
      <c r="P1568" s="29">
        <v>27740.06</v>
      </c>
      <c r="Q1568" s="1" t="s">
        <v>85</v>
      </c>
      <c r="R1568" s="1">
        <v>10</v>
      </c>
      <c r="S1568" s="1">
        <v>103</v>
      </c>
      <c r="T1568" s="1">
        <v>33.6</v>
      </c>
      <c r="U1568" s="1" t="s">
        <v>44</v>
      </c>
      <c r="V1568" s="17" t="s">
        <v>45</v>
      </c>
    </row>
    <row r="1569" spans="1:22" ht="15" customHeight="1" x14ac:dyDescent="0.25">
      <c r="A1569" s="16" t="s">
        <v>2890</v>
      </c>
      <c r="B1569" s="3" t="s">
        <v>2891</v>
      </c>
      <c r="C1569">
        <v>61</v>
      </c>
      <c r="D1569" s="3" t="s">
        <v>59</v>
      </c>
      <c r="E1569" s="3" t="s">
        <v>23</v>
      </c>
      <c r="F1569" s="3" t="s">
        <v>76</v>
      </c>
      <c r="G1569" s="3" t="s">
        <v>38</v>
      </c>
      <c r="H1569" s="3" t="s">
        <v>78</v>
      </c>
      <c r="I1569" s="8">
        <v>43471</v>
      </c>
      <c r="J1569" s="8">
        <v>43473</v>
      </c>
      <c r="K1569" s="3">
        <v>2</v>
      </c>
      <c r="L1569" s="3" t="s">
        <v>89</v>
      </c>
      <c r="M1569" s="3" t="s">
        <v>90</v>
      </c>
      <c r="N1569" s="3" t="s">
        <v>203</v>
      </c>
      <c r="O1569" s="3" t="s">
        <v>30</v>
      </c>
      <c r="P1569" s="30">
        <v>11984</v>
      </c>
      <c r="Q1569" s="3" t="s">
        <v>437</v>
      </c>
      <c r="R1569" s="3">
        <v>6</v>
      </c>
      <c r="S1569" s="3">
        <v>206</v>
      </c>
      <c r="T1569" s="3">
        <v>35.9</v>
      </c>
      <c r="U1569" s="3" t="s">
        <v>86</v>
      </c>
      <c r="V1569" s="18" t="s">
        <v>33</v>
      </c>
    </row>
    <row r="1570" spans="1:22" ht="15" customHeight="1" x14ac:dyDescent="0.25">
      <c r="A1570" s="15" t="s">
        <v>2892</v>
      </c>
      <c r="B1570" s="2" t="s">
        <v>3684</v>
      </c>
      <c r="C1570">
        <v>92</v>
      </c>
      <c r="D1570" s="1" t="s">
        <v>36</v>
      </c>
      <c r="E1570" s="1" t="s">
        <v>48</v>
      </c>
      <c r="F1570" s="2" t="s">
        <v>76</v>
      </c>
      <c r="G1570" s="1" t="s">
        <v>131</v>
      </c>
      <c r="H1570" s="1" t="s">
        <v>51</v>
      </c>
      <c r="I1570" s="7">
        <v>44270</v>
      </c>
      <c r="J1570" s="7">
        <v>44275</v>
      </c>
      <c r="K1570" s="1">
        <v>5</v>
      </c>
      <c r="L1570" s="1" t="s">
        <v>39</v>
      </c>
      <c r="M1570" s="1" t="s">
        <v>40</v>
      </c>
      <c r="N1570" s="1" t="s">
        <v>157</v>
      </c>
      <c r="O1570" s="1" t="s">
        <v>30</v>
      </c>
      <c r="P1570" s="29">
        <v>22787.360000000001</v>
      </c>
      <c r="Q1570" s="1" t="s">
        <v>291</v>
      </c>
      <c r="R1570" s="1">
        <v>7</v>
      </c>
      <c r="S1570" s="1">
        <v>174</v>
      </c>
      <c r="T1570" s="1">
        <v>30</v>
      </c>
      <c r="U1570" s="1" t="s">
        <v>44</v>
      </c>
      <c r="V1570" s="17" t="s">
        <v>45</v>
      </c>
    </row>
    <row r="1571" spans="1:22" ht="15" customHeight="1" x14ac:dyDescent="0.25">
      <c r="A1571" s="16" t="s">
        <v>2893</v>
      </c>
      <c r="B1571" s="3" t="s">
        <v>2433</v>
      </c>
      <c r="C1571">
        <v>68</v>
      </c>
      <c r="D1571" s="3" t="s">
        <v>82</v>
      </c>
      <c r="E1571" s="3" t="s">
        <v>48</v>
      </c>
      <c r="F1571" s="3" t="s">
        <v>70</v>
      </c>
      <c r="G1571" s="3" t="s">
        <v>60</v>
      </c>
      <c r="H1571" s="3" t="s">
        <v>26</v>
      </c>
      <c r="I1571" s="8">
        <v>43536</v>
      </c>
      <c r="J1571" s="8">
        <v>43540</v>
      </c>
      <c r="K1571" s="3">
        <v>4</v>
      </c>
      <c r="L1571" s="3" t="s">
        <v>52</v>
      </c>
      <c r="M1571" s="3" t="s">
        <v>53</v>
      </c>
      <c r="N1571" s="3" t="s">
        <v>103</v>
      </c>
      <c r="O1571" s="3" t="s">
        <v>42</v>
      </c>
      <c r="P1571" s="30">
        <v>78665.960000000006</v>
      </c>
      <c r="Q1571" s="3" t="s">
        <v>137</v>
      </c>
      <c r="R1571" s="3">
        <v>6</v>
      </c>
      <c r="S1571" s="3">
        <v>161</v>
      </c>
      <c r="T1571" s="3">
        <v>39.799999999999997</v>
      </c>
      <c r="U1571" s="3" t="s">
        <v>44</v>
      </c>
      <c r="V1571" s="18" t="s">
        <v>33</v>
      </c>
    </row>
    <row r="1572" spans="1:22" ht="15" customHeight="1" x14ac:dyDescent="0.25">
      <c r="A1572" s="15" t="s">
        <v>2894</v>
      </c>
      <c r="B1572" s="1" t="s">
        <v>2895</v>
      </c>
      <c r="C1572">
        <v>64</v>
      </c>
      <c r="D1572" s="1" t="s">
        <v>59</v>
      </c>
      <c r="E1572" s="1" t="s">
        <v>48</v>
      </c>
      <c r="F1572" s="1" t="s">
        <v>49</v>
      </c>
      <c r="G1572" s="1" t="s">
        <v>77</v>
      </c>
      <c r="H1572" s="1" t="s">
        <v>78</v>
      </c>
      <c r="I1572" s="7">
        <v>43927</v>
      </c>
      <c r="J1572" s="7">
        <v>43939</v>
      </c>
      <c r="K1572" s="1">
        <v>12</v>
      </c>
      <c r="L1572" s="1" t="s">
        <v>231</v>
      </c>
      <c r="M1572" s="1" t="s">
        <v>53</v>
      </c>
      <c r="N1572" s="1" t="s">
        <v>84</v>
      </c>
      <c r="O1572" s="1" t="s">
        <v>30</v>
      </c>
      <c r="P1572" s="29">
        <v>25442</v>
      </c>
      <c r="Q1572" s="1" t="s">
        <v>80</v>
      </c>
      <c r="R1572" s="1">
        <v>10</v>
      </c>
      <c r="S1572" s="1">
        <v>176</v>
      </c>
      <c r="T1572" s="1">
        <v>30.1</v>
      </c>
      <c r="U1572" s="1" t="s">
        <v>44</v>
      </c>
      <c r="V1572" s="17" t="s">
        <v>33</v>
      </c>
    </row>
    <row r="1573" spans="1:22" ht="15" customHeight="1" x14ac:dyDescent="0.25">
      <c r="A1573" s="16" t="s">
        <v>2896</v>
      </c>
      <c r="B1573" s="3" t="s">
        <v>2897</v>
      </c>
      <c r="C1573">
        <v>41</v>
      </c>
      <c r="D1573" s="3" t="s">
        <v>98</v>
      </c>
      <c r="E1573" s="3" t="s">
        <v>23</v>
      </c>
      <c r="F1573" s="3" t="s">
        <v>37</v>
      </c>
      <c r="G1573" s="3" t="s">
        <v>25</v>
      </c>
      <c r="H1573" s="3" t="s">
        <v>78</v>
      </c>
      <c r="I1573" s="8">
        <v>44028</v>
      </c>
      <c r="J1573" s="8">
        <v>44048</v>
      </c>
      <c r="K1573" s="3">
        <v>20</v>
      </c>
      <c r="L1573" s="3" t="s">
        <v>102</v>
      </c>
      <c r="M1573" s="3" t="s">
        <v>28</v>
      </c>
      <c r="N1573" s="3" t="s">
        <v>248</v>
      </c>
      <c r="O1573" s="3" t="s">
        <v>30</v>
      </c>
      <c r="P1573" s="30">
        <v>66639</v>
      </c>
      <c r="Q1573" s="3" t="s">
        <v>515</v>
      </c>
      <c r="R1573" s="3">
        <v>12</v>
      </c>
      <c r="S1573" s="3">
        <v>165</v>
      </c>
      <c r="T1573" s="3">
        <v>16.100000000000001</v>
      </c>
      <c r="U1573" s="3" t="s">
        <v>32</v>
      </c>
      <c r="V1573" s="18" t="s">
        <v>33</v>
      </c>
    </row>
    <row r="1574" spans="1:22" ht="15" customHeight="1" x14ac:dyDescent="0.25">
      <c r="A1574" s="15" t="s">
        <v>2898</v>
      </c>
      <c r="B1574" s="1" t="s">
        <v>2899</v>
      </c>
      <c r="C1574">
        <v>61</v>
      </c>
      <c r="D1574" s="1" t="s">
        <v>59</v>
      </c>
      <c r="E1574" s="1" t="s">
        <v>23</v>
      </c>
      <c r="F1574" s="1" t="s">
        <v>24</v>
      </c>
      <c r="G1574" s="1" t="s">
        <v>71</v>
      </c>
      <c r="H1574" s="1" t="s">
        <v>78</v>
      </c>
      <c r="I1574" s="7">
        <v>45028</v>
      </c>
      <c r="J1574" s="7">
        <v>45119</v>
      </c>
      <c r="K1574" s="1">
        <v>3</v>
      </c>
      <c r="L1574" s="1" t="s">
        <v>102</v>
      </c>
      <c r="M1574" s="1" t="s">
        <v>28</v>
      </c>
      <c r="N1574" s="1" t="s">
        <v>312</v>
      </c>
      <c r="O1574" s="1" t="s">
        <v>55</v>
      </c>
      <c r="P1574" s="29">
        <v>12304.13</v>
      </c>
      <c r="Q1574" s="1" t="s">
        <v>178</v>
      </c>
      <c r="R1574" s="1">
        <v>4</v>
      </c>
      <c r="S1574" s="1">
        <v>275</v>
      </c>
      <c r="T1574" s="4"/>
      <c r="U1574" s="1" t="s">
        <v>86</v>
      </c>
      <c r="V1574" s="17" t="s">
        <v>33</v>
      </c>
    </row>
    <row r="1575" spans="1:22" ht="15" customHeight="1" x14ac:dyDescent="0.25">
      <c r="A1575" s="16" t="s">
        <v>2900</v>
      </c>
      <c r="B1575" s="3" t="s">
        <v>2901</v>
      </c>
      <c r="C1575">
        <v>72</v>
      </c>
      <c r="D1575" s="3" t="s">
        <v>82</v>
      </c>
      <c r="E1575" s="3" t="s">
        <v>23</v>
      </c>
      <c r="F1575" s="3" t="s">
        <v>83</v>
      </c>
      <c r="G1575" s="3" t="s">
        <v>60</v>
      </c>
      <c r="H1575" s="3" t="s">
        <v>51</v>
      </c>
      <c r="I1575" s="6">
        <v>44584</v>
      </c>
      <c r="J1575" s="8">
        <v>44588</v>
      </c>
      <c r="K1575" s="3">
        <v>4</v>
      </c>
      <c r="L1575" s="3" t="s">
        <v>89</v>
      </c>
      <c r="M1575" s="3" t="s">
        <v>90</v>
      </c>
      <c r="N1575" s="3" t="s">
        <v>210</v>
      </c>
      <c r="O1575" s="3" t="s">
        <v>42</v>
      </c>
      <c r="P1575" s="30">
        <v>33341.629999999997</v>
      </c>
      <c r="Q1575" s="3" t="s">
        <v>62</v>
      </c>
      <c r="R1575" s="3">
        <v>6</v>
      </c>
      <c r="S1575" s="3">
        <v>115</v>
      </c>
      <c r="T1575" s="3">
        <v>33.299999999999997</v>
      </c>
      <c r="U1575" s="3" t="s">
        <v>44</v>
      </c>
      <c r="V1575" s="18" t="s">
        <v>33</v>
      </c>
    </row>
    <row r="1576" spans="1:22" ht="15" customHeight="1" x14ac:dyDescent="0.25">
      <c r="A1576" s="15" t="s">
        <v>2902</v>
      </c>
      <c r="B1576" s="1" t="s">
        <v>2903</v>
      </c>
      <c r="C1576">
        <v>74</v>
      </c>
      <c r="D1576" s="1" t="s">
        <v>82</v>
      </c>
      <c r="E1576" s="1" t="s">
        <v>23</v>
      </c>
      <c r="F1576" s="1" t="s">
        <v>37</v>
      </c>
      <c r="G1576" s="1" t="s">
        <v>77</v>
      </c>
      <c r="H1576" s="1" t="s">
        <v>51</v>
      </c>
      <c r="I1576" s="6">
        <v>44871</v>
      </c>
      <c r="J1576" s="7">
        <v>44876</v>
      </c>
      <c r="K1576" s="1">
        <v>5</v>
      </c>
      <c r="L1576" s="1" t="s">
        <v>27</v>
      </c>
      <c r="M1576" s="1" t="s">
        <v>28</v>
      </c>
      <c r="N1576" s="1" t="s">
        <v>79</v>
      </c>
      <c r="O1576" s="1" t="s">
        <v>55</v>
      </c>
      <c r="P1576" s="29">
        <v>82593</v>
      </c>
      <c r="Q1576" s="1" t="s">
        <v>223</v>
      </c>
      <c r="R1576" s="1">
        <v>10</v>
      </c>
      <c r="S1576" s="1">
        <v>166</v>
      </c>
      <c r="T1576" s="1">
        <v>24.9</v>
      </c>
      <c r="U1576" s="1" t="s">
        <v>86</v>
      </c>
      <c r="V1576" s="17" t="s">
        <v>33</v>
      </c>
    </row>
    <row r="1577" spans="1:22" ht="15" customHeight="1" x14ac:dyDescent="0.25">
      <c r="A1577" s="16" t="s">
        <v>2904</v>
      </c>
      <c r="B1577" s="3" t="s">
        <v>2905</v>
      </c>
      <c r="C1577">
        <v>73</v>
      </c>
      <c r="D1577" s="3" t="s">
        <v>82</v>
      </c>
      <c r="E1577" s="3" t="s">
        <v>23</v>
      </c>
      <c r="F1577" s="3" t="s">
        <v>99</v>
      </c>
      <c r="G1577" s="3" t="s">
        <v>77</v>
      </c>
      <c r="H1577" s="3" t="s">
        <v>51</v>
      </c>
      <c r="I1577" s="8">
        <v>45520</v>
      </c>
      <c r="J1577" s="8">
        <v>45529</v>
      </c>
      <c r="K1577" s="3">
        <v>9</v>
      </c>
      <c r="L1577" s="3" t="s">
        <v>27</v>
      </c>
      <c r="M1577" s="3" t="s">
        <v>28</v>
      </c>
      <c r="N1577" s="3" t="s">
        <v>84</v>
      </c>
      <c r="O1577" s="3" t="s">
        <v>30</v>
      </c>
      <c r="P1577" s="30">
        <v>46089.8</v>
      </c>
      <c r="Q1577" s="3" t="s">
        <v>223</v>
      </c>
      <c r="R1577" s="3">
        <v>10</v>
      </c>
      <c r="S1577" s="3">
        <v>193</v>
      </c>
      <c r="T1577" s="3">
        <v>35.799999999999997</v>
      </c>
      <c r="U1577" s="3" t="s">
        <v>44</v>
      </c>
      <c r="V1577" s="18" t="s">
        <v>45</v>
      </c>
    </row>
    <row r="1578" spans="1:22" ht="15" customHeight="1" x14ac:dyDescent="0.25">
      <c r="A1578" s="15" t="s">
        <v>2906</v>
      </c>
      <c r="B1578" s="2" t="s">
        <v>3611</v>
      </c>
      <c r="C1578">
        <v>75</v>
      </c>
      <c r="D1578" s="1" t="s">
        <v>36</v>
      </c>
      <c r="E1578" s="1" t="s">
        <v>23</v>
      </c>
      <c r="F1578" s="2" t="s">
        <v>155</v>
      </c>
      <c r="G1578" s="1" t="s">
        <v>25</v>
      </c>
      <c r="H1578" s="1" t="s">
        <v>78</v>
      </c>
      <c r="I1578" s="7">
        <v>44023</v>
      </c>
      <c r="J1578" s="7">
        <v>44041</v>
      </c>
      <c r="K1578" s="1">
        <v>18</v>
      </c>
      <c r="L1578" s="1" t="s">
        <v>112</v>
      </c>
      <c r="M1578" s="1" t="s">
        <v>40</v>
      </c>
      <c r="N1578" s="1" t="s">
        <v>248</v>
      </c>
      <c r="O1578" s="1" t="s">
        <v>30</v>
      </c>
      <c r="P1578" s="29">
        <v>149967.43</v>
      </c>
      <c r="Q1578" s="1" t="s">
        <v>249</v>
      </c>
      <c r="R1578" s="1">
        <v>9</v>
      </c>
      <c r="S1578" s="1">
        <v>339</v>
      </c>
      <c r="T1578" s="1">
        <v>23.3</v>
      </c>
      <c r="U1578" s="1" t="s">
        <v>86</v>
      </c>
      <c r="V1578" s="17" t="s">
        <v>45</v>
      </c>
    </row>
    <row r="1579" spans="1:22" ht="15" customHeight="1" x14ac:dyDescent="0.25">
      <c r="A1579" s="16" t="s">
        <v>2907</v>
      </c>
      <c r="B1579" s="3" t="s">
        <v>2908</v>
      </c>
      <c r="C1579">
        <v>38</v>
      </c>
      <c r="D1579" s="3" t="s">
        <v>98</v>
      </c>
      <c r="E1579" s="3" t="s">
        <v>48</v>
      </c>
      <c r="F1579" s="3" t="s">
        <v>49</v>
      </c>
      <c r="G1579" s="3" t="s">
        <v>665</v>
      </c>
      <c r="H1579" s="3" t="s">
        <v>78</v>
      </c>
      <c r="I1579" s="8">
        <v>44128</v>
      </c>
      <c r="J1579" s="8">
        <v>44134</v>
      </c>
      <c r="K1579" s="3">
        <v>6</v>
      </c>
      <c r="L1579" s="3" t="s">
        <v>112</v>
      </c>
      <c r="M1579" s="3" t="s">
        <v>40</v>
      </c>
      <c r="N1579" s="3" t="s">
        <v>116</v>
      </c>
      <c r="O1579" s="3" t="s">
        <v>30</v>
      </c>
      <c r="P1579" s="30">
        <v>31152.880000000001</v>
      </c>
      <c r="Q1579" s="3" t="s">
        <v>552</v>
      </c>
      <c r="R1579" s="3">
        <v>9</v>
      </c>
      <c r="S1579" s="3">
        <v>156</v>
      </c>
      <c r="T1579" s="3">
        <v>27.3</v>
      </c>
      <c r="U1579" s="3" t="s">
        <v>86</v>
      </c>
      <c r="V1579" s="18" t="s">
        <v>33</v>
      </c>
    </row>
    <row r="1580" spans="1:22" ht="15" customHeight="1" x14ac:dyDescent="0.25">
      <c r="A1580" s="15" t="s">
        <v>2909</v>
      </c>
      <c r="B1580" s="1" t="s">
        <v>2910</v>
      </c>
      <c r="C1580">
        <v>91</v>
      </c>
      <c r="D1580" s="1" t="s">
        <v>36</v>
      </c>
      <c r="E1580" s="1" t="s">
        <v>48</v>
      </c>
      <c r="F1580" s="1" t="s">
        <v>37</v>
      </c>
      <c r="G1580" s="1" t="s">
        <v>38</v>
      </c>
      <c r="H1580" s="1" t="s">
        <v>78</v>
      </c>
      <c r="I1580" s="6">
        <v>44046</v>
      </c>
      <c r="J1580" s="7">
        <v>43901</v>
      </c>
      <c r="K1580" s="1">
        <v>3</v>
      </c>
      <c r="L1580" s="1" t="s">
        <v>39</v>
      </c>
      <c r="M1580" s="1" t="s">
        <v>40</v>
      </c>
      <c r="N1580" s="1" t="s">
        <v>173</v>
      </c>
      <c r="O1580" s="1" t="s">
        <v>42</v>
      </c>
      <c r="P1580" s="29">
        <v>21082</v>
      </c>
      <c r="Q1580" s="1" t="s">
        <v>119</v>
      </c>
      <c r="R1580" s="1">
        <v>8</v>
      </c>
      <c r="S1580" s="1">
        <v>390</v>
      </c>
      <c r="T1580" s="1">
        <v>28.6</v>
      </c>
      <c r="U1580" s="1" t="s">
        <v>44</v>
      </c>
      <c r="V1580" s="17" t="s">
        <v>33</v>
      </c>
    </row>
    <row r="1581" spans="1:22" ht="15" customHeight="1" x14ac:dyDescent="0.25">
      <c r="A1581" s="16" t="s">
        <v>2911</v>
      </c>
      <c r="B1581" s="3" t="s">
        <v>2912</v>
      </c>
      <c r="C1581">
        <v>70</v>
      </c>
      <c r="D1581" s="3" t="s">
        <v>82</v>
      </c>
      <c r="E1581" s="3" t="s">
        <v>48</v>
      </c>
      <c r="F1581" s="2" t="s">
        <v>37</v>
      </c>
      <c r="G1581" s="3" t="s">
        <v>71</v>
      </c>
      <c r="H1581" s="3" t="s">
        <v>26</v>
      </c>
      <c r="I1581" s="8">
        <v>43807</v>
      </c>
      <c r="J1581" s="8">
        <v>43816</v>
      </c>
      <c r="K1581" s="3">
        <v>9</v>
      </c>
      <c r="L1581" s="3" t="s">
        <v>132</v>
      </c>
      <c r="M1581" s="3" t="s">
        <v>53</v>
      </c>
      <c r="N1581" s="3" t="s">
        <v>177</v>
      </c>
      <c r="O1581" s="3" t="s">
        <v>30</v>
      </c>
      <c r="P1581" s="30">
        <v>19019.59</v>
      </c>
      <c r="Q1581" s="3" t="s">
        <v>170</v>
      </c>
      <c r="R1581" s="3">
        <v>5</v>
      </c>
      <c r="S1581" s="3">
        <v>144</v>
      </c>
      <c r="T1581" s="3">
        <v>29.7</v>
      </c>
      <c r="U1581" s="3" t="s">
        <v>44</v>
      </c>
      <c r="V1581" s="18" t="s">
        <v>33</v>
      </c>
    </row>
    <row r="1582" spans="1:22" ht="15" customHeight="1" x14ac:dyDescent="0.25">
      <c r="A1582" s="15" t="s">
        <v>2913</v>
      </c>
      <c r="B1582" s="1" t="s">
        <v>1449</v>
      </c>
      <c r="C1582">
        <v>88</v>
      </c>
      <c r="D1582" s="1" t="s">
        <v>36</v>
      </c>
      <c r="E1582" s="1" t="s">
        <v>23</v>
      </c>
      <c r="F1582" s="1" t="s">
        <v>70</v>
      </c>
      <c r="G1582" s="1" t="s">
        <v>25</v>
      </c>
      <c r="H1582" s="1" t="s">
        <v>26</v>
      </c>
      <c r="I1582" s="7">
        <v>44710</v>
      </c>
      <c r="J1582" s="7">
        <v>44732</v>
      </c>
      <c r="K1582" s="1">
        <v>22</v>
      </c>
      <c r="L1582" s="1" t="s">
        <v>231</v>
      </c>
      <c r="M1582" s="1" t="s">
        <v>53</v>
      </c>
      <c r="N1582" s="1" t="s">
        <v>248</v>
      </c>
      <c r="O1582" s="1" t="s">
        <v>42</v>
      </c>
      <c r="P1582" s="29">
        <v>176939.94</v>
      </c>
      <c r="Q1582" s="1" t="s">
        <v>322</v>
      </c>
      <c r="R1582" s="1">
        <v>11</v>
      </c>
      <c r="S1582" s="1">
        <v>161</v>
      </c>
      <c r="T1582" s="1">
        <v>19.5</v>
      </c>
      <c r="U1582" s="1" t="s">
        <v>44</v>
      </c>
      <c r="V1582" s="17" t="s">
        <v>33</v>
      </c>
    </row>
    <row r="1583" spans="1:22" ht="15" customHeight="1" x14ac:dyDescent="0.25">
      <c r="A1583" s="16" t="s">
        <v>2914</v>
      </c>
      <c r="B1583" s="3" t="s">
        <v>1403</v>
      </c>
      <c r="C1583">
        <v>2</v>
      </c>
      <c r="D1583" s="3" t="s">
        <v>22</v>
      </c>
      <c r="E1583" s="3" t="s">
        <v>48</v>
      </c>
      <c r="F1583" s="3" t="s">
        <v>76</v>
      </c>
      <c r="G1583" s="3" t="s">
        <v>71</v>
      </c>
      <c r="H1583" s="3" t="s">
        <v>51</v>
      </c>
      <c r="I1583" s="6">
        <v>44208</v>
      </c>
      <c r="J1583" s="8">
        <v>44211</v>
      </c>
      <c r="K1583" s="3">
        <v>3</v>
      </c>
      <c r="L1583" s="3" t="s">
        <v>185</v>
      </c>
      <c r="M1583" s="3" t="s">
        <v>186</v>
      </c>
      <c r="N1583" s="3" t="s">
        <v>177</v>
      </c>
      <c r="O1583" s="3" t="s">
        <v>30</v>
      </c>
      <c r="P1583" s="30">
        <v>5777.99</v>
      </c>
      <c r="Q1583" s="3" t="s">
        <v>503</v>
      </c>
      <c r="R1583" s="3">
        <v>5</v>
      </c>
      <c r="S1583" s="3">
        <v>142</v>
      </c>
      <c r="T1583" s="3">
        <v>21.8</v>
      </c>
      <c r="U1583" s="3" t="s">
        <v>32</v>
      </c>
      <c r="V1583" s="18" t="s">
        <v>33</v>
      </c>
    </row>
    <row r="1584" spans="1:22" ht="15" customHeight="1" x14ac:dyDescent="0.25">
      <c r="A1584" s="15" t="s">
        <v>2915</v>
      </c>
      <c r="B1584" s="1" t="s">
        <v>545</v>
      </c>
      <c r="C1584">
        <v>58</v>
      </c>
      <c r="D1584" s="1" t="s">
        <v>59</v>
      </c>
      <c r="E1584" s="1" t="s">
        <v>23</v>
      </c>
      <c r="F1584" s="1" t="s">
        <v>49</v>
      </c>
      <c r="G1584" s="1" t="s">
        <v>188</v>
      </c>
      <c r="H1584" s="1" t="s">
        <v>26</v>
      </c>
      <c r="I1584" s="7">
        <v>43583</v>
      </c>
      <c r="J1584" s="7">
        <v>43600</v>
      </c>
      <c r="K1584" s="1">
        <v>17</v>
      </c>
      <c r="L1584" s="1" t="s">
        <v>89</v>
      </c>
      <c r="M1584" s="1" t="s">
        <v>90</v>
      </c>
      <c r="N1584" s="1" t="s">
        <v>94</v>
      </c>
      <c r="O1584" s="1" t="s">
        <v>104</v>
      </c>
      <c r="P1584" s="29">
        <v>55786.97</v>
      </c>
      <c r="Q1584" s="1" t="s">
        <v>123</v>
      </c>
      <c r="R1584" s="1">
        <v>10</v>
      </c>
      <c r="S1584" s="1">
        <v>321</v>
      </c>
      <c r="T1584" s="1">
        <v>37.1</v>
      </c>
      <c r="U1584" s="1" t="s">
        <v>44</v>
      </c>
      <c r="V1584" s="17" t="s">
        <v>33</v>
      </c>
    </row>
    <row r="1585" spans="1:22" ht="15" customHeight="1" x14ac:dyDescent="0.25">
      <c r="A1585" s="16" t="s">
        <v>2916</v>
      </c>
      <c r="B1585" s="3" t="s">
        <v>1348</v>
      </c>
      <c r="C1585">
        <v>65</v>
      </c>
      <c r="D1585" s="3" t="s">
        <v>82</v>
      </c>
      <c r="E1585" s="3" t="s">
        <v>23</v>
      </c>
      <c r="F1585" s="3" t="s">
        <v>83</v>
      </c>
      <c r="G1585" s="3" t="s">
        <v>71</v>
      </c>
      <c r="H1585" s="3" t="s">
        <v>51</v>
      </c>
      <c r="I1585" s="8">
        <v>43550</v>
      </c>
      <c r="J1585" s="8">
        <v>43553</v>
      </c>
      <c r="K1585" s="3">
        <v>3</v>
      </c>
      <c r="L1585" s="3" t="s">
        <v>52</v>
      </c>
      <c r="M1585" s="3" t="s">
        <v>53</v>
      </c>
      <c r="N1585" s="3" t="s">
        <v>312</v>
      </c>
      <c r="O1585" s="3" t="s">
        <v>42</v>
      </c>
      <c r="P1585" s="30">
        <v>18212</v>
      </c>
      <c r="Q1585" s="3" t="s">
        <v>170</v>
      </c>
      <c r="R1585" s="3">
        <v>5</v>
      </c>
      <c r="S1585" s="3">
        <v>174</v>
      </c>
      <c r="T1585" s="3">
        <v>21.5</v>
      </c>
      <c r="U1585" s="3" t="s">
        <v>86</v>
      </c>
      <c r="V1585" s="18" t="s">
        <v>45</v>
      </c>
    </row>
    <row r="1586" spans="1:22" ht="15" customHeight="1" x14ac:dyDescent="0.25">
      <c r="A1586" s="15" t="s">
        <v>2917</v>
      </c>
      <c r="B1586" s="1" t="s">
        <v>2918</v>
      </c>
      <c r="C1586">
        <v>51</v>
      </c>
      <c r="D1586" s="1" t="s">
        <v>98</v>
      </c>
      <c r="E1586" s="1" t="s">
        <v>23</v>
      </c>
      <c r="F1586" s="1" t="s">
        <v>49</v>
      </c>
      <c r="G1586" s="1" t="s">
        <v>77</v>
      </c>
      <c r="H1586" s="1" t="s">
        <v>26</v>
      </c>
      <c r="I1586" s="7">
        <v>45555</v>
      </c>
      <c r="J1586" s="7">
        <v>45301</v>
      </c>
      <c r="K1586" s="1">
        <v>11</v>
      </c>
      <c r="L1586" s="1" t="s">
        <v>39</v>
      </c>
      <c r="M1586" s="1" t="s">
        <v>40</v>
      </c>
      <c r="N1586" s="1" t="s">
        <v>84</v>
      </c>
      <c r="O1586" s="1" t="s">
        <v>30</v>
      </c>
      <c r="P1586" s="29">
        <v>35293.15</v>
      </c>
      <c r="Q1586" s="1" t="s">
        <v>109</v>
      </c>
      <c r="R1586" s="1">
        <v>10</v>
      </c>
      <c r="S1586" s="1">
        <v>327</v>
      </c>
      <c r="T1586" s="1">
        <v>28.2</v>
      </c>
      <c r="U1586" s="1" t="s">
        <v>86</v>
      </c>
      <c r="V1586" s="17" t="s">
        <v>33</v>
      </c>
    </row>
    <row r="1587" spans="1:22" ht="15" customHeight="1" x14ac:dyDescent="0.25">
      <c r="A1587" s="16" t="s">
        <v>2919</v>
      </c>
      <c r="B1587" s="3" t="s">
        <v>2920</v>
      </c>
      <c r="C1587">
        <v>58</v>
      </c>
      <c r="D1587" s="3" t="s">
        <v>59</v>
      </c>
      <c r="E1587" s="3" t="s">
        <v>48</v>
      </c>
      <c r="F1587" s="3" t="s">
        <v>155</v>
      </c>
      <c r="G1587" s="3" t="s">
        <v>38</v>
      </c>
      <c r="H1587" s="3" t="s">
        <v>78</v>
      </c>
      <c r="I1587" s="6">
        <v>43942</v>
      </c>
      <c r="J1587" s="8">
        <v>43944</v>
      </c>
      <c r="K1587" s="3">
        <v>2</v>
      </c>
      <c r="L1587" s="3" t="s">
        <v>27</v>
      </c>
      <c r="M1587" s="3" t="s">
        <v>28</v>
      </c>
      <c r="N1587" s="3" t="s">
        <v>173</v>
      </c>
      <c r="O1587" s="3" t="s">
        <v>42</v>
      </c>
      <c r="P1587" s="30">
        <v>20454.169999999998</v>
      </c>
      <c r="Q1587" s="3" t="s">
        <v>437</v>
      </c>
      <c r="R1587" s="3">
        <v>8</v>
      </c>
      <c r="S1587" s="3">
        <v>171</v>
      </c>
      <c r="T1587" s="3">
        <v>34.9</v>
      </c>
      <c r="U1587" s="3" t="s">
        <v>44</v>
      </c>
      <c r="V1587" s="18" t="s">
        <v>33</v>
      </c>
    </row>
    <row r="1588" spans="1:22" ht="15" customHeight="1" x14ac:dyDescent="0.25">
      <c r="A1588" s="15" t="s">
        <v>2921</v>
      </c>
      <c r="B1588" s="1" t="s">
        <v>2383</v>
      </c>
      <c r="C1588">
        <v>57</v>
      </c>
      <c r="D1588" s="1" t="s">
        <v>59</v>
      </c>
      <c r="E1588" s="1" t="s">
        <v>23</v>
      </c>
      <c r="F1588" s="1" t="s">
        <v>24</v>
      </c>
      <c r="G1588" s="1" t="s">
        <v>38</v>
      </c>
      <c r="H1588" s="1" t="s">
        <v>51</v>
      </c>
      <c r="I1588" s="7">
        <v>45067</v>
      </c>
      <c r="J1588" s="7">
        <v>45069</v>
      </c>
      <c r="K1588" s="1">
        <v>2</v>
      </c>
      <c r="L1588" s="1" t="s">
        <v>132</v>
      </c>
      <c r="M1588" s="1" t="s">
        <v>53</v>
      </c>
      <c r="N1588" s="1" t="s">
        <v>203</v>
      </c>
      <c r="O1588" s="1" t="s">
        <v>42</v>
      </c>
      <c r="P1588" s="29">
        <v>10723.44</v>
      </c>
      <c r="Q1588" s="1" t="s">
        <v>204</v>
      </c>
      <c r="R1588" s="1">
        <v>8</v>
      </c>
      <c r="S1588" s="1">
        <v>153</v>
      </c>
      <c r="T1588" s="1">
        <v>27.2</v>
      </c>
      <c r="U1588" s="1" t="s">
        <v>44</v>
      </c>
      <c r="V1588" s="17" t="s">
        <v>33</v>
      </c>
    </row>
    <row r="1589" spans="1:22" ht="15" customHeight="1" x14ac:dyDescent="0.25">
      <c r="A1589" s="16" t="s">
        <v>2922</v>
      </c>
      <c r="B1589" s="3" t="s">
        <v>2923</v>
      </c>
      <c r="C1589">
        <v>68</v>
      </c>
      <c r="D1589" s="3" t="s">
        <v>82</v>
      </c>
      <c r="E1589" s="3" t="s">
        <v>48</v>
      </c>
      <c r="F1589" s="3" t="s">
        <v>99</v>
      </c>
      <c r="G1589" s="3" t="s">
        <v>38</v>
      </c>
      <c r="H1589" s="3" t="s">
        <v>51</v>
      </c>
      <c r="I1589" s="8">
        <v>44517</v>
      </c>
      <c r="J1589" s="8">
        <v>44522</v>
      </c>
      <c r="K1589" s="3">
        <v>5</v>
      </c>
      <c r="L1589" s="3" t="s">
        <v>102</v>
      </c>
      <c r="M1589" s="3" t="s">
        <v>28</v>
      </c>
      <c r="N1589" s="3" t="s">
        <v>203</v>
      </c>
      <c r="O1589" s="3" t="s">
        <v>42</v>
      </c>
      <c r="P1589" s="30">
        <v>26439.59</v>
      </c>
      <c r="Q1589" s="3" t="s">
        <v>174</v>
      </c>
      <c r="R1589" s="3">
        <v>8</v>
      </c>
      <c r="S1589" s="3">
        <v>160</v>
      </c>
      <c r="T1589" s="3">
        <v>31.3</v>
      </c>
      <c r="U1589" s="3" t="s">
        <v>32</v>
      </c>
      <c r="V1589" s="18" t="s">
        <v>45</v>
      </c>
    </row>
    <row r="1590" spans="1:22" ht="15" customHeight="1" x14ac:dyDescent="0.25">
      <c r="A1590" s="15" t="s">
        <v>2924</v>
      </c>
      <c r="B1590" s="1" t="s">
        <v>2816</v>
      </c>
      <c r="C1590">
        <v>71</v>
      </c>
      <c r="D1590" s="1" t="s">
        <v>82</v>
      </c>
      <c r="E1590" s="1" t="s">
        <v>48</v>
      </c>
      <c r="F1590" s="1" t="s">
        <v>24</v>
      </c>
      <c r="G1590" s="1" t="s">
        <v>77</v>
      </c>
      <c r="H1590" s="1" t="s">
        <v>26</v>
      </c>
      <c r="I1590" s="7">
        <v>45516</v>
      </c>
      <c r="J1590" s="7">
        <v>45639</v>
      </c>
      <c r="K1590" s="1">
        <v>5</v>
      </c>
      <c r="L1590" s="1" t="s">
        <v>112</v>
      </c>
      <c r="M1590" s="1" t="s">
        <v>40</v>
      </c>
      <c r="N1590" s="1" t="s">
        <v>79</v>
      </c>
      <c r="O1590" s="1" t="s">
        <v>104</v>
      </c>
      <c r="P1590" s="29">
        <v>54915.51</v>
      </c>
      <c r="Q1590" s="1" t="s">
        <v>109</v>
      </c>
      <c r="R1590" s="1">
        <v>10</v>
      </c>
      <c r="S1590" s="1">
        <v>357</v>
      </c>
      <c r="T1590" s="1">
        <v>41.3</v>
      </c>
      <c r="U1590" s="1" t="s">
        <v>44</v>
      </c>
      <c r="V1590" s="17" t="s">
        <v>33</v>
      </c>
    </row>
    <row r="1591" spans="1:22" ht="15" customHeight="1" x14ac:dyDescent="0.25">
      <c r="A1591" s="16" t="s">
        <v>2925</v>
      </c>
      <c r="B1591" s="3" t="s">
        <v>2926</v>
      </c>
      <c r="C1591">
        <v>92</v>
      </c>
      <c r="D1591" s="3" t="s">
        <v>36</v>
      </c>
      <c r="E1591" s="3" t="s">
        <v>23</v>
      </c>
      <c r="F1591" s="3" t="s">
        <v>49</v>
      </c>
      <c r="G1591" s="3" t="s">
        <v>60</v>
      </c>
      <c r="H1591" s="3" t="s">
        <v>26</v>
      </c>
      <c r="I1591" s="8">
        <v>44794</v>
      </c>
      <c r="J1591" s="8">
        <v>44807</v>
      </c>
      <c r="K1591" s="3">
        <v>13</v>
      </c>
      <c r="L1591" s="3" t="s">
        <v>112</v>
      </c>
      <c r="M1591" s="3" t="s">
        <v>40</v>
      </c>
      <c r="N1591" s="3" t="s">
        <v>210</v>
      </c>
      <c r="O1591" s="3" t="s">
        <v>42</v>
      </c>
      <c r="P1591" s="30">
        <v>59398</v>
      </c>
      <c r="Q1591" s="3" t="s">
        <v>62</v>
      </c>
      <c r="R1591" s="3">
        <v>4</v>
      </c>
      <c r="S1591" s="3">
        <v>456</v>
      </c>
      <c r="T1591" s="3">
        <v>28.1</v>
      </c>
      <c r="U1591" s="3" t="s">
        <v>32</v>
      </c>
      <c r="V1591" s="18" t="s">
        <v>33</v>
      </c>
    </row>
    <row r="1592" spans="1:22" ht="15" customHeight="1" x14ac:dyDescent="0.25">
      <c r="A1592" s="15" t="s">
        <v>2927</v>
      </c>
      <c r="B1592" s="1" t="s">
        <v>2928</v>
      </c>
      <c r="C1592">
        <v>92</v>
      </c>
      <c r="D1592" s="1" t="s">
        <v>36</v>
      </c>
      <c r="E1592" s="1" t="s">
        <v>48</v>
      </c>
      <c r="F1592" s="1" t="s">
        <v>155</v>
      </c>
      <c r="G1592" s="1" t="s">
        <v>60</v>
      </c>
      <c r="H1592" s="1" t="s">
        <v>78</v>
      </c>
      <c r="I1592" s="7">
        <v>44439</v>
      </c>
      <c r="J1592" s="7">
        <v>44356</v>
      </c>
      <c r="K1592" s="1">
        <v>6</v>
      </c>
      <c r="L1592" s="1" t="s">
        <v>27</v>
      </c>
      <c r="M1592" s="1" t="s">
        <v>28</v>
      </c>
      <c r="N1592" s="1" t="s">
        <v>61</v>
      </c>
      <c r="O1592" s="1" t="s">
        <v>30</v>
      </c>
      <c r="P1592" s="29">
        <v>55963.12</v>
      </c>
      <c r="Q1592" s="1" t="s">
        <v>105</v>
      </c>
      <c r="R1592" s="1">
        <v>6</v>
      </c>
      <c r="S1592" s="1">
        <v>182</v>
      </c>
      <c r="T1592" s="1">
        <v>20</v>
      </c>
      <c r="U1592" s="1" t="s">
        <v>32</v>
      </c>
      <c r="V1592" s="17" t="s">
        <v>45</v>
      </c>
    </row>
    <row r="1593" spans="1:22" ht="15" customHeight="1" x14ac:dyDescent="0.25">
      <c r="A1593" s="16" t="s">
        <v>2929</v>
      </c>
      <c r="B1593" s="3" t="s">
        <v>2757</v>
      </c>
      <c r="C1593">
        <v>18</v>
      </c>
      <c r="D1593" s="3" t="s">
        <v>47</v>
      </c>
      <c r="E1593" s="3" t="s">
        <v>23</v>
      </c>
      <c r="F1593" s="3" t="s">
        <v>99</v>
      </c>
      <c r="G1593" s="3" t="s">
        <v>50</v>
      </c>
      <c r="H1593" s="3" t="s">
        <v>78</v>
      </c>
      <c r="I1593" s="8">
        <v>43824</v>
      </c>
      <c r="J1593" s="8">
        <v>43836</v>
      </c>
      <c r="K1593" s="3">
        <v>12</v>
      </c>
      <c r="L1593" s="3" t="s">
        <v>39</v>
      </c>
      <c r="M1593" s="3" t="s">
        <v>40</v>
      </c>
      <c r="N1593" s="3" t="s">
        <v>126</v>
      </c>
      <c r="O1593" s="3" t="s">
        <v>30</v>
      </c>
      <c r="P1593" s="30">
        <v>50097.49</v>
      </c>
      <c r="Q1593" s="3" t="s">
        <v>351</v>
      </c>
      <c r="R1593" s="3">
        <v>8</v>
      </c>
      <c r="S1593" s="3">
        <v>463</v>
      </c>
      <c r="T1593" s="3">
        <v>36.700000000000003</v>
      </c>
      <c r="U1593" s="3" t="s">
        <v>44</v>
      </c>
      <c r="V1593" s="18" t="s">
        <v>33</v>
      </c>
    </row>
    <row r="1594" spans="1:22" ht="15" customHeight="1" x14ac:dyDescent="0.25">
      <c r="A1594" s="15" t="s">
        <v>2930</v>
      </c>
      <c r="B1594" s="1" t="s">
        <v>230</v>
      </c>
      <c r="C1594">
        <v>64</v>
      </c>
      <c r="D1594" s="1" t="s">
        <v>59</v>
      </c>
      <c r="E1594" s="1" t="s">
        <v>48</v>
      </c>
      <c r="F1594" s="1" t="s">
        <v>37</v>
      </c>
      <c r="G1594" s="1" t="s">
        <v>38</v>
      </c>
      <c r="H1594" s="1" t="s">
        <v>51</v>
      </c>
      <c r="I1594" s="7">
        <v>44024</v>
      </c>
      <c r="J1594" s="7">
        <v>44026</v>
      </c>
      <c r="K1594" s="1">
        <v>2</v>
      </c>
      <c r="L1594" s="1" t="s">
        <v>102</v>
      </c>
      <c r="M1594" s="1" t="s">
        <v>28</v>
      </c>
      <c r="N1594" s="1" t="s">
        <v>41</v>
      </c>
      <c r="O1594" s="1" t="s">
        <v>104</v>
      </c>
      <c r="P1594" s="29">
        <v>10816.43</v>
      </c>
      <c r="Q1594" s="1" t="s">
        <v>567</v>
      </c>
      <c r="R1594" s="1">
        <v>8</v>
      </c>
      <c r="S1594" s="1">
        <v>111</v>
      </c>
      <c r="T1594" s="1">
        <v>35.4</v>
      </c>
      <c r="U1594" s="1" t="s">
        <v>44</v>
      </c>
      <c r="V1594" s="17" t="s">
        <v>45</v>
      </c>
    </row>
    <row r="1595" spans="1:22" ht="15" customHeight="1" x14ac:dyDescent="0.25">
      <c r="A1595" s="16" t="s">
        <v>2931</v>
      </c>
      <c r="B1595" s="3" t="s">
        <v>2697</v>
      </c>
      <c r="C1595">
        <v>70</v>
      </c>
      <c r="D1595" s="3" t="s">
        <v>82</v>
      </c>
      <c r="E1595" s="3" t="s">
        <v>48</v>
      </c>
      <c r="F1595" s="3" t="s">
        <v>83</v>
      </c>
      <c r="G1595" s="3" t="s">
        <v>77</v>
      </c>
      <c r="H1595" s="3" t="s">
        <v>156</v>
      </c>
      <c r="I1595" s="8">
        <v>45276</v>
      </c>
      <c r="J1595" s="8">
        <v>45292</v>
      </c>
      <c r="K1595" s="3">
        <v>16</v>
      </c>
      <c r="L1595" s="3" t="s">
        <v>185</v>
      </c>
      <c r="M1595" s="3" t="s">
        <v>186</v>
      </c>
      <c r="N1595" s="3" t="s">
        <v>183</v>
      </c>
      <c r="O1595" s="3" t="s">
        <v>30</v>
      </c>
      <c r="P1595" s="30">
        <v>73352.02</v>
      </c>
      <c r="Q1595" s="3" t="s">
        <v>123</v>
      </c>
      <c r="R1595" s="3">
        <v>10</v>
      </c>
      <c r="S1595" s="3">
        <v>158</v>
      </c>
      <c r="T1595" s="3">
        <v>34.4</v>
      </c>
      <c r="U1595" s="3" t="s">
        <v>44</v>
      </c>
      <c r="V1595" s="18" t="s">
        <v>45</v>
      </c>
    </row>
    <row r="1596" spans="1:22" ht="15" customHeight="1" x14ac:dyDescent="0.25">
      <c r="A1596" s="15" t="s">
        <v>2932</v>
      </c>
      <c r="B1596" s="1" t="s">
        <v>2933</v>
      </c>
      <c r="C1596">
        <v>80</v>
      </c>
      <c r="D1596" s="1" t="s">
        <v>36</v>
      </c>
      <c r="E1596" s="1" t="s">
        <v>48</v>
      </c>
      <c r="F1596" s="1" t="s">
        <v>155</v>
      </c>
      <c r="G1596" s="1" t="s">
        <v>77</v>
      </c>
      <c r="H1596" s="1" t="s">
        <v>26</v>
      </c>
      <c r="I1596" s="6">
        <v>43551</v>
      </c>
      <c r="J1596" s="7">
        <v>43559</v>
      </c>
      <c r="K1596" s="1">
        <v>8</v>
      </c>
      <c r="L1596" s="1" t="s">
        <v>102</v>
      </c>
      <c r="M1596" s="1" t="s">
        <v>28</v>
      </c>
      <c r="N1596" s="1" t="s">
        <v>79</v>
      </c>
      <c r="O1596" s="1" t="s">
        <v>55</v>
      </c>
      <c r="P1596" s="29">
        <v>141992.29999999999</v>
      </c>
      <c r="Q1596" s="1" t="s">
        <v>91</v>
      </c>
      <c r="R1596" s="1">
        <v>9</v>
      </c>
      <c r="S1596" s="1">
        <v>392</v>
      </c>
      <c r="T1596" s="1">
        <v>27.6</v>
      </c>
      <c r="U1596" s="1" t="s">
        <v>44</v>
      </c>
      <c r="V1596" s="17" t="s">
        <v>45</v>
      </c>
    </row>
    <row r="1597" spans="1:22" ht="15" customHeight="1" x14ac:dyDescent="0.25">
      <c r="A1597" s="16" t="s">
        <v>2934</v>
      </c>
      <c r="B1597" s="3" t="s">
        <v>2935</v>
      </c>
      <c r="C1597">
        <v>64</v>
      </c>
      <c r="D1597" s="3" t="s">
        <v>59</v>
      </c>
      <c r="E1597" s="3" t="s">
        <v>23</v>
      </c>
      <c r="F1597" s="3" t="s">
        <v>49</v>
      </c>
      <c r="G1597" s="3" t="s">
        <v>131</v>
      </c>
      <c r="H1597" s="3" t="s">
        <v>26</v>
      </c>
      <c r="I1597" s="8">
        <v>44676</v>
      </c>
      <c r="J1597" s="8">
        <v>44597</v>
      </c>
      <c r="K1597" s="3">
        <v>7</v>
      </c>
      <c r="L1597" s="3" t="s">
        <v>89</v>
      </c>
      <c r="M1597" s="3" t="s">
        <v>90</v>
      </c>
      <c r="N1597" s="3" t="s">
        <v>133</v>
      </c>
      <c r="O1597" s="3" t="s">
        <v>104</v>
      </c>
      <c r="P1597" s="30">
        <v>29252.25</v>
      </c>
      <c r="Q1597" s="3" t="s">
        <v>148</v>
      </c>
      <c r="R1597" s="3">
        <v>7</v>
      </c>
      <c r="S1597" s="3">
        <v>320</v>
      </c>
      <c r="T1597" s="3">
        <v>29.1</v>
      </c>
      <c r="U1597" s="3" t="s">
        <v>32</v>
      </c>
      <c r="V1597" s="18" t="s">
        <v>33</v>
      </c>
    </row>
    <row r="1598" spans="1:22" ht="15" customHeight="1" x14ac:dyDescent="0.25">
      <c r="A1598" s="15" t="s">
        <v>2936</v>
      </c>
      <c r="B1598" s="1" t="s">
        <v>2937</v>
      </c>
      <c r="C1598">
        <v>69</v>
      </c>
      <c r="D1598" s="1" t="s">
        <v>82</v>
      </c>
      <c r="E1598" s="1" t="s">
        <v>48</v>
      </c>
      <c r="F1598" s="1" t="s">
        <v>49</v>
      </c>
      <c r="G1598" s="1" t="s">
        <v>25</v>
      </c>
      <c r="H1598" s="1" t="s">
        <v>51</v>
      </c>
      <c r="I1598" s="7">
        <v>44737</v>
      </c>
      <c r="J1598" s="7">
        <v>44599</v>
      </c>
      <c r="K1598" s="1">
        <v>7</v>
      </c>
      <c r="L1598" s="1" t="s">
        <v>39</v>
      </c>
      <c r="M1598" s="1" t="s">
        <v>40</v>
      </c>
      <c r="N1598" s="1" t="s">
        <v>248</v>
      </c>
      <c r="O1598" s="1" t="s">
        <v>55</v>
      </c>
      <c r="P1598" s="29">
        <v>64093.13</v>
      </c>
      <c r="Q1598" s="1" t="s">
        <v>249</v>
      </c>
      <c r="R1598" s="1">
        <v>11</v>
      </c>
      <c r="S1598" s="1">
        <v>116</v>
      </c>
      <c r="T1598" s="1">
        <v>19</v>
      </c>
      <c r="U1598" s="1" t="s">
        <v>44</v>
      </c>
      <c r="V1598" s="17" t="s">
        <v>33</v>
      </c>
    </row>
    <row r="1599" spans="1:22" ht="15" customHeight="1" x14ac:dyDescent="0.25">
      <c r="A1599" s="16" t="s">
        <v>2938</v>
      </c>
      <c r="B1599" s="3" t="s">
        <v>2939</v>
      </c>
      <c r="C1599">
        <v>68</v>
      </c>
      <c r="D1599" s="3" t="s">
        <v>82</v>
      </c>
      <c r="E1599" s="3" t="s">
        <v>48</v>
      </c>
      <c r="F1599" s="3" t="s">
        <v>24</v>
      </c>
      <c r="G1599" s="3" t="s">
        <v>77</v>
      </c>
      <c r="H1599" s="3" t="s">
        <v>51</v>
      </c>
      <c r="I1599" s="8">
        <v>45274</v>
      </c>
      <c r="J1599" s="8">
        <v>45280</v>
      </c>
      <c r="K1599" s="3">
        <v>6</v>
      </c>
      <c r="L1599" s="3" t="s">
        <v>112</v>
      </c>
      <c r="M1599" s="3" t="s">
        <v>40</v>
      </c>
      <c r="N1599" s="3" t="s">
        <v>84</v>
      </c>
      <c r="O1599" s="3" t="s">
        <v>55</v>
      </c>
      <c r="P1599" s="30">
        <v>53125.43</v>
      </c>
      <c r="Q1599" s="3" t="s">
        <v>181</v>
      </c>
      <c r="R1599" s="3">
        <v>9</v>
      </c>
      <c r="S1599" s="3">
        <v>176</v>
      </c>
      <c r="T1599" s="3">
        <v>27.1</v>
      </c>
      <c r="U1599" s="3" t="s">
        <v>44</v>
      </c>
      <c r="V1599" s="18" t="s">
        <v>45</v>
      </c>
    </row>
    <row r="1600" spans="1:22" ht="15" customHeight="1" x14ac:dyDescent="0.25">
      <c r="A1600" s="15" t="s">
        <v>2940</v>
      </c>
      <c r="B1600" s="1" t="s">
        <v>2207</v>
      </c>
      <c r="C1600">
        <v>67</v>
      </c>
      <c r="D1600" s="1" t="s">
        <v>82</v>
      </c>
      <c r="E1600" s="1" t="s">
        <v>23</v>
      </c>
      <c r="F1600" s="1" t="s">
        <v>70</v>
      </c>
      <c r="G1600" s="1" t="s">
        <v>60</v>
      </c>
      <c r="H1600" s="1" t="s">
        <v>26</v>
      </c>
      <c r="I1600" s="6">
        <v>44433</v>
      </c>
      <c r="J1600" s="10"/>
      <c r="K1600" s="1"/>
      <c r="L1600" s="1" t="s">
        <v>231</v>
      </c>
      <c r="M1600" s="1" t="s">
        <v>53</v>
      </c>
      <c r="N1600" s="1" t="s">
        <v>210</v>
      </c>
      <c r="O1600" s="1" t="s">
        <v>55</v>
      </c>
      <c r="P1600" s="29">
        <v>36921.910000000003</v>
      </c>
      <c r="Q1600" s="1" t="s">
        <v>62</v>
      </c>
      <c r="R1600" s="1">
        <v>5</v>
      </c>
      <c r="S1600" s="1">
        <v>461</v>
      </c>
      <c r="T1600" s="1">
        <v>19.7</v>
      </c>
      <c r="U1600" s="1" t="s">
        <v>44</v>
      </c>
      <c r="V1600" s="17" t="s">
        <v>33</v>
      </c>
    </row>
    <row r="1601" spans="1:22" ht="15" customHeight="1" x14ac:dyDescent="0.25">
      <c r="A1601" s="16" t="s">
        <v>2941</v>
      </c>
      <c r="B1601" s="3" t="s">
        <v>789</v>
      </c>
      <c r="C1601">
        <v>80</v>
      </c>
      <c r="D1601" s="3" t="s">
        <v>36</v>
      </c>
      <c r="E1601" s="3" t="s">
        <v>23</v>
      </c>
      <c r="F1601" s="3" t="s">
        <v>49</v>
      </c>
      <c r="G1601" s="3" t="s">
        <v>163</v>
      </c>
      <c r="H1601" s="3" t="s">
        <v>78</v>
      </c>
      <c r="I1601" s="8">
        <v>44903</v>
      </c>
      <c r="J1601" s="8">
        <v>44877</v>
      </c>
      <c r="K1601" s="3">
        <v>3</v>
      </c>
      <c r="L1601" s="3" t="s">
        <v>89</v>
      </c>
      <c r="M1601" s="3" t="s">
        <v>90</v>
      </c>
      <c r="N1601" s="3" t="s">
        <v>164</v>
      </c>
      <c r="O1601" s="3" t="s">
        <v>30</v>
      </c>
      <c r="P1601" s="30">
        <v>34805.879999999997</v>
      </c>
      <c r="Q1601" s="3" t="s">
        <v>62</v>
      </c>
      <c r="R1601" s="3">
        <v>5</v>
      </c>
      <c r="S1601" s="3">
        <v>171</v>
      </c>
      <c r="T1601" s="3">
        <v>22.7</v>
      </c>
      <c r="U1601" s="3" t="s">
        <v>32</v>
      </c>
      <c r="V1601" s="18" t="s">
        <v>33</v>
      </c>
    </row>
    <row r="1602" spans="1:22" ht="15" customHeight="1" x14ac:dyDescent="0.25">
      <c r="A1602" s="15" t="s">
        <v>2942</v>
      </c>
      <c r="B1602" s="1" t="s">
        <v>2943</v>
      </c>
      <c r="C1602">
        <v>84</v>
      </c>
      <c r="D1602" s="1" t="s">
        <v>36</v>
      </c>
      <c r="E1602" s="1" t="s">
        <v>48</v>
      </c>
      <c r="F1602" s="1" t="s">
        <v>155</v>
      </c>
      <c r="G1602" s="1" t="s">
        <v>38</v>
      </c>
      <c r="H1602" s="1" t="s">
        <v>26</v>
      </c>
      <c r="I1602" s="6">
        <v>45597</v>
      </c>
      <c r="J1602" s="7">
        <v>45602</v>
      </c>
      <c r="K1602" s="1">
        <v>5</v>
      </c>
      <c r="L1602" s="1" t="s">
        <v>122</v>
      </c>
      <c r="M1602" s="1" t="s">
        <v>40</v>
      </c>
      <c r="N1602" s="1" t="s">
        <v>173</v>
      </c>
      <c r="O1602" s="1" t="s">
        <v>66</v>
      </c>
      <c r="P1602" s="29">
        <v>26205.53</v>
      </c>
      <c r="Q1602" s="1" t="s">
        <v>305</v>
      </c>
      <c r="R1602" s="1">
        <v>8</v>
      </c>
      <c r="S1602" s="1">
        <v>306</v>
      </c>
      <c r="T1602" s="1">
        <v>16.899999999999999</v>
      </c>
      <c r="U1602" s="1" t="s">
        <v>86</v>
      </c>
      <c r="V1602" s="17" t="s">
        <v>33</v>
      </c>
    </row>
    <row r="1603" spans="1:22" ht="15" customHeight="1" x14ac:dyDescent="0.25">
      <c r="A1603" s="16" t="s">
        <v>2944</v>
      </c>
      <c r="B1603" s="3" t="s">
        <v>2945</v>
      </c>
      <c r="C1603">
        <v>61</v>
      </c>
      <c r="D1603" s="3" t="s">
        <v>59</v>
      </c>
      <c r="E1603" s="3" t="s">
        <v>48</v>
      </c>
      <c r="F1603" s="3" t="s">
        <v>83</v>
      </c>
      <c r="G1603" s="3" t="s">
        <v>25</v>
      </c>
      <c r="H1603" s="3" t="s">
        <v>51</v>
      </c>
      <c r="I1603" s="6">
        <v>44372</v>
      </c>
      <c r="J1603" s="8">
        <v>44378</v>
      </c>
      <c r="K1603" s="3">
        <v>6</v>
      </c>
      <c r="L1603" s="3" t="s">
        <v>122</v>
      </c>
      <c r="M1603" s="3" t="s">
        <v>40</v>
      </c>
      <c r="N1603" s="3" t="s">
        <v>65</v>
      </c>
      <c r="O1603" s="3" t="s">
        <v>42</v>
      </c>
      <c r="P1603" s="30">
        <v>54985.97</v>
      </c>
      <c r="Q1603" s="3" t="s">
        <v>515</v>
      </c>
      <c r="R1603" s="3">
        <v>12</v>
      </c>
      <c r="S1603" s="3">
        <v>132</v>
      </c>
      <c r="T1603" s="3">
        <v>23.9</v>
      </c>
      <c r="U1603" s="3" t="s">
        <v>44</v>
      </c>
      <c r="V1603" s="18" t="s">
        <v>33</v>
      </c>
    </row>
    <row r="1604" spans="1:22" ht="15" customHeight="1" x14ac:dyDescent="0.25">
      <c r="A1604" s="15" t="s">
        <v>2946</v>
      </c>
      <c r="B1604" s="1" t="s">
        <v>2947</v>
      </c>
      <c r="C1604">
        <v>72</v>
      </c>
      <c r="D1604" s="1" t="s">
        <v>82</v>
      </c>
      <c r="E1604" s="1" t="s">
        <v>23</v>
      </c>
      <c r="F1604" s="1" t="s">
        <v>24</v>
      </c>
      <c r="G1604" s="1" t="s">
        <v>131</v>
      </c>
      <c r="H1604" s="1" t="s">
        <v>26</v>
      </c>
      <c r="I1604" s="6">
        <v>43758</v>
      </c>
      <c r="J1604" s="7">
        <v>43768</v>
      </c>
      <c r="K1604" s="1">
        <v>10</v>
      </c>
      <c r="L1604" s="1" t="s">
        <v>102</v>
      </c>
      <c r="M1604" s="1" t="s">
        <v>28</v>
      </c>
      <c r="N1604" s="1" t="s">
        <v>133</v>
      </c>
      <c r="O1604" s="1" t="s">
        <v>30</v>
      </c>
      <c r="P1604" s="29">
        <v>26867.93</v>
      </c>
      <c r="Q1604" s="1" t="s">
        <v>291</v>
      </c>
      <c r="R1604" s="1">
        <v>6</v>
      </c>
      <c r="S1604" s="1">
        <v>349</v>
      </c>
      <c r="T1604" s="1">
        <v>28.7</v>
      </c>
      <c r="U1604" s="1" t="s">
        <v>32</v>
      </c>
      <c r="V1604" s="17" t="s">
        <v>33</v>
      </c>
    </row>
    <row r="1605" spans="1:22" ht="15" customHeight="1" x14ac:dyDescent="0.25">
      <c r="A1605" s="16" t="s">
        <v>2948</v>
      </c>
      <c r="B1605" s="3" t="s">
        <v>2923</v>
      </c>
      <c r="C1605">
        <v>81</v>
      </c>
      <c r="D1605" s="3" t="s">
        <v>36</v>
      </c>
      <c r="E1605" s="3" t="s">
        <v>48</v>
      </c>
      <c r="F1605" s="3" t="s">
        <v>24</v>
      </c>
      <c r="G1605" s="3" t="s">
        <v>77</v>
      </c>
      <c r="H1605" s="3" t="s">
        <v>26</v>
      </c>
      <c r="I1605" s="8">
        <v>44079</v>
      </c>
      <c r="J1605" s="8">
        <v>44092</v>
      </c>
      <c r="K1605" s="3">
        <v>13</v>
      </c>
      <c r="L1605" s="3" t="s">
        <v>27</v>
      </c>
      <c r="M1605" s="3" t="s">
        <v>28</v>
      </c>
      <c r="N1605" s="3" t="s">
        <v>79</v>
      </c>
      <c r="O1605" s="3" t="s">
        <v>104</v>
      </c>
      <c r="P1605" s="30">
        <v>70429.350000000006</v>
      </c>
      <c r="Q1605" s="3" t="s">
        <v>85</v>
      </c>
      <c r="R1605" s="3">
        <v>10</v>
      </c>
      <c r="S1605" s="3">
        <v>304</v>
      </c>
      <c r="T1605" s="3">
        <v>30</v>
      </c>
      <c r="U1605" s="3" t="s">
        <v>86</v>
      </c>
      <c r="V1605" s="18" t="s">
        <v>33</v>
      </c>
    </row>
    <row r="1606" spans="1:22" ht="15" customHeight="1" x14ac:dyDescent="0.25">
      <c r="A1606" s="15" t="s">
        <v>2949</v>
      </c>
      <c r="B1606" s="1" t="s">
        <v>357</v>
      </c>
      <c r="C1606">
        <v>78</v>
      </c>
      <c r="D1606" s="1" t="s">
        <v>36</v>
      </c>
      <c r="E1606" s="1" t="s">
        <v>23</v>
      </c>
      <c r="F1606" s="1" t="s">
        <v>155</v>
      </c>
      <c r="G1606" s="1" t="s">
        <v>38</v>
      </c>
      <c r="H1606" s="1" t="s">
        <v>26</v>
      </c>
      <c r="I1606" s="6">
        <v>44036</v>
      </c>
      <c r="J1606" s="7">
        <v>44042</v>
      </c>
      <c r="K1606" s="1">
        <v>6</v>
      </c>
      <c r="L1606" s="1" t="s">
        <v>132</v>
      </c>
      <c r="M1606" s="1" t="s">
        <v>53</v>
      </c>
      <c r="N1606" s="1" t="s">
        <v>41</v>
      </c>
      <c r="O1606" s="1" t="s">
        <v>42</v>
      </c>
      <c r="P1606" s="29">
        <v>44142.67</v>
      </c>
      <c r="Q1606" s="1" t="s">
        <v>43</v>
      </c>
      <c r="R1606" s="1">
        <v>8</v>
      </c>
      <c r="S1606" s="1">
        <v>187</v>
      </c>
      <c r="T1606" s="1">
        <v>28.3</v>
      </c>
      <c r="U1606" s="1" t="s">
        <v>44</v>
      </c>
      <c r="V1606" s="17" t="s">
        <v>45</v>
      </c>
    </row>
    <row r="1607" spans="1:22" ht="15" customHeight="1" x14ac:dyDescent="0.25">
      <c r="A1607" s="16" t="s">
        <v>2950</v>
      </c>
      <c r="B1607" s="3" t="s">
        <v>477</v>
      </c>
      <c r="C1607">
        <v>69</v>
      </c>
      <c r="D1607" s="3" t="s">
        <v>82</v>
      </c>
      <c r="E1607" s="3" t="s">
        <v>23</v>
      </c>
      <c r="F1607" s="3" t="s">
        <v>49</v>
      </c>
      <c r="G1607" s="3" t="s">
        <v>38</v>
      </c>
      <c r="H1607" s="3" t="s">
        <v>78</v>
      </c>
      <c r="I1607" s="6">
        <v>45588</v>
      </c>
      <c r="J1607" s="8">
        <v>45593</v>
      </c>
      <c r="K1607" s="3">
        <v>5</v>
      </c>
      <c r="L1607" s="3" t="s">
        <v>89</v>
      </c>
      <c r="M1607" s="3" t="s">
        <v>90</v>
      </c>
      <c r="N1607" s="3" t="s">
        <v>173</v>
      </c>
      <c r="O1607" s="3" t="s">
        <v>30</v>
      </c>
      <c r="P1607" s="30">
        <v>21006.43</v>
      </c>
      <c r="Q1607" s="3" t="s">
        <v>236</v>
      </c>
      <c r="R1607" s="3">
        <v>8</v>
      </c>
      <c r="S1607" s="3">
        <v>244</v>
      </c>
      <c r="T1607" s="4"/>
      <c r="U1607" s="3" t="s">
        <v>44</v>
      </c>
      <c r="V1607" s="18" t="s">
        <v>33</v>
      </c>
    </row>
    <row r="1608" spans="1:22" ht="15" customHeight="1" x14ac:dyDescent="0.25">
      <c r="A1608" s="15" t="s">
        <v>2951</v>
      </c>
      <c r="B1608" s="1" t="s">
        <v>2952</v>
      </c>
      <c r="C1608">
        <v>35</v>
      </c>
      <c r="D1608" s="1" t="s">
        <v>98</v>
      </c>
      <c r="E1608" s="1" t="s">
        <v>48</v>
      </c>
      <c r="F1608" s="1" t="s">
        <v>70</v>
      </c>
      <c r="G1608" s="1" t="s">
        <v>444</v>
      </c>
      <c r="H1608" s="1" t="s">
        <v>51</v>
      </c>
      <c r="I1608" s="7">
        <v>44227</v>
      </c>
      <c r="J1608" s="7">
        <v>44231</v>
      </c>
      <c r="K1608" s="1">
        <v>4</v>
      </c>
      <c r="L1608" s="1" t="s">
        <v>52</v>
      </c>
      <c r="M1608" s="1" t="s">
        <v>53</v>
      </c>
      <c r="N1608" s="1" t="s">
        <v>41</v>
      </c>
      <c r="O1608" s="1" t="s">
        <v>30</v>
      </c>
      <c r="P1608" s="29">
        <v>10496.52</v>
      </c>
      <c r="Q1608" s="1" t="s">
        <v>119</v>
      </c>
      <c r="R1608" s="1">
        <v>7</v>
      </c>
      <c r="S1608" s="1">
        <v>112</v>
      </c>
      <c r="T1608" s="1">
        <v>19.100000000000001</v>
      </c>
      <c r="U1608" s="1" t="s">
        <v>44</v>
      </c>
      <c r="V1608" s="17" t="s">
        <v>33</v>
      </c>
    </row>
    <row r="1609" spans="1:22" ht="15" customHeight="1" x14ac:dyDescent="0.25">
      <c r="A1609" s="16" t="s">
        <v>2953</v>
      </c>
      <c r="B1609" s="3" t="s">
        <v>2954</v>
      </c>
      <c r="C1609">
        <v>47</v>
      </c>
      <c r="D1609" s="3" t="s">
        <v>98</v>
      </c>
      <c r="E1609" s="3" t="s">
        <v>48</v>
      </c>
      <c r="F1609" s="3" t="s">
        <v>83</v>
      </c>
      <c r="G1609" s="3" t="s">
        <v>60</v>
      </c>
      <c r="H1609" s="3" t="s">
        <v>26</v>
      </c>
      <c r="I1609" s="6">
        <v>45515</v>
      </c>
      <c r="J1609" s="8">
        <v>45614</v>
      </c>
      <c r="K1609" s="3">
        <v>10</v>
      </c>
      <c r="L1609" s="3" t="s">
        <v>112</v>
      </c>
      <c r="M1609" s="3" t="s">
        <v>40</v>
      </c>
      <c r="N1609" s="3" t="s">
        <v>210</v>
      </c>
      <c r="O1609" s="3" t="s">
        <v>30</v>
      </c>
      <c r="P1609" s="30">
        <v>34615.980000000003</v>
      </c>
      <c r="Q1609" s="3" t="s">
        <v>511</v>
      </c>
      <c r="R1609" s="3">
        <v>6</v>
      </c>
      <c r="S1609" s="3">
        <v>392</v>
      </c>
      <c r="T1609" s="3">
        <v>31.7</v>
      </c>
      <c r="U1609" s="3" t="s">
        <v>44</v>
      </c>
      <c r="V1609" s="18" t="s">
        <v>45</v>
      </c>
    </row>
    <row r="1610" spans="1:22" ht="15" customHeight="1" x14ac:dyDescent="0.25">
      <c r="A1610" s="15" t="s">
        <v>2955</v>
      </c>
      <c r="B1610" s="1" t="s">
        <v>2956</v>
      </c>
      <c r="C1610">
        <v>65</v>
      </c>
      <c r="D1610" s="1" t="s">
        <v>82</v>
      </c>
      <c r="E1610" s="1" t="s">
        <v>48</v>
      </c>
      <c r="F1610" s="1" t="s">
        <v>155</v>
      </c>
      <c r="G1610" s="1" t="s">
        <v>77</v>
      </c>
      <c r="H1610" s="1" t="s">
        <v>26</v>
      </c>
      <c r="I1610" s="7">
        <v>44588</v>
      </c>
      <c r="J1610" s="7">
        <v>44606</v>
      </c>
      <c r="K1610" s="1">
        <v>18</v>
      </c>
      <c r="L1610" s="1" t="s">
        <v>27</v>
      </c>
      <c r="M1610" s="1" t="s">
        <v>28</v>
      </c>
      <c r="N1610" s="1" t="s">
        <v>79</v>
      </c>
      <c r="O1610" s="1" t="s">
        <v>30</v>
      </c>
      <c r="P1610" s="29">
        <v>33825.5</v>
      </c>
      <c r="Q1610" s="1" t="s">
        <v>100</v>
      </c>
      <c r="R1610" s="1">
        <v>10</v>
      </c>
      <c r="S1610" s="1">
        <v>346</v>
      </c>
      <c r="T1610" s="1">
        <v>47.1</v>
      </c>
      <c r="U1610" s="1" t="s">
        <v>86</v>
      </c>
      <c r="V1610" s="17" t="s">
        <v>33</v>
      </c>
    </row>
    <row r="1611" spans="1:22" ht="15" customHeight="1" x14ac:dyDescent="0.25">
      <c r="A1611" s="16" t="s">
        <v>2957</v>
      </c>
      <c r="B1611" s="3" t="s">
        <v>2958</v>
      </c>
      <c r="C1611">
        <v>57</v>
      </c>
      <c r="D1611" s="3" t="s">
        <v>59</v>
      </c>
      <c r="E1611" s="3" t="s">
        <v>48</v>
      </c>
      <c r="F1611" s="3" t="s">
        <v>76</v>
      </c>
      <c r="G1611" s="3" t="s">
        <v>131</v>
      </c>
      <c r="H1611" s="3" t="s">
        <v>26</v>
      </c>
      <c r="I1611" s="8">
        <v>44869</v>
      </c>
      <c r="J1611" s="8">
        <v>44668</v>
      </c>
      <c r="K1611" s="3">
        <v>6</v>
      </c>
      <c r="L1611" s="3" t="s">
        <v>102</v>
      </c>
      <c r="M1611" s="3" t="s">
        <v>28</v>
      </c>
      <c r="N1611" s="3" t="s">
        <v>157</v>
      </c>
      <c r="O1611" s="3" t="s">
        <v>42</v>
      </c>
      <c r="P1611" s="30">
        <v>45147.13</v>
      </c>
      <c r="Q1611" s="3" t="s">
        <v>266</v>
      </c>
      <c r="R1611" s="3">
        <v>7</v>
      </c>
      <c r="S1611" s="3">
        <v>352</v>
      </c>
      <c r="T1611" s="3">
        <v>35.299999999999997</v>
      </c>
      <c r="U1611" s="3" t="s">
        <v>32</v>
      </c>
      <c r="V1611" s="18" t="s">
        <v>33</v>
      </c>
    </row>
    <row r="1612" spans="1:22" ht="15" customHeight="1" x14ac:dyDescent="0.25">
      <c r="A1612" s="15" t="s">
        <v>2959</v>
      </c>
      <c r="B1612" s="1" t="s">
        <v>2170</v>
      </c>
      <c r="C1612">
        <v>70</v>
      </c>
      <c r="D1612" s="1" t="s">
        <v>82</v>
      </c>
      <c r="E1612" s="1" t="s">
        <v>23</v>
      </c>
      <c r="F1612" s="1" t="s">
        <v>99</v>
      </c>
      <c r="G1612" s="1" t="s">
        <v>131</v>
      </c>
      <c r="H1612" s="1" t="s">
        <v>51</v>
      </c>
      <c r="I1612" s="6">
        <v>45392</v>
      </c>
      <c r="J1612" s="7">
        <v>45514</v>
      </c>
      <c r="K1612" s="1">
        <v>4</v>
      </c>
      <c r="L1612" s="1" t="s">
        <v>122</v>
      </c>
      <c r="M1612" s="1" t="s">
        <v>40</v>
      </c>
      <c r="N1612" s="1" t="s">
        <v>147</v>
      </c>
      <c r="O1612" s="1" t="s">
        <v>42</v>
      </c>
      <c r="P1612" s="29">
        <v>16801</v>
      </c>
      <c r="Q1612" s="1" t="s">
        <v>266</v>
      </c>
      <c r="R1612" s="1">
        <v>5</v>
      </c>
      <c r="S1612" s="1">
        <v>113</v>
      </c>
      <c r="T1612" s="1">
        <v>24.3</v>
      </c>
      <c r="U1612" s="1" t="s">
        <v>44</v>
      </c>
      <c r="V1612" s="17" t="s">
        <v>45</v>
      </c>
    </row>
    <row r="1613" spans="1:22" ht="15" customHeight="1" x14ac:dyDescent="0.25">
      <c r="A1613" s="16" t="s">
        <v>2960</v>
      </c>
      <c r="B1613" s="3" t="s">
        <v>1374</v>
      </c>
      <c r="C1613">
        <v>69</v>
      </c>
      <c r="D1613" s="3" t="s">
        <v>82</v>
      </c>
      <c r="E1613" s="3" t="s">
        <v>23</v>
      </c>
      <c r="F1613" s="3" t="s">
        <v>76</v>
      </c>
      <c r="G1613" s="3" t="s">
        <v>60</v>
      </c>
      <c r="H1613" s="3" t="s">
        <v>78</v>
      </c>
      <c r="I1613" s="6">
        <v>43539</v>
      </c>
      <c r="J1613" s="8">
        <v>43545</v>
      </c>
      <c r="K1613" s="3">
        <v>6</v>
      </c>
      <c r="L1613" s="3" t="s">
        <v>132</v>
      </c>
      <c r="M1613" s="3" t="s">
        <v>53</v>
      </c>
      <c r="N1613" s="3" t="s">
        <v>103</v>
      </c>
      <c r="O1613" s="3" t="s">
        <v>42</v>
      </c>
      <c r="P1613" s="30">
        <v>31382</v>
      </c>
      <c r="Q1613" s="3" t="s">
        <v>62</v>
      </c>
      <c r="R1613" s="3">
        <v>6</v>
      </c>
      <c r="S1613" s="3">
        <v>171</v>
      </c>
      <c r="T1613" s="4"/>
      <c r="U1613" s="3" t="s">
        <v>44</v>
      </c>
      <c r="V1613" s="18" t="s">
        <v>33</v>
      </c>
    </row>
    <row r="1614" spans="1:22" ht="15" customHeight="1" x14ac:dyDescent="0.25">
      <c r="A1614" s="15" t="s">
        <v>2961</v>
      </c>
      <c r="B1614" s="1" t="s">
        <v>1538</v>
      </c>
      <c r="C1614">
        <v>67</v>
      </c>
      <c r="D1614" s="1" t="s">
        <v>82</v>
      </c>
      <c r="E1614" s="1" t="s">
        <v>23</v>
      </c>
      <c r="F1614" s="1" t="s">
        <v>99</v>
      </c>
      <c r="G1614" s="1" t="s">
        <v>77</v>
      </c>
      <c r="H1614" s="1" t="s">
        <v>26</v>
      </c>
      <c r="I1614" s="7">
        <v>44355</v>
      </c>
      <c r="J1614" s="7">
        <v>44372</v>
      </c>
      <c r="K1614" s="1">
        <v>17</v>
      </c>
      <c r="L1614" s="1" t="s">
        <v>27</v>
      </c>
      <c r="M1614" s="1" t="s">
        <v>28</v>
      </c>
      <c r="N1614" s="1" t="s">
        <v>94</v>
      </c>
      <c r="O1614" s="1" t="s">
        <v>30</v>
      </c>
      <c r="P1614" s="29">
        <v>107912</v>
      </c>
      <c r="Q1614" s="1" t="s">
        <v>592</v>
      </c>
      <c r="R1614" s="1">
        <v>10</v>
      </c>
      <c r="S1614" s="1">
        <v>385</v>
      </c>
      <c r="T1614" s="1">
        <v>27.5</v>
      </c>
      <c r="U1614" s="1" t="s">
        <v>44</v>
      </c>
      <c r="V1614" s="17" t="s">
        <v>33</v>
      </c>
    </row>
    <row r="1615" spans="1:22" ht="15" customHeight="1" x14ac:dyDescent="0.25">
      <c r="A1615" s="16" t="s">
        <v>2962</v>
      </c>
      <c r="B1615" s="3" t="s">
        <v>2963</v>
      </c>
      <c r="C1615">
        <v>84</v>
      </c>
      <c r="D1615" s="3" t="s">
        <v>36</v>
      </c>
      <c r="E1615" s="3" t="s">
        <v>23</v>
      </c>
      <c r="F1615" s="3" t="s">
        <v>37</v>
      </c>
      <c r="G1615" s="3" t="s">
        <v>77</v>
      </c>
      <c r="H1615" s="3" t="s">
        <v>51</v>
      </c>
      <c r="I1615" s="8">
        <v>44066</v>
      </c>
      <c r="J1615" s="8">
        <v>44072</v>
      </c>
      <c r="K1615" s="3">
        <v>6</v>
      </c>
      <c r="L1615" s="3" t="s">
        <v>52</v>
      </c>
      <c r="M1615" s="3" t="s">
        <v>53</v>
      </c>
      <c r="N1615" s="3" t="s">
        <v>84</v>
      </c>
      <c r="O1615" s="3" t="s">
        <v>104</v>
      </c>
      <c r="P1615" s="30">
        <v>68119.759999999995</v>
      </c>
      <c r="Q1615" s="3" t="s">
        <v>85</v>
      </c>
      <c r="R1615" s="3">
        <v>10</v>
      </c>
      <c r="S1615" s="3">
        <v>133</v>
      </c>
      <c r="T1615" s="3">
        <v>39.6</v>
      </c>
      <c r="U1615" s="3" t="s">
        <v>44</v>
      </c>
      <c r="V1615" s="18" t="s">
        <v>33</v>
      </c>
    </row>
    <row r="1616" spans="1:22" ht="15" customHeight="1" x14ac:dyDescent="0.25">
      <c r="A1616" s="15" t="s">
        <v>2964</v>
      </c>
      <c r="B1616" s="1" t="s">
        <v>2475</v>
      </c>
      <c r="C1616">
        <v>83</v>
      </c>
      <c r="D1616" s="1" t="s">
        <v>36</v>
      </c>
      <c r="E1616" s="1" t="s">
        <v>48</v>
      </c>
      <c r="F1616" s="1" t="s">
        <v>76</v>
      </c>
      <c r="G1616" s="1" t="s">
        <v>25</v>
      </c>
      <c r="H1616" s="1" t="s">
        <v>26</v>
      </c>
      <c r="I1616" s="7">
        <v>45479</v>
      </c>
      <c r="J1616" s="7">
        <v>45490</v>
      </c>
      <c r="K1616" s="1">
        <v>11</v>
      </c>
      <c r="L1616" s="1" t="s">
        <v>52</v>
      </c>
      <c r="M1616" s="1" t="s">
        <v>53</v>
      </c>
      <c r="N1616" s="1" t="s">
        <v>29</v>
      </c>
      <c r="O1616" s="1" t="s">
        <v>42</v>
      </c>
      <c r="P1616" s="29">
        <v>202880</v>
      </c>
      <c r="Q1616" s="1" t="s">
        <v>31</v>
      </c>
      <c r="R1616" s="1">
        <v>12</v>
      </c>
      <c r="S1616" s="1">
        <v>295</v>
      </c>
      <c r="T1616" s="4"/>
      <c r="U1616" s="1" t="s">
        <v>44</v>
      </c>
      <c r="V1616" s="17" t="s">
        <v>45</v>
      </c>
    </row>
    <row r="1617" spans="1:22" ht="15" customHeight="1" x14ac:dyDescent="0.25">
      <c r="A1617" s="16" t="s">
        <v>2965</v>
      </c>
      <c r="B1617" s="3" t="s">
        <v>2966</v>
      </c>
      <c r="C1617">
        <v>62</v>
      </c>
      <c r="D1617" s="3" t="s">
        <v>59</v>
      </c>
      <c r="E1617" s="3" t="s">
        <v>48</v>
      </c>
      <c r="F1617" s="3" t="s">
        <v>76</v>
      </c>
      <c r="G1617" s="3" t="s">
        <v>25</v>
      </c>
      <c r="H1617" s="3" t="s">
        <v>51</v>
      </c>
      <c r="I1617" s="8">
        <v>45509</v>
      </c>
      <c r="J1617" s="8">
        <v>45527</v>
      </c>
      <c r="K1617" s="3">
        <v>18</v>
      </c>
      <c r="L1617" s="3" t="s">
        <v>231</v>
      </c>
      <c r="M1617" s="3" t="s">
        <v>53</v>
      </c>
      <c r="N1617" s="3" t="s">
        <v>65</v>
      </c>
      <c r="O1617" s="3" t="s">
        <v>30</v>
      </c>
      <c r="P1617" s="30">
        <v>22331.56</v>
      </c>
      <c r="Q1617" s="3" t="s">
        <v>67</v>
      </c>
      <c r="R1617" s="3">
        <v>8</v>
      </c>
      <c r="S1617" s="3">
        <v>121</v>
      </c>
      <c r="T1617" s="3">
        <v>16.3</v>
      </c>
      <c r="U1617" s="3" t="s">
        <v>44</v>
      </c>
      <c r="V1617" s="18" t="s">
        <v>33</v>
      </c>
    </row>
    <row r="1618" spans="1:22" ht="15" customHeight="1" x14ac:dyDescent="0.25">
      <c r="A1618" s="15" t="s">
        <v>2967</v>
      </c>
      <c r="B1618" s="1" t="s">
        <v>2968</v>
      </c>
      <c r="C1618">
        <v>65</v>
      </c>
      <c r="D1618" s="1" t="s">
        <v>82</v>
      </c>
      <c r="E1618" s="1" t="s">
        <v>23</v>
      </c>
      <c r="F1618" s="1" t="s">
        <v>76</v>
      </c>
      <c r="G1618" s="1" t="s">
        <v>77</v>
      </c>
      <c r="H1618" s="1" t="s">
        <v>26</v>
      </c>
      <c r="I1618" s="7">
        <v>44190</v>
      </c>
      <c r="J1618" s="7">
        <v>44200</v>
      </c>
      <c r="K1618" s="1">
        <v>10</v>
      </c>
      <c r="L1618" s="1" t="s">
        <v>122</v>
      </c>
      <c r="M1618" s="1" t="s">
        <v>40</v>
      </c>
      <c r="N1618" s="1" t="s">
        <v>79</v>
      </c>
      <c r="O1618" s="1" t="s">
        <v>55</v>
      </c>
      <c r="P1618" s="29">
        <v>96511.54</v>
      </c>
      <c r="Q1618" s="1" t="s">
        <v>95</v>
      </c>
      <c r="R1618" s="1">
        <v>8</v>
      </c>
      <c r="S1618" s="1">
        <v>314</v>
      </c>
      <c r="T1618" s="1">
        <v>27.2</v>
      </c>
      <c r="U1618" s="1" t="s">
        <v>44</v>
      </c>
      <c r="V1618" s="17" t="s">
        <v>33</v>
      </c>
    </row>
    <row r="1619" spans="1:22" ht="15" customHeight="1" x14ac:dyDescent="0.25">
      <c r="A1619" s="16" t="s">
        <v>2969</v>
      </c>
      <c r="B1619" s="3" t="s">
        <v>2970</v>
      </c>
      <c r="C1619">
        <v>54</v>
      </c>
      <c r="D1619" s="3" t="s">
        <v>98</v>
      </c>
      <c r="E1619" s="3" t="s">
        <v>48</v>
      </c>
      <c r="F1619" s="3" t="s">
        <v>99</v>
      </c>
      <c r="G1619" s="3" t="s">
        <v>71</v>
      </c>
      <c r="H1619" s="3" t="s">
        <v>51</v>
      </c>
      <c r="I1619" s="6">
        <v>45450</v>
      </c>
      <c r="J1619" s="8">
        <v>45481</v>
      </c>
      <c r="K1619" s="3">
        <v>2</v>
      </c>
      <c r="L1619" s="3" t="s">
        <v>132</v>
      </c>
      <c r="M1619" s="3" t="s">
        <v>53</v>
      </c>
      <c r="N1619" s="3" t="s">
        <v>177</v>
      </c>
      <c r="O1619" s="3" t="s">
        <v>66</v>
      </c>
      <c r="P1619" s="30">
        <v>11431.92</v>
      </c>
      <c r="Q1619" s="3" t="s">
        <v>73</v>
      </c>
      <c r="R1619" s="3">
        <v>5</v>
      </c>
      <c r="S1619" s="3">
        <v>161</v>
      </c>
      <c r="T1619" s="3">
        <v>22.9</v>
      </c>
      <c r="U1619" s="3" t="s">
        <v>86</v>
      </c>
      <c r="V1619" s="18" t="s">
        <v>45</v>
      </c>
    </row>
    <row r="1620" spans="1:22" ht="15" customHeight="1" x14ac:dyDescent="0.25">
      <c r="A1620" s="15" t="s">
        <v>2971</v>
      </c>
      <c r="B1620" s="1" t="s">
        <v>2972</v>
      </c>
      <c r="C1620">
        <v>68</v>
      </c>
      <c r="D1620" s="1" t="s">
        <v>82</v>
      </c>
      <c r="E1620" s="1" t="s">
        <v>48</v>
      </c>
      <c r="F1620" s="1" t="s">
        <v>24</v>
      </c>
      <c r="G1620" s="1" t="s">
        <v>131</v>
      </c>
      <c r="H1620" s="1" t="s">
        <v>26</v>
      </c>
      <c r="I1620" s="7">
        <v>44569</v>
      </c>
      <c r="J1620" s="7">
        <v>44896</v>
      </c>
      <c r="K1620" s="1">
        <v>4</v>
      </c>
      <c r="L1620" s="1" t="s">
        <v>231</v>
      </c>
      <c r="M1620" s="1" t="s">
        <v>53</v>
      </c>
      <c r="N1620" s="1" t="s">
        <v>157</v>
      </c>
      <c r="O1620" s="1" t="s">
        <v>104</v>
      </c>
      <c r="P1620" s="29">
        <v>42800.76</v>
      </c>
      <c r="Q1620" s="1" t="s">
        <v>158</v>
      </c>
      <c r="R1620" s="1">
        <v>7</v>
      </c>
      <c r="S1620" s="1">
        <v>359</v>
      </c>
      <c r="T1620" s="1">
        <v>33.6</v>
      </c>
      <c r="U1620" s="1" t="s">
        <v>86</v>
      </c>
      <c r="V1620" s="17" t="s">
        <v>33</v>
      </c>
    </row>
    <row r="1621" spans="1:22" ht="15" customHeight="1" x14ac:dyDescent="0.25">
      <c r="A1621" s="16" t="s">
        <v>2973</v>
      </c>
      <c r="B1621" s="3" t="s">
        <v>1490</v>
      </c>
      <c r="C1621">
        <v>91</v>
      </c>
      <c r="D1621" s="3" t="s">
        <v>36</v>
      </c>
      <c r="E1621" s="3" t="s">
        <v>23</v>
      </c>
      <c r="F1621" s="3" t="s">
        <v>70</v>
      </c>
      <c r="G1621" s="3" t="s">
        <v>77</v>
      </c>
      <c r="H1621" s="3" t="s">
        <v>78</v>
      </c>
      <c r="I1621" s="6">
        <v>44722</v>
      </c>
      <c r="J1621" s="8">
        <v>44852</v>
      </c>
      <c r="K1621" s="3">
        <v>12</v>
      </c>
      <c r="L1621" s="3" t="s">
        <v>52</v>
      </c>
      <c r="M1621" s="3" t="s">
        <v>53</v>
      </c>
      <c r="N1621" s="3" t="s">
        <v>79</v>
      </c>
      <c r="O1621" s="3" t="s">
        <v>55</v>
      </c>
      <c r="P1621" s="30">
        <v>85415.74</v>
      </c>
      <c r="Q1621" s="3" t="s">
        <v>109</v>
      </c>
      <c r="R1621" s="3">
        <v>10</v>
      </c>
      <c r="S1621" s="3">
        <v>240</v>
      </c>
      <c r="T1621" s="3">
        <v>24.5</v>
      </c>
      <c r="U1621" s="3" t="s">
        <v>44</v>
      </c>
      <c r="V1621" s="18" t="s">
        <v>45</v>
      </c>
    </row>
    <row r="1622" spans="1:22" ht="15" customHeight="1" x14ac:dyDescent="0.25">
      <c r="A1622" s="15" t="s">
        <v>2974</v>
      </c>
      <c r="B1622" s="1" t="s">
        <v>2975</v>
      </c>
      <c r="C1622">
        <v>57</v>
      </c>
      <c r="D1622" s="1" t="s">
        <v>59</v>
      </c>
      <c r="E1622" s="1" t="s">
        <v>23</v>
      </c>
      <c r="F1622" s="1" t="s">
        <v>37</v>
      </c>
      <c r="G1622" s="1" t="s">
        <v>226</v>
      </c>
      <c r="H1622" s="1" t="s">
        <v>78</v>
      </c>
      <c r="I1622" s="7">
        <v>45618</v>
      </c>
      <c r="J1622" s="10"/>
      <c r="K1622" s="1"/>
      <c r="L1622" s="1" t="s">
        <v>132</v>
      </c>
      <c r="M1622" s="1" t="s">
        <v>53</v>
      </c>
      <c r="N1622" s="1" t="s">
        <v>94</v>
      </c>
      <c r="O1622" s="1" t="s">
        <v>30</v>
      </c>
      <c r="P1622" s="29">
        <v>17961.95</v>
      </c>
      <c r="Q1622" s="1" t="s">
        <v>91</v>
      </c>
      <c r="R1622" s="1">
        <v>10</v>
      </c>
      <c r="S1622" s="1">
        <v>441</v>
      </c>
      <c r="T1622" s="1">
        <v>28.7</v>
      </c>
      <c r="U1622" s="1" t="s">
        <v>44</v>
      </c>
      <c r="V1622" s="17" t="s">
        <v>33</v>
      </c>
    </row>
    <row r="1623" spans="1:22" ht="15" customHeight="1" x14ac:dyDescent="0.25">
      <c r="A1623" s="16" t="s">
        <v>2976</v>
      </c>
      <c r="B1623" s="3" t="s">
        <v>2436</v>
      </c>
      <c r="C1623">
        <v>44</v>
      </c>
      <c r="D1623" s="3" t="s">
        <v>98</v>
      </c>
      <c r="E1623" s="3" t="s">
        <v>23</v>
      </c>
      <c r="F1623" s="3" t="s">
        <v>76</v>
      </c>
      <c r="G1623" s="3" t="s">
        <v>77</v>
      </c>
      <c r="H1623" s="3" t="s">
        <v>26</v>
      </c>
      <c r="I1623" s="8">
        <v>45264</v>
      </c>
      <c r="J1623" s="8">
        <v>45242</v>
      </c>
      <c r="K1623" s="3">
        <v>7</v>
      </c>
      <c r="L1623" s="3" t="s">
        <v>231</v>
      </c>
      <c r="M1623" s="3" t="s">
        <v>53</v>
      </c>
      <c r="N1623" s="3" t="s">
        <v>84</v>
      </c>
      <c r="O1623" s="3" t="s">
        <v>42</v>
      </c>
      <c r="P1623" s="30">
        <v>89409.67</v>
      </c>
      <c r="Q1623" s="3" t="s">
        <v>100</v>
      </c>
      <c r="R1623" s="3">
        <v>8</v>
      </c>
      <c r="S1623" s="3">
        <v>368</v>
      </c>
      <c r="T1623" s="3">
        <v>38.5</v>
      </c>
      <c r="U1623" s="3" t="s">
        <v>86</v>
      </c>
      <c r="V1623" s="18" t="s">
        <v>33</v>
      </c>
    </row>
    <row r="1624" spans="1:22" ht="15" customHeight="1" x14ac:dyDescent="0.25">
      <c r="A1624" s="15" t="s">
        <v>2977</v>
      </c>
      <c r="B1624" s="1" t="s">
        <v>999</v>
      </c>
      <c r="C1624">
        <v>73</v>
      </c>
      <c r="D1624" s="1" t="s">
        <v>82</v>
      </c>
      <c r="E1624" s="1" t="s">
        <v>23</v>
      </c>
      <c r="F1624" s="1" t="s">
        <v>83</v>
      </c>
      <c r="G1624" s="1" t="s">
        <v>38</v>
      </c>
      <c r="H1624" s="1" t="s">
        <v>51</v>
      </c>
      <c r="I1624" s="6">
        <v>45503</v>
      </c>
      <c r="J1624" s="7">
        <v>45507</v>
      </c>
      <c r="K1624" s="1">
        <v>4</v>
      </c>
      <c r="L1624" s="1" t="s">
        <v>102</v>
      </c>
      <c r="M1624" s="1" t="s">
        <v>28</v>
      </c>
      <c r="N1624" s="1" t="s">
        <v>203</v>
      </c>
      <c r="O1624" s="1" t="s">
        <v>55</v>
      </c>
      <c r="P1624" s="29">
        <v>36359.18</v>
      </c>
      <c r="Q1624" s="1" t="s">
        <v>43</v>
      </c>
      <c r="R1624" s="1">
        <v>6</v>
      </c>
      <c r="S1624" s="1">
        <v>166</v>
      </c>
      <c r="T1624" s="1">
        <v>43.4</v>
      </c>
      <c r="U1624" s="1" t="s">
        <v>44</v>
      </c>
      <c r="V1624" s="17" t="s">
        <v>45</v>
      </c>
    </row>
    <row r="1625" spans="1:22" ht="15" customHeight="1" x14ac:dyDescent="0.25">
      <c r="A1625" s="16" t="s">
        <v>2978</v>
      </c>
      <c r="B1625" s="3" t="s">
        <v>2112</v>
      </c>
      <c r="C1625">
        <v>53</v>
      </c>
      <c r="D1625" s="3" t="s">
        <v>98</v>
      </c>
      <c r="E1625" s="3" t="s">
        <v>23</v>
      </c>
      <c r="F1625" s="3" t="s">
        <v>76</v>
      </c>
      <c r="G1625" s="3" t="s">
        <v>38</v>
      </c>
      <c r="H1625" s="3" t="s">
        <v>26</v>
      </c>
      <c r="I1625" s="8">
        <v>44280</v>
      </c>
      <c r="J1625" s="8">
        <v>44285</v>
      </c>
      <c r="K1625" s="3">
        <v>5</v>
      </c>
      <c r="L1625" s="3" t="s">
        <v>112</v>
      </c>
      <c r="M1625" s="3" t="s">
        <v>40</v>
      </c>
      <c r="N1625" s="3" t="s">
        <v>203</v>
      </c>
      <c r="O1625" s="3" t="s">
        <v>30</v>
      </c>
      <c r="P1625" s="30">
        <v>16351.1</v>
      </c>
      <c r="Q1625" s="3" t="s">
        <v>305</v>
      </c>
      <c r="R1625" s="3">
        <v>5</v>
      </c>
      <c r="S1625" s="3">
        <v>248</v>
      </c>
      <c r="T1625" s="3">
        <v>45.8</v>
      </c>
      <c r="U1625" s="3" t="s">
        <v>86</v>
      </c>
      <c r="V1625" s="18" t="s">
        <v>33</v>
      </c>
    </row>
    <row r="1626" spans="1:22" ht="15" customHeight="1" x14ac:dyDescent="0.25">
      <c r="A1626" s="15" t="s">
        <v>2979</v>
      </c>
      <c r="B1626" s="1" t="s">
        <v>2103</v>
      </c>
      <c r="C1626">
        <v>77</v>
      </c>
      <c r="D1626" s="1" t="s">
        <v>36</v>
      </c>
      <c r="E1626" s="1" t="s">
        <v>23</v>
      </c>
      <c r="F1626" s="1" t="s">
        <v>155</v>
      </c>
      <c r="G1626" s="1" t="s">
        <v>1033</v>
      </c>
      <c r="H1626" s="1" t="s">
        <v>51</v>
      </c>
      <c r="I1626" s="7">
        <v>44534</v>
      </c>
      <c r="J1626" s="7">
        <v>44537</v>
      </c>
      <c r="K1626" s="1">
        <v>3</v>
      </c>
      <c r="L1626" s="1" t="s">
        <v>27</v>
      </c>
      <c r="M1626" s="1" t="s">
        <v>28</v>
      </c>
      <c r="N1626" s="1" t="s">
        <v>346</v>
      </c>
      <c r="O1626" s="1" t="s">
        <v>104</v>
      </c>
      <c r="P1626" s="29">
        <v>18147</v>
      </c>
      <c r="Q1626" s="1" t="s">
        <v>165</v>
      </c>
      <c r="R1626" s="1">
        <v>5</v>
      </c>
      <c r="S1626" s="1">
        <v>198</v>
      </c>
      <c r="T1626" s="1">
        <v>17.5</v>
      </c>
      <c r="U1626" s="1" t="s">
        <v>44</v>
      </c>
      <c r="V1626" s="17" t="s">
        <v>33</v>
      </c>
    </row>
    <row r="1627" spans="1:22" ht="15" customHeight="1" x14ac:dyDescent="0.25">
      <c r="A1627" s="16" t="s">
        <v>2980</v>
      </c>
      <c r="B1627" s="3" t="s">
        <v>2981</v>
      </c>
      <c r="C1627">
        <v>20</v>
      </c>
      <c r="D1627" s="3" t="s">
        <v>47</v>
      </c>
      <c r="E1627" s="3" t="s">
        <v>48</v>
      </c>
      <c r="F1627" s="3" t="s">
        <v>99</v>
      </c>
      <c r="G1627" s="3" t="s">
        <v>38</v>
      </c>
      <c r="H1627" s="3" t="s">
        <v>26</v>
      </c>
      <c r="I1627" s="6">
        <v>44086</v>
      </c>
      <c r="J1627" s="8">
        <v>44184</v>
      </c>
      <c r="K1627" s="3">
        <v>10</v>
      </c>
      <c r="L1627" s="3" t="s">
        <v>27</v>
      </c>
      <c r="M1627" s="3" t="s">
        <v>28</v>
      </c>
      <c r="N1627" s="3" t="s">
        <v>173</v>
      </c>
      <c r="O1627" s="3" t="s">
        <v>30</v>
      </c>
      <c r="P1627" s="30">
        <v>7613</v>
      </c>
      <c r="Q1627" s="3" t="s">
        <v>567</v>
      </c>
      <c r="R1627" s="3">
        <v>8</v>
      </c>
      <c r="S1627" s="3">
        <v>193</v>
      </c>
      <c r="T1627" s="3">
        <v>37</v>
      </c>
      <c r="U1627" s="3" t="s">
        <v>32</v>
      </c>
      <c r="V1627" s="18" t="s">
        <v>33</v>
      </c>
    </row>
    <row r="1628" spans="1:22" ht="15" customHeight="1" x14ac:dyDescent="0.25">
      <c r="A1628" s="15" t="s">
        <v>2982</v>
      </c>
      <c r="B1628" s="1" t="s">
        <v>2761</v>
      </c>
      <c r="C1628">
        <v>66</v>
      </c>
      <c r="D1628" s="1" t="s">
        <v>82</v>
      </c>
      <c r="E1628" s="1" t="s">
        <v>48</v>
      </c>
      <c r="F1628" s="1" t="s">
        <v>83</v>
      </c>
      <c r="G1628" s="1" t="s">
        <v>131</v>
      </c>
      <c r="H1628" s="1" t="s">
        <v>51</v>
      </c>
      <c r="I1628" s="7">
        <v>45224</v>
      </c>
      <c r="J1628" s="7">
        <v>45229</v>
      </c>
      <c r="K1628" s="1">
        <v>5</v>
      </c>
      <c r="L1628" s="1" t="s">
        <v>122</v>
      </c>
      <c r="M1628" s="1" t="s">
        <v>40</v>
      </c>
      <c r="N1628" s="1" t="s">
        <v>147</v>
      </c>
      <c r="O1628" s="1" t="s">
        <v>30</v>
      </c>
      <c r="P1628" s="29">
        <v>14269.78</v>
      </c>
      <c r="Q1628" s="1" t="s">
        <v>266</v>
      </c>
      <c r="R1628" s="1">
        <v>7</v>
      </c>
      <c r="S1628" s="1">
        <v>144</v>
      </c>
      <c r="T1628" s="1">
        <v>19.600000000000001</v>
      </c>
      <c r="U1628" s="1" t="s">
        <v>44</v>
      </c>
      <c r="V1628" s="17" t="s">
        <v>33</v>
      </c>
    </row>
    <row r="1629" spans="1:22" ht="15" customHeight="1" x14ac:dyDescent="0.25">
      <c r="A1629" s="16" t="s">
        <v>2983</v>
      </c>
      <c r="B1629" s="2" t="s">
        <v>3685</v>
      </c>
      <c r="C1629">
        <v>83</v>
      </c>
      <c r="D1629" s="3" t="s">
        <v>36</v>
      </c>
      <c r="E1629" s="3" t="s">
        <v>23</v>
      </c>
      <c r="F1629" s="2" t="s">
        <v>99</v>
      </c>
      <c r="G1629" s="3" t="s">
        <v>163</v>
      </c>
      <c r="H1629" s="3" t="s">
        <v>51</v>
      </c>
      <c r="I1629" s="6">
        <v>43874</v>
      </c>
      <c r="J1629" s="8">
        <v>43877</v>
      </c>
      <c r="K1629" s="3">
        <v>3</v>
      </c>
      <c r="L1629" s="3" t="s">
        <v>52</v>
      </c>
      <c r="M1629" s="3" t="s">
        <v>53</v>
      </c>
      <c r="N1629" s="3" t="s">
        <v>346</v>
      </c>
      <c r="O1629" s="3" t="s">
        <v>42</v>
      </c>
      <c r="P1629" s="30">
        <v>25450.49</v>
      </c>
      <c r="Q1629" s="3" t="s">
        <v>62</v>
      </c>
      <c r="R1629" s="3">
        <v>6</v>
      </c>
      <c r="S1629" s="3">
        <v>137</v>
      </c>
      <c r="T1629" s="3">
        <v>26.3</v>
      </c>
      <c r="U1629" s="3" t="s">
        <v>44</v>
      </c>
      <c r="V1629" s="18" t="s">
        <v>33</v>
      </c>
    </row>
    <row r="1630" spans="1:22" ht="15" customHeight="1" x14ac:dyDescent="0.25">
      <c r="A1630" s="15" t="s">
        <v>2984</v>
      </c>
      <c r="B1630" s="1" t="s">
        <v>75</v>
      </c>
      <c r="C1630">
        <v>43</v>
      </c>
      <c r="D1630" s="1" t="s">
        <v>98</v>
      </c>
      <c r="E1630" s="1" t="s">
        <v>23</v>
      </c>
      <c r="F1630" s="1" t="s">
        <v>24</v>
      </c>
      <c r="G1630" s="1" t="s">
        <v>25</v>
      </c>
      <c r="H1630" s="1" t="s">
        <v>78</v>
      </c>
      <c r="I1630" s="6">
        <v>45406</v>
      </c>
      <c r="J1630" s="7">
        <v>45570</v>
      </c>
      <c r="K1630" s="1">
        <v>16</v>
      </c>
      <c r="L1630" s="1" t="s">
        <v>39</v>
      </c>
      <c r="M1630" s="1" t="s">
        <v>40</v>
      </c>
      <c r="N1630" s="1" t="s">
        <v>29</v>
      </c>
      <c r="O1630" s="1" t="s">
        <v>55</v>
      </c>
      <c r="P1630" s="29">
        <v>96236.69</v>
      </c>
      <c r="Q1630" s="1" t="s">
        <v>322</v>
      </c>
      <c r="R1630" s="1">
        <v>9</v>
      </c>
      <c r="S1630" s="1">
        <v>391</v>
      </c>
      <c r="T1630" s="1">
        <v>25.5</v>
      </c>
      <c r="U1630" s="1" t="s">
        <v>32</v>
      </c>
      <c r="V1630" s="17" t="s">
        <v>33</v>
      </c>
    </row>
    <row r="1631" spans="1:22" ht="15" customHeight="1" x14ac:dyDescent="0.25">
      <c r="A1631" s="16" t="s">
        <v>2985</v>
      </c>
      <c r="B1631" s="3" t="s">
        <v>2986</v>
      </c>
      <c r="C1631">
        <v>12</v>
      </c>
      <c r="D1631" s="3" t="s">
        <v>22</v>
      </c>
      <c r="E1631" s="3" t="s">
        <v>48</v>
      </c>
      <c r="F1631" s="3" t="s">
        <v>155</v>
      </c>
      <c r="G1631" s="3" t="s">
        <v>131</v>
      </c>
      <c r="H1631" s="3" t="s">
        <v>51</v>
      </c>
      <c r="I1631" s="8">
        <v>45452</v>
      </c>
      <c r="J1631" s="8">
        <v>45602</v>
      </c>
      <c r="K1631" s="3">
        <v>2</v>
      </c>
      <c r="L1631" s="3" t="s">
        <v>132</v>
      </c>
      <c r="M1631" s="3" t="s">
        <v>53</v>
      </c>
      <c r="N1631" s="3" t="s">
        <v>147</v>
      </c>
      <c r="O1631" s="3" t="s">
        <v>66</v>
      </c>
      <c r="P1631" s="30">
        <v>13424.9</v>
      </c>
      <c r="Q1631" s="3" t="s">
        <v>695</v>
      </c>
      <c r="R1631" s="3">
        <v>7</v>
      </c>
      <c r="S1631" s="3">
        <v>192</v>
      </c>
      <c r="T1631" s="3">
        <v>28.4</v>
      </c>
      <c r="U1631" s="3" t="s">
        <v>32</v>
      </c>
      <c r="V1631" s="18" t="s">
        <v>33</v>
      </c>
    </row>
    <row r="1632" spans="1:22" ht="15" customHeight="1" x14ac:dyDescent="0.25">
      <c r="A1632" s="15" t="s">
        <v>2987</v>
      </c>
      <c r="B1632" s="1" t="s">
        <v>1346</v>
      </c>
      <c r="C1632">
        <v>35</v>
      </c>
      <c r="D1632" s="1" t="s">
        <v>98</v>
      </c>
      <c r="E1632" s="1" t="s">
        <v>23</v>
      </c>
      <c r="F1632" s="1" t="s">
        <v>83</v>
      </c>
      <c r="G1632" s="1" t="s">
        <v>38</v>
      </c>
      <c r="H1632" s="1" t="s">
        <v>51</v>
      </c>
      <c r="I1632" s="6">
        <v>44949</v>
      </c>
      <c r="J1632" s="7">
        <v>44953</v>
      </c>
      <c r="K1632" s="1">
        <v>4</v>
      </c>
      <c r="L1632" s="1" t="s">
        <v>39</v>
      </c>
      <c r="M1632" s="1" t="s">
        <v>40</v>
      </c>
      <c r="N1632" s="1" t="s">
        <v>203</v>
      </c>
      <c r="O1632" s="1" t="s">
        <v>30</v>
      </c>
      <c r="P1632" s="29">
        <v>9176</v>
      </c>
      <c r="Q1632" s="1" t="s">
        <v>236</v>
      </c>
      <c r="R1632" s="1">
        <v>5</v>
      </c>
      <c r="S1632" s="1">
        <v>110</v>
      </c>
      <c r="T1632" s="1">
        <v>35</v>
      </c>
      <c r="U1632" s="1" t="s">
        <v>86</v>
      </c>
      <c r="V1632" s="17" t="s">
        <v>33</v>
      </c>
    </row>
    <row r="1633" spans="1:22" ht="15" customHeight="1" x14ac:dyDescent="0.25">
      <c r="A1633" s="16" t="s">
        <v>2988</v>
      </c>
      <c r="B1633" s="3" t="s">
        <v>2989</v>
      </c>
      <c r="C1633">
        <v>68</v>
      </c>
      <c r="D1633" s="3" t="s">
        <v>82</v>
      </c>
      <c r="E1633" s="3" t="s">
        <v>23</v>
      </c>
      <c r="F1633" s="3" t="s">
        <v>155</v>
      </c>
      <c r="G1633" s="3" t="s">
        <v>60</v>
      </c>
      <c r="H1633" s="3" t="s">
        <v>26</v>
      </c>
      <c r="I1633" s="8">
        <v>43490</v>
      </c>
      <c r="J1633" s="8">
        <v>43526</v>
      </c>
      <c r="K1633" s="3">
        <v>9</v>
      </c>
      <c r="L1633" s="3" t="s">
        <v>39</v>
      </c>
      <c r="M1633" s="3" t="s">
        <v>40</v>
      </c>
      <c r="N1633" s="3" t="s">
        <v>210</v>
      </c>
      <c r="O1633" s="3" t="s">
        <v>42</v>
      </c>
      <c r="P1633" s="30">
        <v>49028.74</v>
      </c>
      <c r="Q1633" s="3" t="s">
        <v>170</v>
      </c>
      <c r="R1633" s="3">
        <v>5</v>
      </c>
      <c r="S1633" s="3">
        <v>267</v>
      </c>
      <c r="T1633" s="3">
        <v>24.7</v>
      </c>
      <c r="U1633" s="3" t="s">
        <v>32</v>
      </c>
      <c r="V1633" s="18" t="s">
        <v>33</v>
      </c>
    </row>
    <row r="1634" spans="1:22" ht="15" customHeight="1" x14ac:dyDescent="0.25">
      <c r="A1634" s="15" t="s">
        <v>2990</v>
      </c>
      <c r="B1634" s="1" t="s">
        <v>1023</v>
      </c>
      <c r="C1634">
        <v>64</v>
      </c>
      <c r="D1634" s="1" t="s">
        <v>59</v>
      </c>
      <c r="E1634" s="1" t="s">
        <v>48</v>
      </c>
      <c r="F1634" s="1" t="s">
        <v>76</v>
      </c>
      <c r="G1634" s="1" t="s">
        <v>71</v>
      </c>
      <c r="H1634" s="1" t="s">
        <v>51</v>
      </c>
      <c r="I1634" s="7">
        <v>44941</v>
      </c>
      <c r="J1634" s="7">
        <v>44942</v>
      </c>
      <c r="K1634" s="1">
        <v>1</v>
      </c>
      <c r="L1634" s="1" t="s">
        <v>122</v>
      </c>
      <c r="M1634" s="1" t="s">
        <v>40</v>
      </c>
      <c r="N1634" s="1" t="s">
        <v>312</v>
      </c>
      <c r="O1634" s="1" t="s">
        <v>42</v>
      </c>
      <c r="P1634" s="29">
        <v>13023.27</v>
      </c>
      <c r="Q1634" s="1" t="s">
        <v>503</v>
      </c>
      <c r="R1634" s="1">
        <v>4</v>
      </c>
      <c r="S1634" s="1">
        <v>190</v>
      </c>
      <c r="T1634" s="1">
        <v>14.4</v>
      </c>
      <c r="U1634" s="1" t="s">
        <v>32</v>
      </c>
      <c r="V1634" s="17" t="s">
        <v>33</v>
      </c>
    </row>
    <row r="1635" spans="1:22" ht="15" customHeight="1" x14ac:dyDescent="0.25">
      <c r="A1635" s="16" t="s">
        <v>2991</v>
      </c>
      <c r="B1635" s="3" t="s">
        <v>2499</v>
      </c>
      <c r="C1635">
        <v>85</v>
      </c>
      <c r="D1635" s="3" t="s">
        <v>36</v>
      </c>
      <c r="E1635" s="3" t="s">
        <v>23</v>
      </c>
      <c r="F1635" s="3" t="s">
        <v>49</v>
      </c>
      <c r="G1635" s="3" t="s">
        <v>25</v>
      </c>
      <c r="H1635" s="3" t="s">
        <v>78</v>
      </c>
      <c r="I1635" s="8">
        <v>45544</v>
      </c>
      <c r="J1635" s="8">
        <v>45560</v>
      </c>
      <c r="K1635" s="3">
        <v>16</v>
      </c>
      <c r="L1635" s="3" t="s">
        <v>132</v>
      </c>
      <c r="M1635" s="3" t="s">
        <v>53</v>
      </c>
      <c r="N1635" s="3" t="s">
        <v>29</v>
      </c>
      <c r="O1635" s="3" t="s">
        <v>30</v>
      </c>
      <c r="P1635" s="30">
        <v>105793.77</v>
      </c>
      <c r="Q1635" s="3" t="s">
        <v>484</v>
      </c>
      <c r="R1635" s="3">
        <v>12</v>
      </c>
      <c r="S1635" s="3">
        <v>176</v>
      </c>
      <c r="T1635" s="3">
        <v>25.3</v>
      </c>
      <c r="U1635" s="3" t="s">
        <v>44</v>
      </c>
      <c r="V1635" s="18" t="s">
        <v>33</v>
      </c>
    </row>
    <row r="1636" spans="1:22" ht="15" customHeight="1" x14ac:dyDescent="0.25">
      <c r="A1636" s="15" t="s">
        <v>2992</v>
      </c>
      <c r="B1636" s="1" t="s">
        <v>865</v>
      </c>
      <c r="C1636">
        <v>87</v>
      </c>
      <c r="D1636" s="1" t="s">
        <v>36</v>
      </c>
      <c r="E1636" s="1" t="s">
        <v>23</v>
      </c>
      <c r="F1636" s="1" t="s">
        <v>83</v>
      </c>
      <c r="G1636" s="1" t="s">
        <v>25</v>
      </c>
      <c r="H1636" s="1" t="s">
        <v>26</v>
      </c>
      <c r="I1636" s="7">
        <v>44078</v>
      </c>
      <c r="J1636" s="7">
        <v>44089</v>
      </c>
      <c r="K1636" s="1">
        <v>11</v>
      </c>
      <c r="L1636" s="1" t="s">
        <v>185</v>
      </c>
      <c r="M1636" s="1" t="s">
        <v>186</v>
      </c>
      <c r="N1636" s="1" t="s">
        <v>65</v>
      </c>
      <c r="O1636" s="1" t="s">
        <v>42</v>
      </c>
      <c r="P1636" s="29">
        <v>130181.79</v>
      </c>
      <c r="Q1636" s="1" t="s">
        <v>310</v>
      </c>
      <c r="R1636" s="1">
        <v>12</v>
      </c>
      <c r="S1636" s="1">
        <v>145</v>
      </c>
      <c r="T1636" s="1">
        <v>20.3</v>
      </c>
      <c r="U1636" s="1" t="s">
        <v>44</v>
      </c>
      <c r="V1636" s="17" t="s">
        <v>33</v>
      </c>
    </row>
    <row r="1637" spans="1:22" ht="15" customHeight="1" x14ac:dyDescent="0.25">
      <c r="A1637" s="16" t="s">
        <v>2993</v>
      </c>
      <c r="B1637" s="3" t="s">
        <v>2994</v>
      </c>
      <c r="C1637">
        <v>64</v>
      </c>
      <c r="D1637" s="3" t="s">
        <v>59</v>
      </c>
      <c r="E1637" s="3" t="s">
        <v>48</v>
      </c>
      <c r="F1637" s="3" t="s">
        <v>70</v>
      </c>
      <c r="G1637" s="3" t="s">
        <v>71</v>
      </c>
      <c r="H1637" s="3" t="s">
        <v>51</v>
      </c>
      <c r="I1637" s="6">
        <v>44873</v>
      </c>
      <c r="J1637" s="8">
        <v>44785</v>
      </c>
      <c r="K1637" s="3">
        <v>1</v>
      </c>
      <c r="L1637" s="3" t="s">
        <v>122</v>
      </c>
      <c r="M1637" s="3" t="s">
        <v>40</v>
      </c>
      <c r="N1637" s="3" t="s">
        <v>72</v>
      </c>
      <c r="O1637" s="3" t="s">
        <v>66</v>
      </c>
      <c r="P1637" s="30">
        <v>19686.14</v>
      </c>
      <c r="Q1637" s="3" t="s">
        <v>73</v>
      </c>
      <c r="R1637" s="3">
        <v>5</v>
      </c>
      <c r="S1637" s="3">
        <v>159</v>
      </c>
      <c r="T1637" s="3">
        <v>27.1</v>
      </c>
      <c r="U1637" s="3" t="s">
        <v>44</v>
      </c>
      <c r="V1637" s="18" t="s">
        <v>45</v>
      </c>
    </row>
    <row r="1638" spans="1:22" ht="15" customHeight="1" x14ac:dyDescent="0.25">
      <c r="A1638" s="15" t="s">
        <v>2995</v>
      </c>
      <c r="B1638" s="1" t="s">
        <v>2996</v>
      </c>
      <c r="C1638">
        <v>54</v>
      </c>
      <c r="D1638" s="1" t="s">
        <v>98</v>
      </c>
      <c r="E1638" s="1" t="s">
        <v>48</v>
      </c>
      <c r="F1638" s="1" t="s">
        <v>76</v>
      </c>
      <c r="G1638" s="1" t="s">
        <v>38</v>
      </c>
      <c r="H1638" s="1" t="s">
        <v>78</v>
      </c>
      <c r="I1638" s="6">
        <v>44881</v>
      </c>
      <c r="J1638" s="7">
        <v>44884</v>
      </c>
      <c r="K1638" s="1">
        <v>3</v>
      </c>
      <c r="L1638" s="1" t="s">
        <v>112</v>
      </c>
      <c r="M1638" s="1" t="s">
        <v>40</v>
      </c>
      <c r="N1638" s="1" t="s">
        <v>173</v>
      </c>
      <c r="O1638" s="1" t="s">
        <v>66</v>
      </c>
      <c r="P1638" s="29">
        <v>22088.68</v>
      </c>
      <c r="Q1638" s="1" t="s">
        <v>236</v>
      </c>
      <c r="R1638" s="1">
        <v>6</v>
      </c>
      <c r="S1638" s="1">
        <v>301</v>
      </c>
      <c r="T1638" s="1">
        <v>35.299999999999997</v>
      </c>
      <c r="U1638" s="1" t="s">
        <v>44</v>
      </c>
      <c r="V1638" s="17" t="s">
        <v>33</v>
      </c>
    </row>
    <row r="1639" spans="1:22" ht="15" customHeight="1" x14ac:dyDescent="0.25">
      <c r="A1639" s="16" t="s">
        <v>2997</v>
      </c>
      <c r="B1639" s="2" t="s">
        <v>3686</v>
      </c>
      <c r="C1639">
        <v>68</v>
      </c>
      <c r="D1639" s="3" t="s">
        <v>82</v>
      </c>
      <c r="E1639" s="3" t="s">
        <v>48</v>
      </c>
      <c r="F1639" s="3" t="s">
        <v>99</v>
      </c>
      <c r="G1639" s="3" t="s">
        <v>25</v>
      </c>
      <c r="H1639" s="3" t="s">
        <v>51</v>
      </c>
      <c r="I1639" s="8">
        <v>44668</v>
      </c>
      <c r="J1639" s="8">
        <v>44680</v>
      </c>
      <c r="K1639" s="3">
        <v>12</v>
      </c>
      <c r="L1639" s="3" t="s">
        <v>132</v>
      </c>
      <c r="M1639" s="3" t="s">
        <v>53</v>
      </c>
      <c r="N1639" s="3" t="s">
        <v>29</v>
      </c>
      <c r="O1639" s="3" t="s">
        <v>55</v>
      </c>
      <c r="P1639" s="30">
        <v>90644.59</v>
      </c>
      <c r="Q1639" s="3" t="s">
        <v>105</v>
      </c>
      <c r="R1639" s="3">
        <v>12</v>
      </c>
      <c r="S1639" s="3">
        <v>162</v>
      </c>
      <c r="T1639" s="3">
        <v>17</v>
      </c>
      <c r="U1639" s="3" t="s">
        <v>44</v>
      </c>
      <c r="V1639" s="18" t="s">
        <v>33</v>
      </c>
    </row>
    <row r="1640" spans="1:22" ht="15" customHeight="1" x14ac:dyDescent="0.25">
      <c r="A1640" s="15" t="s">
        <v>2998</v>
      </c>
      <c r="B1640" s="1" t="s">
        <v>1214</v>
      </c>
      <c r="C1640">
        <v>46</v>
      </c>
      <c r="D1640" s="1" t="s">
        <v>98</v>
      </c>
      <c r="E1640" s="1" t="s">
        <v>23</v>
      </c>
      <c r="F1640" s="1" t="s">
        <v>24</v>
      </c>
      <c r="G1640" s="1" t="s">
        <v>209</v>
      </c>
      <c r="H1640" s="1" t="s">
        <v>51</v>
      </c>
      <c r="I1640" s="7">
        <v>44288</v>
      </c>
      <c r="J1640" s="7">
        <v>44236</v>
      </c>
      <c r="K1640" s="1">
        <v>5</v>
      </c>
      <c r="L1640" s="1" t="s">
        <v>102</v>
      </c>
      <c r="M1640" s="1" t="s">
        <v>28</v>
      </c>
      <c r="N1640" s="1" t="s">
        <v>103</v>
      </c>
      <c r="O1640" s="1" t="s">
        <v>42</v>
      </c>
      <c r="P1640" s="29">
        <v>27188.74</v>
      </c>
      <c r="Q1640" s="1" t="s">
        <v>349</v>
      </c>
      <c r="R1640" s="1">
        <v>3</v>
      </c>
      <c r="S1640" s="1">
        <v>185</v>
      </c>
      <c r="T1640" s="1">
        <v>27.9</v>
      </c>
      <c r="U1640" s="1" t="s">
        <v>32</v>
      </c>
      <c r="V1640" s="17" t="s">
        <v>33</v>
      </c>
    </row>
    <row r="1641" spans="1:22" ht="15" customHeight="1" x14ac:dyDescent="0.25">
      <c r="A1641" s="16" t="s">
        <v>2999</v>
      </c>
      <c r="B1641" s="3" t="s">
        <v>3000</v>
      </c>
      <c r="C1641">
        <v>66</v>
      </c>
      <c r="D1641" s="3" t="s">
        <v>82</v>
      </c>
      <c r="E1641" s="3" t="s">
        <v>23</v>
      </c>
      <c r="F1641" s="2" t="s">
        <v>99</v>
      </c>
      <c r="G1641" s="3" t="s">
        <v>25</v>
      </c>
      <c r="H1641" s="3" t="s">
        <v>26</v>
      </c>
      <c r="I1641" s="6">
        <v>45112</v>
      </c>
      <c r="J1641" s="8">
        <v>45063</v>
      </c>
      <c r="K1641" s="3">
        <v>10</v>
      </c>
      <c r="L1641" s="3" t="s">
        <v>39</v>
      </c>
      <c r="M1641" s="3" t="s">
        <v>40</v>
      </c>
      <c r="N1641" s="3" t="s">
        <v>65</v>
      </c>
      <c r="O1641" s="3" t="s">
        <v>42</v>
      </c>
      <c r="P1641" s="30">
        <v>94939.34</v>
      </c>
      <c r="Q1641" s="3" t="s">
        <v>515</v>
      </c>
      <c r="R1641" s="3">
        <v>12</v>
      </c>
      <c r="S1641" s="3">
        <v>481</v>
      </c>
      <c r="T1641" s="3">
        <v>25.2</v>
      </c>
      <c r="U1641" s="3" t="s">
        <v>44</v>
      </c>
      <c r="V1641" s="18" t="s">
        <v>45</v>
      </c>
    </row>
    <row r="1642" spans="1:22" ht="15" customHeight="1" x14ac:dyDescent="0.25">
      <c r="A1642" s="15" t="s">
        <v>3001</v>
      </c>
      <c r="B1642" s="1" t="s">
        <v>3002</v>
      </c>
      <c r="C1642">
        <v>38</v>
      </c>
      <c r="D1642" s="1" t="s">
        <v>98</v>
      </c>
      <c r="E1642" s="1" t="s">
        <v>48</v>
      </c>
      <c r="F1642" s="1" t="s">
        <v>99</v>
      </c>
      <c r="G1642" s="1" t="s">
        <v>77</v>
      </c>
      <c r="H1642" s="1" t="s">
        <v>26</v>
      </c>
      <c r="I1642" s="7">
        <v>45209</v>
      </c>
      <c r="J1642" s="7">
        <v>45221</v>
      </c>
      <c r="K1642" s="1">
        <v>12</v>
      </c>
      <c r="L1642" s="1" t="s">
        <v>27</v>
      </c>
      <c r="M1642" s="1" t="s">
        <v>28</v>
      </c>
      <c r="N1642" s="1" t="s">
        <v>79</v>
      </c>
      <c r="O1642" s="1" t="s">
        <v>104</v>
      </c>
      <c r="P1642" s="29">
        <v>44082.02</v>
      </c>
      <c r="Q1642" s="1" t="s">
        <v>91</v>
      </c>
      <c r="R1642" s="1">
        <v>10</v>
      </c>
      <c r="S1642" s="1">
        <v>344</v>
      </c>
      <c r="T1642" s="1">
        <v>39.299999999999997</v>
      </c>
      <c r="U1642" s="1" t="s">
        <v>44</v>
      </c>
      <c r="V1642" s="17" t="s">
        <v>33</v>
      </c>
    </row>
    <row r="1643" spans="1:22" ht="15" customHeight="1" x14ac:dyDescent="0.25">
      <c r="A1643" s="16" t="s">
        <v>3003</v>
      </c>
      <c r="B1643" s="3" t="s">
        <v>3004</v>
      </c>
      <c r="C1643">
        <v>71</v>
      </c>
      <c r="D1643" s="3" t="s">
        <v>82</v>
      </c>
      <c r="E1643" s="3" t="s">
        <v>48</v>
      </c>
      <c r="F1643" s="3" t="s">
        <v>37</v>
      </c>
      <c r="G1643" s="3" t="s">
        <v>163</v>
      </c>
      <c r="H1643" s="3" t="s">
        <v>51</v>
      </c>
      <c r="I1643" s="8">
        <v>44450</v>
      </c>
      <c r="J1643" s="8">
        <v>44453</v>
      </c>
      <c r="K1643" s="3">
        <v>3</v>
      </c>
      <c r="L1643" s="3" t="s">
        <v>102</v>
      </c>
      <c r="M1643" s="3" t="s">
        <v>28</v>
      </c>
      <c r="N1643" s="3" t="s">
        <v>213</v>
      </c>
      <c r="O1643" s="3" t="s">
        <v>30</v>
      </c>
      <c r="P1643" s="30">
        <v>41986.18</v>
      </c>
      <c r="Q1643" s="3" t="s">
        <v>259</v>
      </c>
      <c r="R1643" s="3">
        <v>3</v>
      </c>
      <c r="S1643" s="3">
        <v>161</v>
      </c>
      <c r="T1643" s="3">
        <v>21.4</v>
      </c>
      <c r="U1643" s="3" t="s">
        <v>86</v>
      </c>
      <c r="V1643" s="18" t="s">
        <v>45</v>
      </c>
    </row>
    <row r="1644" spans="1:22" ht="15" customHeight="1" x14ac:dyDescent="0.25">
      <c r="A1644" s="15" t="s">
        <v>3005</v>
      </c>
      <c r="B1644" s="1" t="s">
        <v>3006</v>
      </c>
      <c r="C1644">
        <v>87</v>
      </c>
      <c r="D1644" s="1" t="s">
        <v>36</v>
      </c>
      <c r="E1644" s="1" t="s">
        <v>23</v>
      </c>
      <c r="F1644" s="1" t="s">
        <v>155</v>
      </c>
      <c r="G1644" s="1" t="s">
        <v>188</v>
      </c>
      <c r="H1644" s="1" t="s">
        <v>51</v>
      </c>
      <c r="I1644" s="7">
        <v>44127</v>
      </c>
      <c r="J1644" s="7">
        <v>44023</v>
      </c>
      <c r="K1644" s="1">
        <v>15</v>
      </c>
      <c r="L1644" s="1" t="s">
        <v>231</v>
      </c>
      <c r="M1644" s="1" t="s">
        <v>53</v>
      </c>
      <c r="N1644" s="1" t="s">
        <v>79</v>
      </c>
      <c r="O1644" s="1" t="s">
        <v>42</v>
      </c>
      <c r="P1644" s="29">
        <v>86730.48</v>
      </c>
      <c r="Q1644" s="1" t="s">
        <v>80</v>
      </c>
      <c r="R1644" s="1">
        <v>10</v>
      </c>
      <c r="S1644" s="1">
        <v>161</v>
      </c>
      <c r="T1644" s="1">
        <v>29.1</v>
      </c>
      <c r="U1644" s="1" t="s">
        <v>44</v>
      </c>
      <c r="V1644" s="17" t="s">
        <v>33</v>
      </c>
    </row>
    <row r="1645" spans="1:22" ht="15" customHeight="1" x14ac:dyDescent="0.25">
      <c r="A1645" s="16" t="s">
        <v>3007</v>
      </c>
      <c r="B1645" s="3" t="s">
        <v>3008</v>
      </c>
      <c r="C1645">
        <v>70</v>
      </c>
      <c r="D1645" s="3" t="s">
        <v>82</v>
      </c>
      <c r="E1645" s="3" t="s">
        <v>48</v>
      </c>
      <c r="F1645" s="2" t="s">
        <v>76</v>
      </c>
      <c r="G1645" s="3" t="s">
        <v>38</v>
      </c>
      <c r="H1645" s="3" t="s">
        <v>26</v>
      </c>
      <c r="I1645" s="8">
        <v>43644</v>
      </c>
      <c r="J1645" s="8">
        <v>43623</v>
      </c>
      <c r="K1645" s="3">
        <v>8</v>
      </c>
      <c r="L1645" s="3" t="s">
        <v>112</v>
      </c>
      <c r="M1645" s="3" t="s">
        <v>40</v>
      </c>
      <c r="N1645" s="3" t="s">
        <v>41</v>
      </c>
      <c r="O1645" s="3" t="s">
        <v>30</v>
      </c>
      <c r="P1645" s="30">
        <v>22888.79</v>
      </c>
      <c r="Q1645" s="3" t="s">
        <v>204</v>
      </c>
      <c r="R1645" s="3">
        <v>8</v>
      </c>
      <c r="S1645" s="3">
        <v>456</v>
      </c>
      <c r="T1645" s="3">
        <v>32</v>
      </c>
      <c r="U1645" s="3" t="s">
        <v>32</v>
      </c>
      <c r="V1645" s="18" t="s">
        <v>33</v>
      </c>
    </row>
    <row r="1646" spans="1:22" ht="15" customHeight="1" x14ac:dyDescent="0.25">
      <c r="A1646" s="15" t="s">
        <v>3009</v>
      </c>
      <c r="B1646" s="1" t="s">
        <v>372</v>
      </c>
      <c r="C1646">
        <v>59</v>
      </c>
      <c r="D1646" s="1" t="s">
        <v>59</v>
      </c>
      <c r="E1646" s="1" t="s">
        <v>48</v>
      </c>
      <c r="F1646" s="1" t="s">
        <v>37</v>
      </c>
      <c r="G1646" s="1" t="s">
        <v>71</v>
      </c>
      <c r="H1646" s="1" t="s">
        <v>78</v>
      </c>
      <c r="I1646" s="6">
        <v>45119</v>
      </c>
      <c r="J1646" s="7">
        <v>45270</v>
      </c>
      <c r="K1646" s="1">
        <v>3</v>
      </c>
      <c r="L1646" s="1" t="s">
        <v>89</v>
      </c>
      <c r="M1646" s="1" t="s">
        <v>90</v>
      </c>
      <c r="N1646" s="1" t="s">
        <v>312</v>
      </c>
      <c r="O1646" s="1" t="s">
        <v>30</v>
      </c>
      <c r="P1646" s="29">
        <v>16826.38</v>
      </c>
      <c r="Q1646" s="1" t="s">
        <v>170</v>
      </c>
      <c r="R1646" s="1">
        <v>5</v>
      </c>
      <c r="S1646" s="1">
        <v>259</v>
      </c>
      <c r="T1646" s="1">
        <v>28.8</v>
      </c>
      <c r="U1646" s="1" t="s">
        <v>32</v>
      </c>
      <c r="V1646" s="17" t="s">
        <v>33</v>
      </c>
    </row>
    <row r="1647" spans="1:22" ht="15" customHeight="1" x14ac:dyDescent="0.25">
      <c r="A1647" s="16" t="s">
        <v>3010</v>
      </c>
      <c r="B1647" s="3" t="s">
        <v>2020</v>
      </c>
      <c r="C1647">
        <v>30</v>
      </c>
      <c r="D1647" s="3" t="s">
        <v>47</v>
      </c>
      <c r="E1647" s="3" t="s">
        <v>23</v>
      </c>
      <c r="F1647" s="3" t="s">
        <v>37</v>
      </c>
      <c r="G1647" s="3" t="s">
        <v>50</v>
      </c>
      <c r="H1647" s="3" t="s">
        <v>26</v>
      </c>
      <c r="I1647" s="8">
        <v>44644</v>
      </c>
      <c r="J1647" s="8">
        <v>44652</v>
      </c>
      <c r="K1647" s="3">
        <v>8</v>
      </c>
      <c r="L1647" s="3" t="s">
        <v>185</v>
      </c>
      <c r="M1647" s="3" t="s">
        <v>186</v>
      </c>
      <c r="N1647" s="3" t="s">
        <v>54</v>
      </c>
      <c r="O1647" s="3" t="s">
        <v>66</v>
      </c>
      <c r="P1647" s="30">
        <v>87951.41</v>
      </c>
      <c r="Q1647" s="3" t="s">
        <v>623</v>
      </c>
      <c r="R1647" s="3">
        <v>9</v>
      </c>
      <c r="S1647" s="3">
        <v>362</v>
      </c>
      <c r="T1647" s="3">
        <v>28</v>
      </c>
      <c r="U1647" s="3" t="s">
        <v>32</v>
      </c>
      <c r="V1647" s="18" t="s">
        <v>33</v>
      </c>
    </row>
    <row r="1648" spans="1:22" ht="15" customHeight="1" x14ac:dyDescent="0.25">
      <c r="A1648" s="15" t="s">
        <v>3011</v>
      </c>
      <c r="B1648" s="2" t="s">
        <v>3687</v>
      </c>
      <c r="C1648">
        <v>72</v>
      </c>
      <c r="D1648" s="1" t="s">
        <v>82</v>
      </c>
      <c r="E1648" s="1" t="s">
        <v>48</v>
      </c>
      <c r="F1648" s="1" t="s">
        <v>24</v>
      </c>
      <c r="G1648" s="1" t="s">
        <v>38</v>
      </c>
      <c r="H1648" s="1" t="s">
        <v>51</v>
      </c>
      <c r="I1648" s="6">
        <v>45353</v>
      </c>
      <c r="J1648" s="7">
        <v>45537</v>
      </c>
      <c r="K1648" s="1">
        <v>6</v>
      </c>
      <c r="L1648" s="1" t="s">
        <v>102</v>
      </c>
      <c r="M1648" s="1" t="s">
        <v>28</v>
      </c>
      <c r="N1648" s="1" t="s">
        <v>203</v>
      </c>
      <c r="O1648" s="1" t="s">
        <v>30</v>
      </c>
      <c r="P1648" s="29">
        <v>11621.6</v>
      </c>
      <c r="Q1648" s="1" t="s">
        <v>119</v>
      </c>
      <c r="R1648" s="1">
        <v>8</v>
      </c>
      <c r="S1648" s="1">
        <v>134</v>
      </c>
      <c r="T1648" s="1">
        <v>30.7</v>
      </c>
      <c r="U1648" s="1" t="s">
        <v>44</v>
      </c>
      <c r="V1648" s="17" t="s">
        <v>45</v>
      </c>
    </row>
    <row r="1649" spans="1:22" ht="15" customHeight="1" x14ac:dyDescent="0.25">
      <c r="A1649" s="16" t="s">
        <v>3012</v>
      </c>
      <c r="B1649" s="3" t="s">
        <v>2803</v>
      </c>
      <c r="C1649">
        <v>91</v>
      </c>
      <c r="D1649" s="3" t="s">
        <v>36</v>
      </c>
      <c r="E1649" s="3" t="s">
        <v>48</v>
      </c>
      <c r="F1649" s="3" t="s">
        <v>70</v>
      </c>
      <c r="G1649" s="3" t="s">
        <v>870</v>
      </c>
      <c r="H1649" s="3" t="s">
        <v>26</v>
      </c>
      <c r="I1649" s="6">
        <v>44137</v>
      </c>
      <c r="J1649" s="8">
        <v>43885</v>
      </c>
      <c r="K1649" s="3">
        <v>13</v>
      </c>
      <c r="L1649" s="3" t="s">
        <v>102</v>
      </c>
      <c r="M1649" s="3" t="s">
        <v>28</v>
      </c>
      <c r="N1649" s="3" t="s">
        <v>133</v>
      </c>
      <c r="O1649" s="3" t="s">
        <v>30</v>
      </c>
      <c r="P1649" s="30">
        <v>32582.400000000001</v>
      </c>
      <c r="Q1649" s="3" t="s">
        <v>152</v>
      </c>
      <c r="R1649" s="3">
        <v>6</v>
      </c>
      <c r="S1649" s="3">
        <v>347</v>
      </c>
      <c r="T1649" s="3">
        <v>34.799999999999997</v>
      </c>
      <c r="U1649" s="3" t="s">
        <v>44</v>
      </c>
      <c r="V1649" s="18" t="s">
        <v>33</v>
      </c>
    </row>
    <row r="1650" spans="1:22" ht="15" customHeight="1" x14ac:dyDescent="0.25">
      <c r="A1650" s="15" t="s">
        <v>3013</v>
      </c>
      <c r="B1650" s="1" t="s">
        <v>2262</v>
      </c>
      <c r="C1650">
        <v>57</v>
      </c>
      <c r="D1650" s="1" t="s">
        <v>59</v>
      </c>
      <c r="E1650" s="1" t="s">
        <v>23</v>
      </c>
      <c r="F1650" s="1" t="s">
        <v>37</v>
      </c>
      <c r="G1650" s="1" t="s">
        <v>77</v>
      </c>
      <c r="H1650" s="1" t="s">
        <v>26</v>
      </c>
      <c r="I1650" s="6">
        <v>44298</v>
      </c>
      <c r="J1650" s="7">
        <v>44542</v>
      </c>
      <c r="K1650" s="1">
        <v>8</v>
      </c>
      <c r="L1650" s="1" t="s">
        <v>102</v>
      </c>
      <c r="M1650" s="1" t="s">
        <v>28</v>
      </c>
      <c r="N1650" s="1" t="s">
        <v>84</v>
      </c>
      <c r="O1650" s="1" t="s">
        <v>104</v>
      </c>
      <c r="P1650" s="29">
        <v>28885.57</v>
      </c>
      <c r="Q1650" s="1" t="s">
        <v>181</v>
      </c>
      <c r="R1650" s="1">
        <v>10</v>
      </c>
      <c r="S1650" s="1">
        <v>338</v>
      </c>
      <c r="T1650" s="1">
        <v>31</v>
      </c>
      <c r="U1650" s="1" t="s">
        <v>44</v>
      </c>
      <c r="V1650" s="17" t="s">
        <v>33</v>
      </c>
    </row>
    <row r="1651" spans="1:22" ht="15" customHeight="1" x14ac:dyDescent="0.25">
      <c r="A1651" s="16" t="s">
        <v>3014</v>
      </c>
      <c r="B1651" s="3" t="s">
        <v>3015</v>
      </c>
      <c r="C1651">
        <v>67</v>
      </c>
      <c r="D1651" s="3" t="s">
        <v>82</v>
      </c>
      <c r="E1651" s="3" t="s">
        <v>23</v>
      </c>
      <c r="F1651" s="3" t="s">
        <v>49</v>
      </c>
      <c r="G1651" s="3" t="s">
        <v>163</v>
      </c>
      <c r="H1651" s="3" t="s">
        <v>78</v>
      </c>
      <c r="I1651" s="8">
        <v>44962</v>
      </c>
      <c r="J1651" s="8">
        <v>45171</v>
      </c>
      <c r="K1651" s="3">
        <v>4</v>
      </c>
      <c r="L1651" s="3" t="s">
        <v>132</v>
      </c>
      <c r="M1651" s="3" t="s">
        <v>53</v>
      </c>
      <c r="N1651" s="3" t="s">
        <v>164</v>
      </c>
      <c r="O1651" s="3" t="s">
        <v>55</v>
      </c>
      <c r="P1651" s="30">
        <v>37170.949999999997</v>
      </c>
      <c r="Q1651" s="3" t="s">
        <v>62</v>
      </c>
      <c r="R1651" s="3">
        <v>6</v>
      </c>
      <c r="S1651" s="3">
        <v>477</v>
      </c>
      <c r="T1651" s="3">
        <v>28.9</v>
      </c>
      <c r="U1651" s="3" t="s">
        <v>86</v>
      </c>
      <c r="V1651" s="18" t="s">
        <v>33</v>
      </c>
    </row>
    <row r="1652" spans="1:22" ht="15" customHeight="1" x14ac:dyDescent="0.25">
      <c r="A1652" s="15" t="s">
        <v>3016</v>
      </c>
      <c r="B1652" s="1" t="s">
        <v>3017</v>
      </c>
      <c r="C1652">
        <v>66</v>
      </c>
      <c r="D1652" s="1" t="s">
        <v>82</v>
      </c>
      <c r="E1652" s="1" t="s">
        <v>48</v>
      </c>
      <c r="F1652" s="1" t="s">
        <v>155</v>
      </c>
      <c r="G1652" s="1" t="s">
        <v>131</v>
      </c>
      <c r="H1652" s="1" t="s">
        <v>51</v>
      </c>
      <c r="I1652" s="7">
        <v>44323</v>
      </c>
      <c r="J1652" s="7">
        <v>44325</v>
      </c>
      <c r="K1652" s="1">
        <v>2</v>
      </c>
      <c r="L1652" s="1" t="s">
        <v>132</v>
      </c>
      <c r="M1652" s="1" t="s">
        <v>53</v>
      </c>
      <c r="N1652" s="1" t="s">
        <v>147</v>
      </c>
      <c r="O1652" s="1" t="s">
        <v>55</v>
      </c>
      <c r="P1652" s="29">
        <v>17680.93</v>
      </c>
      <c r="Q1652" s="1" t="s">
        <v>152</v>
      </c>
      <c r="R1652" s="1">
        <v>7</v>
      </c>
      <c r="S1652" s="1">
        <v>188</v>
      </c>
      <c r="T1652" s="1">
        <v>29.2</v>
      </c>
      <c r="U1652" s="1" t="s">
        <v>32</v>
      </c>
      <c r="V1652" s="17" t="s">
        <v>33</v>
      </c>
    </row>
    <row r="1653" spans="1:22" ht="15" customHeight="1" x14ac:dyDescent="0.25">
      <c r="A1653" s="16" t="s">
        <v>3018</v>
      </c>
      <c r="B1653" s="3" t="s">
        <v>3019</v>
      </c>
      <c r="C1653">
        <v>63</v>
      </c>
      <c r="D1653" s="3" t="s">
        <v>59</v>
      </c>
      <c r="E1653" s="3" t="s">
        <v>48</v>
      </c>
      <c r="F1653" s="3" t="s">
        <v>37</v>
      </c>
      <c r="G1653" s="3" t="s">
        <v>163</v>
      </c>
      <c r="H1653" s="3" t="s">
        <v>51</v>
      </c>
      <c r="I1653" s="8">
        <v>44242</v>
      </c>
      <c r="J1653" s="8">
        <v>44247</v>
      </c>
      <c r="K1653" s="3">
        <v>5</v>
      </c>
      <c r="L1653" s="3" t="s">
        <v>52</v>
      </c>
      <c r="M1653" s="3" t="s">
        <v>53</v>
      </c>
      <c r="N1653" s="3" t="s">
        <v>346</v>
      </c>
      <c r="O1653" s="3" t="s">
        <v>30</v>
      </c>
      <c r="P1653" s="30">
        <v>20097.41</v>
      </c>
      <c r="Q1653" s="3" t="s">
        <v>165</v>
      </c>
      <c r="R1653" s="3">
        <v>6</v>
      </c>
      <c r="S1653" s="3">
        <v>161</v>
      </c>
      <c r="T1653" s="4"/>
      <c r="U1653" s="3" t="s">
        <v>32</v>
      </c>
      <c r="V1653" s="18" t="s">
        <v>33</v>
      </c>
    </row>
    <row r="1654" spans="1:22" ht="15" customHeight="1" x14ac:dyDescent="0.25">
      <c r="A1654" s="15" t="s">
        <v>3020</v>
      </c>
      <c r="B1654" s="1" t="s">
        <v>3021</v>
      </c>
      <c r="C1654">
        <v>31</v>
      </c>
      <c r="D1654" s="1" t="s">
        <v>47</v>
      </c>
      <c r="E1654" s="1" t="s">
        <v>48</v>
      </c>
      <c r="F1654" s="1" t="s">
        <v>83</v>
      </c>
      <c r="G1654" s="1" t="s">
        <v>25</v>
      </c>
      <c r="H1654" s="1" t="s">
        <v>78</v>
      </c>
      <c r="I1654" s="7">
        <v>44508</v>
      </c>
      <c r="J1654" s="7">
        <v>44530</v>
      </c>
      <c r="K1654" s="1">
        <v>22</v>
      </c>
      <c r="L1654" s="1" t="s">
        <v>52</v>
      </c>
      <c r="M1654" s="1" t="s">
        <v>53</v>
      </c>
      <c r="N1654" s="1" t="s">
        <v>29</v>
      </c>
      <c r="O1654" s="1" t="s">
        <v>30</v>
      </c>
      <c r="P1654" s="29">
        <v>28654.91</v>
      </c>
      <c r="Q1654" s="1" t="s">
        <v>515</v>
      </c>
      <c r="R1654" s="1">
        <v>11</v>
      </c>
      <c r="S1654" s="1">
        <v>471</v>
      </c>
      <c r="T1654" s="4"/>
      <c r="U1654" s="1" t="s">
        <v>32</v>
      </c>
      <c r="V1654" s="17" t="s">
        <v>45</v>
      </c>
    </row>
    <row r="1655" spans="1:22" ht="15" customHeight="1" x14ac:dyDescent="0.25">
      <c r="A1655" s="16" t="s">
        <v>3022</v>
      </c>
      <c r="B1655" s="3" t="s">
        <v>3023</v>
      </c>
      <c r="C1655">
        <v>60</v>
      </c>
      <c r="D1655" s="3" t="s">
        <v>59</v>
      </c>
      <c r="E1655" s="3" t="s">
        <v>48</v>
      </c>
      <c r="F1655" s="3" t="s">
        <v>83</v>
      </c>
      <c r="G1655" s="3" t="s">
        <v>131</v>
      </c>
      <c r="H1655" s="3" t="s">
        <v>51</v>
      </c>
      <c r="I1655" s="8">
        <v>44741</v>
      </c>
      <c r="J1655" s="8">
        <v>44749</v>
      </c>
      <c r="K1655" s="3">
        <v>8</v>
      </c>
      <c r="L1655" s="3" t="s">
        <v>231</v>
      </c>
      <c r="M1655" s="3" t="s">
        <v>53</v>
      </c>
      <c r="N1655" s="3" t="s">
        <v>133</v>
      </c>
      <c r="O1655" s="3" t="s">
        <v>30</v>
      </c>
      <c r="P1655" s="30">
        <v>17805.87</v>
      </c>
      <c r="Q1655" s="3" t="s">
        <v>266</v>
      </c>
      <c r="R1655" s="3">
        <v>7</v>
      </c>
      <c r="S1655" s="3">
        <v>123</v>
      </c>
      <c r="T1655" s="3">
        <v>26.8</v>
      </c>
      <c r="U1655" s="3" t="s">
        <v>86</v>
      </c>
      <c r="V1655" s="18" t="s">
        <v>33</v>
      </c>
    </row>
    <row r="1656" spans="1:22" ht="15" customHeight="1" x14ac:dyDescent="0.25">
      <c r="A1656" s="15" t="s">
        <v>3024</v>
      </c>
      <c r="B1656" s="1" t="s">
        <v>3025</v>
      </c>
      <c r="C1656">
        <v>9</v>
      </c>
      <c r="D1656" s="1" t="s">
        <v>22</v>
      </c>
      <c r="E1656" s="1" t="s">
        <v>48</v>
      </c>
      <c r="F1656" s="1" t="s">
        <v>37</v>
      </c>
      <c r="G1656" s="1" t="s">
        <v>25</v>
      </c>
      <c r="H1656" s="1" t="s">
        <v>78</v>
      </c>
      <c r="I1656" s="6">
        <v>45477</v>
      </c>
      <c r="J1656" s="7">
        <v>45489</v>
      </c>
      <c r="K1656" s="1">
        <v>12</v>
      </c>
      <c r="L1656" s="1" t="s">
        <v>132</v>
      </c>
      <c r="M1656" s="1" t="s">
        <v>53</v>
      </c>
      <c r="N1656" s="1" t="s">
        <v>65</v>
      </c>
      <c r="O1656" s="1" t="s">
        <v>55</v>
      </c>
      <c r="P1656" s="29">
        <v>47501.82</v>
      </c>
      <c r="Q1656" s="1" t="s">
        <v>31</v>
      </c>
      <c r="R1656" s="1">
        <v>12</v>
      </c>
      <c r="S1656" s="1">
        <v>447</v>
      </c>
      <c r="T1656" s="1">
        <v>20.8</v>
      </c>
      <c r="U1656" s="1" t="s">
        <v>44</v>
      </c>
      <c r="V1656" s="17" t="s">
        <v>33</v>
      </c>
    </row>
    <row r="1657" spans="1:22" ht="15" customHeight="1" x14ac:dyDescent="0.25">
      <c r="A1657" s="16" t="s">
        <v>3026</v>
      </c>
      <c r="B1657" s="3" t="s">
        <v>3027</v>
      </c>
      <c r="C1657">
        <v>81</v>
      </c>
      <c r="D1657" s="3" t="s">
        <v>36</v>
      </c>
      <c r="E1657" s="3" t="s">
        <v>23</v>
      </c>
      <c r="F1657" s="3" t="s">
        <v>49</v>
      </c>
      <c r="G1657" s="3" t="s">
        <v>131</v>
      </c>
      <c r="H1657" s="3" t="s">
        <v>51</v>
      </c>
      <c r="I1657" s="6">
        <v>45167</v>
      </c>
      <c r="J1657" s="8">
        <v>45171</v>
      </c>
      <c r="K1657" s="3">
        <v>4</v>
      </c>
      <c r="L1657" s="3" t="s">
        <v>39</v>
      </c>
      <c r="M1657" s="3" t="s">
        <v>40</v>
      </c>
      <c r="N1657" s="3" t="s">
        <v>157</v>
      </c>
      <c r="O1657" s="3" t="s">
        <v>42</v>
      </c>
      <c r="P1657" s="30">
        <v>41279.4</v>
      </c>
      <c r="Q1657" s="3" t="s">
        <v>152</v>
      </c>
      <c r="R1657" s="3">
        <v>7</v>
      </c>
      <c r="S1657" s="3">
        <v>182</v>
      </c>
      <c r="T1657" s="3">
        <v>23.5</v>
      </c>
      <c r="U1657" s="3" t="s">
        <v>32</v>
      </c>
      <c r="V1657" s="18" t="s">
        <v>33</v>
      </c>
    </row>
    <row r="1658" spans="1:22" ht="15" customHeight="1" x14ac:dyDescent="0.25">
      <c r="A1658" s="15" t="s">
        <v>3028</v>
      </c>
      <c r="B1658" s="1" t="s">
        <v>2494</v>
      </c>
      <c r="C1658">
        <v>74</v>
      </c>
      <c r="D1658" s="1" t="s">
        <v>82</v>
      </c>
      <c r="E1658" s="1" t="s">
        <v>23</v>
      </c>
      <c r="F1658" s="1" t="s">
        <v>99</v>
      </c>
      <c r="G1658" s="1" t="s">
        <v>131</v>
      </c>
      <c r="H1658" s="1" t="s">
        <v>26</v>
      </c>
      <c r="I1658" s="7">
        <v>45644</v>
      </c>
      <c r="J1658" s="7">
        <v>45649</v>
      </c>
      <c r="K1658" s="1">
        <v>5</v>
      </c>
      <c r="L1658" s="1" t="s">
        <v>39</v>
      </c>
      <c r="M1658" s="1" t="s">
        <v>40</v>
      </c>
      <c r="N1658" s="1" t="s">
        <v>147</v>
      </c>
      <c r="O1658" s="1" t="s">
        <v>42</v>
      </c>
      <c r="P1658" s="29">
        <v>54538.13</v>
      </c>
      <c r="Q1658" s="1" t="s">
        <v>148</v>
      </c>
      <c r="R1658" s="1">
        <v>7</v>
      </c>
      <c r="S1658" s="1">
        <v>358</v>
      </c>
      <c r="T1658" s="1">
        <v>27.2</v>
      </c>
      <c r="U1658" s="1" t="s">
        <v>32</v>
      </c>
      <c r="V1658" s="17" t="s">
        <v>45</v>
      </c>
    </row>
    <row r="1659" spans="1:22" ht="15" customHeight="1" x14ac:dyDescent="0.25">
      <c r="A1659" s="16" t="s">
        <v>3029</v>
      </c>
      <c r="B1659" s="3" t="s">
        <v>3030</v>
      </c>
      <c r="C1659">
        <v>43</v>
      </c>
      <c r="D1659" s="3" t="s">
        <v>98</v>
      </c>
      <c r="E1659" s="3" t="s">
        <v>48</v>
      </c>
      <c r="F1659" s="3" t="s">
        <v>70</v>
      </c>
      <c r="G1659" s="3" t="s">
        <v>163</v>
      </c>
      <c r="H1659" s="3" t="s">
        <v>26</v>
      </c>
      <c r="I1659" s="8">
        <v>45202</v>
      </c>
      <c r="J1659" s="8">
        <v>45148</v>
      </c>
      <c r="K1659" s="3">
        <v>5</v>
      </c>
      <c r="L1659" s="3" t="s">
        <v>132</v>
      </c>
      <c r="M1659" s="3" t="s">
        <v>53</v>
      </c>
      <c r="N1659" s="3" t="s">
        <v>346</v>
      </c>
      <c r="O1659" s="3" t="s">
        <v>104</v>
      </c>
      <c r="P1659" s="30">
        <v>22484</v>
      </c>
      <c r="Q1659" s="3" t="s">
        <v>382</v>
      </c>
      <c r="R1659" s="3">
        <v>4</v>
      </c>
      <c r="S1659" s="3">
        <v>210</v>
      </c>
      <c r="T1659" s="3">
        <v>30.7</v>
      </c>
      <c r="U1659" s="3" t="s">
        <v>44</v>
      </c>
      <c r="V1659" s="18" t="s">
        <v>33</v>
      </c>
    </row>
    <row r="1660" spans="1:22" ht="15" customHeight="1" x14ac:dyDescent="0.25">
      <c r="A1660" s="15" t="s">
        <v>3031</v>
      </c>
      <c r="B1660" s="1" t="s">
        <v>3032</v>
      </c>
      <c r="C1660">
        <v>52</v>
      </c>
      <c r="D1660" s="1" t="s">
        <v>98</v>
      </c>
      <c r="E1660" s="1" t="s">
        <v>23</v>
      </c>
      <c r="F1660" s="1" t="s">
        <v>83</v>
      </c>
      <c r="G1660" s="1" t="s">
        <v>50</v>
      </c>
      <c r="H1660" s="1" t="s">
        <v>26</v>
      </c>
      <c r="I1660" s="6">
        <v>44957</v>
      </c>
      <c r="J1660" s="7">
        <v>44970</v>
      </c>
      <c r="K1660" s="1">
        <v>13</v>
      </c>
      <c r="L1660" s="1" t="s">
        <v>89</v>
      </c>
      <c r="M1660" s="1" t="s">
        <v>90</v>
      </c>
      <c r="N1660" s="1" t="s">
        <v>54</v>
      </c>
      <c r="O1660" s="1" t="s">
        <v>104</v>
      </c>
      <c r="P1660" s="29">
        <v>16429.099999999999</v>
      </c>
      <c r="Q1660" s="1" t="s">
        <v>351</v>
      </c>
      <c r="R1660" s="1">
        <v>9</v>
      </c>
      <c r="S1660" s="1">
        <v>347</v>
      </c>
      <c r="T1660" s="1">
        <v>21.7</v>
      </c>
      <c r="U1660" s="1" t="s">
        <v>44</v>
      </c>
      <c r="V1660" s="17" t="s">
        <v>33</v>
      </c>
    </row>
    <row r="1661" spans="1:22" ht="15" customHeight="1" x14ac:dyDescent="0.25">
      <c r="A1661" s="16" t="s">
        <v>3033</v>
      </c>
      <c r="B1661" s="3" t="s">
        <v>3034</v>
      </c>
      <c r="C1661">
        <v>72</v>
      </c>
      <c r="D1661" s="3" t="s">
        <v>82</v>
      </c>
      <c r="E1661" s="3" t="s">
        <v>48</v>
      </c>
      <c r="F1661" s="3" t="s">
        <v>155</v>
      </c>
      <c r="G1661" s="3" t="s">
        <v>131</v>
      </c>
      <c r="H1661" s="3" t="s">
        <v>26</v>
      </c>
      <c r="I1661" s="8">
        <v>43794</v>
      </c>
      <c r="J1661" s="8">
        <v>43802</v>
      </c>
      <c r="K1661" s="3">
        <v>8</v>
      </c>
      <c r="L1661" s="3" t="s">
        <v>112</v>
      </c>
      <c r="M1661" s="3" t="s">
        <v>40</v>
      </c>
      <c r="N1661" s="3" t="s">
        <v>157</v>
      </c>
      <c r="O1661" s="3" t="s">
        <v>42</v>
      </c>
      <c r="P1661" s="30">
        <v>40927.78</v>
      </c>
      <c r="Q1661" s="3" t="s">
        <v>695</v>
      </c>
      <c r="R1661" s="3">
        <v>7</v>
      </c>
      <c r="S1661" s="3">
        <v>311</v>
      </c>
      <c r="T1661" s="3">
        <v>21.1</v>
      </c>
      <c r="U1661" s="3" t="s">
        <v>86</v>
      </c>
      <c r="V1661" s="18" t="s">
        <v>33</v>
      </c>
    </row>
    <row r="1662" spans="1:22" ht="15" customHeight="1" x14ac:dyDescent="0.25">
      <c r="A1662" s="15" t="s">
        <v>3035</v>
      </c>
      <c r="B1662" s="2" t="s">
        <v>3683</v>
      </c>
      <c r="C1662">
        <v>67</v>
      </c>
      <c r="D1662" s="1" t="s">
        <v>82</v>
      </c>
      <c r="E1662" s="1" t="s">
        <v>23</v>
      </c>
      <c r="F1662" s="1" t="s">
        <v>49</v>
      </c>
      <c r="G1662" s="1" t="s">
        <v>50</v>
      </c>
      <c r="H1662" s="1" t="s">
        <v>26</v>
      </c>
      <c r="I1662" s="7">
        <v>45359</v>
      </c>
      <c r="J1662" s="7">
        <v>45363</v>
      </c>
      <c r="K1662" s="1">
        <v>4</v>
      </c>
      <c r="L1662" s="1" t="s">
        <v>132</v>
      </c>
      <c r="M1662" s="1" t="s">
        <v>53</v>
      </c>
      <c r="N1662" s="1" t="s">
        <v>116</v>
      </c>
      <c r="O1662" s="1" t="s">
        <v>42</v>
      </c>
      <c r="P1662" s="29">
        <v>123860.3</v>
      </c>
      <c r="Q1662" s="1" t="s">
        <v>127</v>
      </c>
      <c r="R1662" s="1">
        <v>9</v>
      </c>
      <c r="S1662" s="1">
        <v>321</v>
      </c>
      <c r="T1662" s="1">
        <v>21</v>
      </c>
      <c r="U1662" s="1" t="s">
        <v>32</v>
      </c>
      <c r="V1662" s="17" t="s">
        <v>33</v>
      </c>
    </row>
    <row r="1663" spans="1:22" ht="15" customHeight="1" x14ac:dyDescent="0.25">
      <c r="A1663" s="16" t="s">
        <v>3036</v>
      </c>
      <c r="B1663" s="3" t="s">
        <v>1196</v>
      </c>
      <c r="C1663">
        <v>13</v>
      </c>
      <c r="D1663" s="3" t="s">
        <v>22</v>
      </c>
      <c r="E1663" s="3" t="s">
        <v>23</v>
      </c>
      <c r="F1663" s="3" t="s">
        <v>37</v>
      </c>
      <c r="G1663" s="3" t="s">
        <v>38</v>
      </c>
      <c r="H1663" s="3" t="s">
        <v>51</v>
      </c>
      <c r="I1663" s="8">
        <v>44361</v>
      </c>
      <c r="J1663" s="8">
        <v>44365</v>
      </c>
      <c r="K1663" s="3">
        <v>4</v>
      </c>
      <c r="L1663" s="3" t="s">
        <v>39</v>
      </c>
      <c r="M1663" s="3" t="s">
        <v>40</v>
      </c>
      <c r="N1663" s="3" t="s">
        <v>203</v>
      </c>
      <c r="O1663" s="3" t="s">
        <v>55</v>
      </c>
      <c r="P1663" s="30">
        <v>12195.94</v>
      </c>
      <c r="Q1663" s="3" t="s">
        <v>43</v>
      </c>
      <c r="R1663" s="3">
        <v>8</v>
      </c>
      <c r="S1663" s="3">
        <v>197</v>
      </c>
      <c r="T1663" s="3">
        <v>34.299999999999997</v>
      </c>
      <c r="U1663" s="3" t="s">
        <v>44</v>
      </c>
      <c r="V1663" s="18" t="s">
        <v>33</v>
      </c>
    </row>
    <row r="1664" spans="1:22" ht="15" customHeight="1" x14ac:dyDescent="0.25">
      <c r="A1664" s="15" t="s">
        <v>3037</v>
      </c>
      <c r="B1664" s="1" t="s">
        <v>3038</v>
      </c>
      <c r="C1664">
        <v>53</v>
      </c>
      <c r="D1664" s="1" t="s">
        <v>98</v>
      </c>
      <c r="E1664" s="1" t="s">
        <v>48</v>
      </c>
      <c r="F1664" s="1" t="s">
        <v>70</v>
      </c>
      <c r="G1664" s="1" t="s">
        <v>25</v>
      </c>
      <c r="H1664" s="1" t="s">
        <v>51</v>
      </c>
      <c r="I1664" s="6">
        <v>43498</v>
      </c>
      <c r="J1664" s="7">
        <v>43511</v>
      </c>
      <c r="K1664" s="1">
        <v>13</v>
      </c>
      <c r="L1664" s="1" t="s">
        <v>231</v>
      </c>
      <c r="M1664" s="1" t="s">
        <v>53</v>
      </c>
      <c r="N1664" s="1" t="s">
        <v>248</v>
      </c>
      <c r="O1664" s="1" t="s">
        <v>30</v>
      </c>
      <c r="P1664" s="29">
        <v>19502.98</v>
      </c>
      <c r="Q1664" s="1" t="s">
        <v>484</v>
      </c>
      <c r="R1664" s="1">
        <v>11</v>
      </c>
      <c r="S1664" s="1">
        <v>183</v>
      </c>
      <c r="T1664" s="1">
        <v>19.899999999999999</v>
      </c>
      <c r="U1664" s="1" t="s">
        <v>32</v>
      </c>
      <c r="V1664" s="17" t="s">
        <v>33</v>
      </c>
    </row>
    <row r="1665" spans="1:22" ht="15" customHeight="1" x14ac:dyDescent="0.25">
      <c r="A1665" s="16" t="s">
        <v>3039</v>
      </c>
      <c r="B1665" s="3" t="s">
        <v>1662</v>
      </c>
      <c r="C1665">
        <v>52</v>
      </c>
      <c r="D1665" s="3" t="s">
        <v>98</v>
      </c>
      <c r="E1665" s="3" t="s">
        <v>48</v>
      </c>
      <c r="F1665" s="3" t="s">
        <v>76</v>
      </c>
      <c r="G1665" s="3" t="s">
        <v>50</v>
      </c>
      <c r="H1665" s="3" t="s">
        <v>26</v>
      </c>
      <c r="I1665" s="8">
        <v>45589</v>
      </c>
      <c r="J1665" s="8">
        <v>45362</v>
      </c>
      <c r="K1665" s="3">
        <v>10</v>
      </c>
      <c r="L1665" s="3" t="s">
        <v>185</v>
      </c>
      <c r="M1665" s="3" t="s">
        <v>186</v>
      </c>
      <c r="N1665" s="3" t="s">
        <v>116</v>
      </c>
      <c r="O1665" s="3" t="s">
        <v>42</v>
      </c>
      <c r="P1665" s="30">
        <v>39855.199999999997</v>
      </c>
      <c r="Q1665" s="3" t="s">
        <v>623</v>
      </c>
      <c r="R1665" s="3">
        <v>9</v>
      </c>
      <c r="S1665" s="3">
        <v>317</v>
      </c>
      <c r="T1665" s="3">
        <v>28</v>
      </c>
      <c r="U1665" s="3" t="s">
        <v>32</v>
      </c>
      <c r="V1665" s="18" t="s">
        <v>45</v>
      </c>
    </row>
    <row r="1666" spans="1:22" ht="15" customHeight="1" x14ac:dyDescent="0.25">
      <c r="A1666" s="15" t="s">
        <v>3040</v>
      </c>
      <c r="B1666" s="2" t="s">
        <v>3688</v>
      </c>
      <c r="C1666">
        <v>51</v>
      </c>
      <c r="D1666" s="1" t="s">
        <v>98</v>
      </c>
      <c r="E1666" s="1" t="s">
        <v>48</v>
      </c>
      <c r="F1666" s="1" t="s">
        <v>24</v>
      </c>
      <c r="G1666" s="1" t="s">
        <v>131</v>
      </c>
      <c r="H1666" s="1" t="s">
        <v>26</v>
      </c>
      <c r="I1666" s="7">
        <v>45542</v>
      </c>
      <c r="J1666" s="7">
        <v>45547</v>
      </c>
      <c r="K1666" s="1">
        <v>5</v>
      </c>
      <c r="L1666" s="1" t="s">
        <v>39</v>
      </c>
      <c r="M1666" s="1" t="s">
        <v>40</v>
      </c>
      <c r="N1666" s="1" t="s">
        <v>133</v>
      </c>
      <c r="O1666" s="1" t="s">
        <v>104</v>
      </c>
      <c r="P1666" s="29">
        <v>24715.85</v>
      </c>
      <c r="Q1666" s="1" t="s">
        <v>695</v>
      </c>
      <c r="R1666" s="1">
        <v>6</v>
      </c>
      <c r="S1666" s="1">
        <v>315</v>
      </c>
      <c r="T1666" s="1">
        <v>22.8</v>
      </c>
      <c r="U1666" s="1" t="s">
        <v>44</v>
      </c>
      <c r="V1666" s="17" t="s">
        <v>33</v>
      </c>
    </row>
    <row r="1667" spans="1:22" ht="15" customHeight="1" x14ac:dyDescent="0.25">
      <c r="A1667" s="16" t="s">
        <v>3041</v>
      </c>
      <c r="B1667" s="3" t="s">
        <v>3042</v>
      </c>
      <c r="C1667">
        <v>62</v>
      </c>
      <c r="D1667" s="3" t="s">
        <v>59</v>
      </c>
      <c r="E1667" s="3" t="s">
        <v>48</v>
      </c>
      <c r="F1667" s="3" t="s">
        <v>83</v>
      </c>
      <c r="G1667" s="3" t="s">
        <v>71</v>
      </c>
      <c r="H1667" s="3" t="s">
        <v>78</v>
      </c>
      <c r="I1667" s="8">
        <v>44322</v>
      </c>
      <c r="J1667" s="8">
        <v>44444</v>
      </c>
      <c r="K1667" s="3">
        <v>3</v>
      </c>
      <c r="L1667" s="3" t="s">
        <v>89</v>
      </c>
      <c r="M1667" s="3" t="s">
        <v>90</v>
      </c>
      <c r="N1667" s="3" t="s">
        <v>177</v>
      </c>
      <c r="O1667" s="3" t="s">
        <v>42</v>
      </c>
      <c r="P1667" s="30">
        <v>15242.34</v>
      </c>
      <c r="Q1667" s="3" t="s">
        <v>374</v>
      </c>
      <c r="R1667" s="3">
        <v>3</v>
      </c>
      <c r="S1667" s="3">
        <v>202</v>
      </c>
      <c r="T1667" s="3">
        <v>28.6</v>
      </c>
      <c r="U1667" s="3" t="s">
        <v>86</v>
      </c>
      <c r="V1667" s="18" t="s">
        <v>33</v>
      </c>
    </row>
    <row r="1668" spans="1:22" ht="15" customHeight="1" x14ac:dyDescent="0.25">
      <c r="A1668" s="15" t="s">
        <v>3043</v>
      </c>
      <c r="B1668" s="1" t="s">
        <v>3044</v>
      </c>
      <c r="C1668">
        <v>63</v>
      </c>
      <c r="D1668" s="1" t="s">
        <v>59</v>
      </c>
      <c r="E1668" s="1" t="s">
        <v>23</v>
      </c>
      <c r="F1668" s="1" t="s">
        <v>83</v>
      </c>
      <c r="G1668" s="1" t="s">
        <v>38</v>
      </c>
      <c r="H1668" s="1" t="s">
        <v>26</v>
      </c>
      <c r="I1668" s="7">
        <v>45160</v>
      </c>
      <c r="J1668" s="7">
        <v>45165</v>
      </c>
      <c r="K1668" s="1">
        <v>5</v>
      </c>
      <c r="L1668" s="1" t="s">
        <v>102</v>
      </c>
      <c r="M1668" s="1" t="s">
        <v>28</v>
      </c>
      <c r="N1668" s="1" t="s">
        <v>41</v>
      </c>
      <c r="O1668" s="1" t="s">
        <v>55</v>
      </c>
      <c r="P1668" s="29">
        <v>35532.44</v>
      </c>
      <c r="Q1668" s="1" t="s">
        <v>43</v>
      </c>
      <c r="R1668" s="1">
        <v>8</v>
      </c>
      <c r="S1668" s="1">
        <v>486</v>
      </c>
      <c r="T1668" s="1">
        <v>35</v>
      </c>
      <c r="U1668" s="1" t="s">
        <v>44</v>
      </c>
      <c r="V1668" s="17" t="s">
        <v>33</v>
      </c>
    </row>
    <row r="1669" spans="1:22" ht="15" customHeight="1" x14ac:dyDescent="0.25">
      <c r="A1669" s="16" t="s">
        <v>3045</v>
      </c>
      <c r="B1669" s="3" t="s">
        <v>1194</v>
      </c>
      <c r="C1669">
        <v>92</v>
      </c>
      <c r="D1669" s="3" t="s">
        <v>36</v>
      </c>
      <c r="E1669" s="3" t="s">
        <v>48</v>
      </c>
      <c r="F1669" s="3" t="s">
        <v>37</v>
      </c>
      <c r="G1669" s="3" t="s">
        <v>256</v>
      </c>
      <c r="H1669" s="3" t="s">
        <v>26</v>
      </c>
      <c r="I1669" s="8">
        <v>43654</v>
      </c>
      <c r="J1669" s="8">
        <v>43656</v>
      </c>
      <c r="K1669" s="3">
        <v>2</v>
      </c>
      <c r="L1669" s="3" t="s">
        <v>132</v>
      </c>
      <c r="M1669" s="3" t="s">
        <v>53</v>
      </c>
      <c r="N1669" s="3" t="s">
        <v>346</v>
      </c>
      <c r="O1669" s="3" t="s">
        <v>42</v>
      </c>
      <c r="P1669" s="30">
        <v>114430.36</v>
      </c>
      <c r="Q1669" s="3" t="s">
        <v>259</v>
      </c>
      <c r="R1669" s="3">
        <v>5</v>
      </c>
      <c r="S1669" s="3">
        <v>417</v>
      </c>
      <c r="T1669" s="3">
        <v>19</v>
      </c>
      <c r="U1669" s="3" t="s">
        <v>32</v>
      </c>
      <c r="V1669" s="18" t="s">
        <v>33</v>
      </c>
    </row>
    <row r="1670" spans="1:22" ht="15" customHeight="1" x14ac:dyDescent="0.25">
      <c r="A1670" s="15" t="s">
        <v>3046</v>
      </c>
      <c r="B1670" s="1" t="s">
        <v>3047</v>
      </c>
      <c r="C1670">
        <v>59</v>
      </c>
      <c r="D1670" s="1" t="s">
        <v>59</v>
      </c>
      <c r="E1670" s="1" t="s">
        <v>23</v>
      </c>
      <c r="F1670" s="1" t="s">
        <v>83</v>
      </c>
      <c r="G1670" s="1" t="s">
        <v>77</v>
      </c>
      <c r="H1670" s="1" t="s">
        <v>78</v>
      </c>
      <c r="I1670" s="7">
        <v>43786</v>
      </c>
      <c r="J1670" s="7">
        <v>43793</v>
      </c>
      <c r="K1670" s="1">
        <v>7</v>
      </c>
      <c r="L1670" s="1" t="s">
        <v>27</v>
      </c>
      <c r="M1670" s="1" t="s">
        <v>28</v>
      </c>
      <c r="N1670" s="1" t="s">
        <v>94</v>
      </c>
      <c r="O1670" s="1" t="s">
        <v>55</v>
      </c>
      <c r="P1670" s="29">
        <v>50241.120000000003</v>
      </c>
      <c r="Q1670" s="1" t="s">
        <v>91</v>
      </c>
      <c r="R1670" s="1">
        <v>10</v>
      </c>
      <c r="S1670" s="1">
        <v>220</v>
      </c>
      <c r="T1670" s="1">
        <v>37.5</v>
      </c>
      <c r="U1670" s="1" t="s">
        <v>32</v>
      </c>
      <c r="V1670" s="17" t="s">
        <v>33</v>
      </c>
    </row>
    <row r="1671" spans="1:22" ht="15" customHeight="1" x14ac:dyDescent="0.25">
      <c r="A1671" s="16" t="s">
        <v>3048</v>
      </c>
      <c r="B1671" s="3" t="s">
        <v>3049</v>
      </c>
      <c r="C1671">
        <v>47</v>
      </c>
      <c r="D1671" s="3" t="s">
        <v>98</v>
      </c>
      <c r="E1671" s="3" t="s">
        <v>23</v>
      </c>
      <c r="F1671" s="3" t="s">
        <v>37</v>
      </c>
      <c r="G1671" s="3" t="s">
        <v>50</v>
      </c>
      <c r="H1671" s="3" t="s">
        <v>26</v>
      </c>
      <c r="I1671" s="6">
        <v>45188</v>
      </c>
      <c r="J1671" s="8">
        <v>45199</v>
      </c>
      <c r="K1671" s="3">
        <v>11</v>
      </c>
      <c r="L1671" s="3" t="s">
        <v>102</v>
      </c>
      <c r="M1671" s="3" t="s">
        <v>28</v>
      </c>
      <c r="N1671" s="3" t="s">
        <v>54</v>
      </c>
      <c r="O1671" s="3" t="s">
        <v>30</v>
      </c>
      <c r="P1671" s="30">
        <v>27066.45</v>
      </c>
      <c r="Q1671" s="3" t="s">
        <v>85</v>
      </c>
      <c r="R1671" s="3">
        <v>7</v>
      </c>
      <c r="S1671" s="3">
        <v>395</v>
      </c>
      <c r="T1671" s="3">
        <v>21.6</v>
      </c>
      <c r="U1671" s="3" t="s">
        <v>32</v>
      </c>
      <c r="V1671" s="18" t="s">
        <v>33</v>
      </c>
    </row>
    <row r="1672" spans="1:22" ht="15" customHeight="1" x14ac:dyDescent="0.25">
      <c r="A1672" s="15" t="s">
        <v>3050</v>
      </c>
      <c r="B1672" s="1" t="s">
        <v>3051</v>
      </c>
      <c r="C1672">
        <v>63</v>
      </c>
      <c r="D1672" s="1" t="s">
        <v>59</v>
      </c>
      <c r="E1672" s="1" t="s">
        <v>48</v>
      </c>
      <c r="F1672" s="1" t="s">
        <v>83</v>
      </c>
      <c r="G1672" s="1" t="s">
        <v>71</v>
      </c>
      <c r="H1672" s="1" t="s">
        <v>156</v>
      </c>
      <c r="I1672" s="7">
        <v>45587</v>
      </c>
      <c r="J1672" s="7">
        <v>45591</v>
      </c>
      <c r="K1672" s="1">
        <v>4</v>
      </c>
      <c r="L1672" s="1" t="s">
        <v>122</v>
      </c>
      <c r="M1672" s="1" t="s">
        <v>40</v>
      </c>
      <c r="N1672" s="1" t="s">
        <v>312</v>
      </c>
      <c r="O1672" s="1" t="s">
        <v>30</v>
      </c>
      <c r="P1672" s="29">
        <v>8586.27</v>
      </c>
      <c r="Q1672" s="1" t="s">
        <v>170</v>
      </c>
      <c r="R1672" s="1">
        <v>4</v>
      </c>
      <c r="S1672" s="1">
        <v>228</v>
      </c>
      <c r="T1672" s="1">
        <v>29.2</v>
      </c>
      <c r="U1672" s="1" t="s">
        <v>32</v>
      </c>
      <c r="V1672" s="17" t="s">
        <v>45</v>
      </c>
    </row>
    <row r="1673" spans="1:22" ht="15" customHeight="1" x14ac:dyDescent="0.25">
      <c r="A1673" s="16" t="s">
        <v>3052</v>
      </c>
      <c r="B1673" s="3" t="s">
        <v>2608</v>
      </c>
      <c r="C1673">
        <v>66</v>
      </c>
      <c r="D1673" s="3" t="s">
        <v>82</v>
      </c>
      <c r="E1673" s="3" t="s">
        <v>48</v>
      </c>
      <c r="F1673" s="3" t="s">
        <v>83</v>
      </c>
      <c r="G1673" s="3" t="s">
        <v>131</v>
      </c>
      <c r="H1673" s="3" t="s">
        <v>51</v>
      </c>
      <c r="I1673" s="6">
        <v>44243</v>
      </c>
      <c r="J1673" s="8">
        <v>44245</v>
      </c>
      <c r="K1673" s="3">
        <v>2</v>
      </c>
      <c r="L1673" s="3" t="s">
        <v>132</v>
      </c>
      <c r="M1673" s="3" t="s">
        <v>53</v>
      </c>
      <c r="N1673" s="3" t="s">
        <v>133</v>
      </c>
      <c r="O1673" s="3" t="s">
        <v>42</v>
      </c>
      <c r="P1673" s="30">
        <v>44431</v>
      </c>
      <c r="Q1673" s="3" t="s">
        <v>152</v>
      </c>
      <c r="R1673" s="3">
        <v>7</v>
      </c>
      <c r="S1673" s="3">
        <v>103</v>
      </c>
      <c r="T1673" s="3">
        <v>31.5</v>
      </c>
      <c r="U1673" s="3" t="s">
        <v>44</v>
      </c>
      <c r="V1673" s="18" t="s">
        <v>33</v>
      </c>
    </row>
    <row r="1674" spans="1:22" ht="15" customHeight="1" x14ac:dyDescent="0.25">
      <c r="A1674" s="15" t="s">
        <v>3053</v>
      </c>
      <c r="B1674" s="2" t="s">
        <v>3689</v>
      </c>
      <c r="C1674">
        <v>60</v>
      </c>
      <c r="D1674" s="1" t="s">
        <v>59</v>
      </c>
      <c r="E1674" s="1" t="s">
        <v>48</v>
      </c>
      <c r="F1674" s="1" t="s">
        <v>155</v>
      </c>
      <c r="G1674" s="1" t="s">
        <v>131</v>
      </c>
      <c r="H1674" s="1" t="s">
        <v>51</v>
      </c>
      <c r="I1674" s="7">
        <v>45214</v>
      </c>
      <c r="J1674" s="7">
        <v>45218</v>
      </c>
      <c r="K1674" s="1">
        <v>4</v>
      </c>
      <c r="L1674" s="1" t="s">
        <v>102</v>
      </c>
      <c r="M1674" s="1" t="s">
        <v>28</v>
      </c>
      <c r="N1674" s="1" t="s">
        <v>157</v>
      </c>
      <c r="O1674" s="1" t="s">
        <v>42</v>
      </c>
      <c r="P1674" s="29">
        <v>16763.16</v>
      </c>
      <c r="Q1674" s="1" t="s">
        <v>291</v>
      </c>
      <c r="R1674" s="1">
        <v>7</v>
      </c>
      <c r="S1674" s="1">
        <v>163</v>
      </c>
      <c r="T1674" s="1">
        <v>22.6</v>
      </c>
      <c r="U1674" s="1" t="s">
        <v>32</v>
      </c>
      <c r="V1674" s="17" t="s">
        <v>33</v>
      </c>
    </row>
    <row r="1675" spans="1:22" ht="15" customHeight="1" x14ac:dyDescent="0.25">
      <c r="A1675" s="16" t="s">
        <v>3054</v>
      </c>
      <c r="B1675" s="3" t="s">
        <v>2067</v>
      </c>
      <c r="C1675">
        <v>27</v>
      </c>
      <c r="D1675" s="3" t="s">
        <v>47</v>
      </c>
      <c r="E1675" s="3" t="s">
        <v>23</v>
      </c>
      <c r="F1675" s="3" t="s">
        <v>70</v>
      </c>
      <c r="G1675" s="3" t="s">
        <v>77</v>
      </c>
      <c r="H1675" s="3" t="s">
        <v>26</v>
      </c>
      <c r="I1675" s="8">
        <v>43773</v>
      </c>
      <c r="J1675" s="8">
        <v>43783</v>
      </c>
      <c r="K1675" s="3">
        <v>10</v>
      </c>
      <c r="L1675" s="3" t="s">
        <v>112</v>
      </c>
      <c r="M1675" s="3" t="s">
        <v>40</v>
      </c>
      <c r="N1675" s="3" t="s">
        <v>79</v>
      </c>
      <c r="O1675" s="3" t="s">
        <v>104</v>
      </c>
      <c r="P1675" s="30">
        <v>32328.560000000001</v>
      </c>
      <c r="Q1675" s="3" t="s">
        <v>109</v>
      </c>
      <c r="R1675" s="3">
        <v>10</v>
      </c>
      <c r="S1675" s="3">
        <v>372</v>
      </c>
      <c r="T1675" s="3">
        <v>23.5</v>
      </c>
      <c r="U1675" s="3" t="s">
        <v>44</v>
      </c>
      <c r="V1675" s="18" t="s">
        <v>45</v>
      </c>
    </row>
    <row r="1676" spans="1:22" ht="15" customHeight="1" x14ac:dyDescent="0.25">
      <c r="A1676" s="15" t="s">
        <v>3055</v>
      </c>
      <c r="B1676" s="1" t="s">
        <v>2213</v>
      </c>
      <c r="C1676">
        <v>70</v>
      </c>
      <c r="D1676" s="1" t="s">
        <v>82</v>
      </c>
      <c r="E1676" s="1" t="s">
        <v>48</v>
      </c>
      <c r="F1676" s="1" t="s">
        <v>83</v>
      </c>
      <c r="G1676" s="1" t="s">
        <v>25</v>
      </c>
      <c r="H1676" s="1" t="s">
        <v>26</v>
      </c>
      <c r="I1676" s="6">
        <v>44624</v>
      </c>
      <c r="J1676" s="7">
        <v>44634</v>
      </c>
      <c r="K1676" s="1">
        <v>10</v>
      </c>
      <c r="L1676" s="1" t="s">
        <v>122</v>
      </c>
      <c r="M1676" s="1" t="s">
        <v>40</v>
      </c>
      <c r="N1676" s="1" t="s">
        <v>29</v>
      </c>
      <c r="O1676" s="1" t="s">
        <v>66</v>
      </c>
      <c r="P1676" s="29">
        <v>244884</v>
      </c>
      <c r="Q1676" s="1" t="s">
        <v>105</v>
      </c>
      <c r="R1676" s="1">
        <v>10</v>
      </c>
      <c r="S1676" s="1">
        <v>127</v>
      </c>
      <c r="T1676" s="1">
        <v>18.7</v>
      </c>
      <c r="U1676" s="1" t="s">
        <v>44</v>
      </c>
      <c r="V1676" s="17" t="s">
        <v>33</v>
      </c>
    </row>
    <row r="1677" spans="1:22" ht="15" customHeight="1" x14ac:dyDescent="0.25">
      <c r="A1677" s="16" t="s">
        <v>3056</v>
      </c>
      <c r="B1677" s="3" t="s">
        <v>3057</v>
      </c>
      <c r="C1677">
        <v>65</v>
      </c>
      <c r="D1677" s="3" t="s">
        <v>82</v>
      </c>
      <c r="E1677" s="3" t="s">
        <v>23</v>
      </c>
      <c r="F1677" s="3" t="s">
        <v>155</v>
      </c>
      <c r="G1677" s="3" t="s">
        <v>77</v>
      </c>
      <c r="H1677" s="3" t="s">
        <v>78</v>
      </c>
      <c r="I1677" s="8">
        <v>45384</v>
      </c>
      <c r="J1677" s="8">
        <v>45393</v>
      </c>
      <c r="K1677" s="3">
        <v>9</v>
      </c>
      <c r="L1677" s="3" t="s">
        <v>112</v>
      </c>
      <c r="M1677" s="3" t="s">
        <v>40</v>
      </c>
      <c r="N1677" s="3" t="s">
        <v>79</v>
      </c>
      <c r="O1677" s="3" t="s">
        <v>30</v>
      </c>
      <c r="P1677" s="30">
        <v>73001</v>
      </c>
      <c r="Q1677" s="3" t="s">
        <v>109</v>
      </c>
      <c r="R1677" s="3">
        <v>6</v>
      </c>
      <c r="S1677" s="3">
        <v>215</v>
      </c>
      <c r="T1677" s="3">
        <v>30.2</v>
      </c>
      <c r="U1677" s="3" t="s">
        <v>44</v>
      </c>
      <c r="V1677" s="18" t="s">
        <v>33</v>
      </c>
    </row>
    <row r="1678" spans="1:22" ht="15" customHeight="1" x14ac:dyDescent="0.25">
      <c r="A1678" s="15" t="s">
        <v>3058</v>
      </c>
      <c r="B1678" s="1" t="s">
        <v>1514</v>
      </c>
      <c r="C1678">
        <v>91</v>
      </c>
      <c r="D1678" s="1" t="s">
        <v>36</v>
      </c>
      <c r="E1678" s="1" t="s">
        <v>48</v>
      </c>
      <c r="F1678" s="1" t="s">
        <v>70</v>
      </c>
      <c r="G1678" s="1" t="s">
        <v>562</v>
      </c>
      <c r="H1678" s="1" t="s">
        <v>51</v>
      </c>
      <c r="I1678" s="7">
        <v>44268</v>
      </c>
      <c r="J1678" s="7">
        <v>44273</v>
      </c>
      <c r="K1678" s="1">
        <v>5</v>
      </c>
      <c r="L1678" s="1" t="s">
        <v>132</v>
      </c>
      <c r="M1678" s="1" t="s">
        <v>53</v>
      </c>
      <c r="N1678" s="1" t="s">
        <v>133</v>
      </c>
      <c r="O1678" s="1" t="s">
        <v>42</v>
      </c>
      <c r="P1678" s="29">
        <v>33993</v>
      </c>
      <c r="Q1678" s="1" t="s">
        <v>148</v>
      </c>
      <c r="R1678" s="1">
        <v>5</v>
      </c>
      <c r="S1678" s="1">
        <v>146</v>
      </c>
      <c r="T1678" s="1">
        <v>24.2</v>
      </c>
      <c r="U1678" s="1" t="s">
        <v>44</v>
      </c>
      <c r="V1678" s="17" t="s">
        <v>33</v>
      </c>
    </row>
    <row r="1679" spans="1:22" ht="15" customHeight="1" x14ac:dyDescent="0.25">
      <c r="A1679" s="16" t="s">
        <v>3059</v>
      </c>
      <c r="B1679" s="3" t="s">
        <v>3060</v>
      </c>
      <c r="C1679">
        <v>69</v>
      </c>
      <c r="D1679" s="3" t="s">
        <v>82</v>
      </c>
      <c r="E1679" s="3" t="s">
        <v>48</v>
      </c>
      <c r="F1679" s="3" t="s">
        <v>37</v>
      </c>
      <c r="G1679" s="3" t="s">
        <v>163</v>
      </c>
      <c r="H1679" s="3" t="s">
        <v>51</v>
      </c>
      <c r="I1679" s="8">
        <v>45026</v>
      </c>
      <c r="J1679" s="8">
        <v>45029</v>
      </c>
      <c r="K1679" s="3">
        <v>3</v>
      </c>
      <c r="L1679" s="3" t="s">
        <v>231</v>
      </c>
      <c r="M1679" s="3" t="s">
        <v>53</v>
      </c>
      <c r="N1679" s="3" t="s">
        <v>213</v>
      </c>
      <c r="O1679" s="3" t="s">
        <v>30</v>
      </c>
      <c r="P1679" s="30">
        <v>43412.639999999999</v>
      </c>
      <c r="Q1679" s="3" t="s">
        <v>62</v>
      </c>
      <c r="R1679" s="3">
        <v>6</v>
      </c>
      <c r="S1679" s="3">
        <v>108</v>
      </c>
      <c r="T1679" s="3">
        <v>27.2</v>
      </c>
      <c r="U1679" s="3" t="s">
        <v>44</v>
      </c>
      <c r="V1679" s="18" t="s">
        <v>33</v>
      </c>
    </row>
    <row r="1680" spans="1:22" ht="15" customHeight="1" x14ac:dyDescent="0.25">
      <c r="A1680" s="15" t="s">
        <v>3061</v>
      </c>
      <c r="B1680" s="2" t="s">
        <v>2605</v>
      </c>
      <c r="C1680">
        <v>63</v>
      </c>
      <c r="D1680" s="1" t="s">
        <v>59</v>
      </c>
      <c r="E1680" s="1" t="s">
        <v>23</v>
      </c>
      <c r="F1680" s="1" t="s">
        <v>83</v>
      </c>
      <c r="G1680" s="1" t="s">
        <v>131</v>
      </c>
      <c r="H1680" s="1" t="s">
        <v>26</v>
      </c>
      <c r="I1680" s="7">
        <v>44914</v>
      </c>
      <c r="J1680" s="7">
        <v>44958</v>
      </c>
      <c r="K1680" s="1">
        <v>14</v>
      </c>
      <c r="L1680" s="1" t="s">
        <v>102</v>
      </c>
      <c r="M1680" s="1" t="s">
        <v>28</v>
      </c>
      <c r="N1680" s="1" t="s">
        <v>147</v>
      </c>
      <c r="O1680" s="1" t="s">
        <v>30</v>
      </c>
      <c r="P1680" s="29">
        <v>47280.03</v>
      </c>
      <c r="Q1680" s="1" t="s">
        <v>158</v>
      </c>
      <c r="R1680" s="1">
        <v>6</v>
      </c>
      <c r="S1680" s="1">
        <v>346</v>
      </c>
      <c r="T1680" s="1">
        <v>25.3</v>
      </c>
      <c r="U1680" s="1" t="s">
        <v>86</v>
      </c>
      <c r="V1680" s="17" t="s">
        <v>33</v>
      </c>
    </row>
    <row r="1681" spans="1:22" ht="15" customHeight="1" x14ac:dyDescent="0.25">
      <c r="A1681" s="16" t="s">
        <v>3062</v>
      </c>
      <c r="B1681" s="3" t="s">
        <v>3063</v>
      </c>
      <c r="C1681">
        <v>85</v>
      </c>
      <c r="D1681" s="3" t="s">
        <v>36</v>
      </c>
      <c r="E1681" s="3" t="s">
        <v>23</v>
      </c>
      <c r="F1681" s="3" t="s">
        <v>37</v>
      </c>
      <c r="G1681" s="3" t="s">
        <v>50</v>
      </c>
      <c r="H1681" s="3" t="s">
        <v>78</v>
      </c>
      <c r="I1681" s="8">
        <v>44115</v>
      </c>
      <c r="J1681" s="8">
        <v>44132</v>
      </c>
      <c r="K1681" s="3">
        <v>17</v>
      </c>
      <c r="L1681" s="3" t="s">
        <v>27</v>
      </c>
      <c r="M1681" s="3" t="s">
        <v>28</v>
      </c>
      <c r="N1681" s="3" t="s">
        <v>126</v>
      </c>
      <c r="O1681" s="3" t="s">
        <v>104</v>
      </c>
      <c r="P1681" s="30">
        <v>32779.65</v>
      </c>
      <c r="Q1681" s="3" t="s">
        <v>144</v>
      </c>
      <c r="R1681" s="3">
        <v>8</v>
      </c>
      <c r="S1681" s="3">
        <v>236</v>
      </c>
      <c r="T1681" s="4"/>
      <c r="U1681" s="3" t="s">
        <v>44</v>
      </c>
      <c r="V1681" s="18" t="s">
        <v>45</v>
      </c>
    </row>
    <row r="1682" spans="1:22" ht="15" customHeight="1" x14ac:dyDescent="0.25">
      <c r="A1682" s="15" t="s">
        <v>3064</v>
      </c>
      <c r="B1682" s="1" t="s">
        <v>3065</v>
      </c>
      <c r="C1682">
        <v>73</v>
      </c>
      <c r="D1682" s="1" t="s">
        <v>82</v>
      </c>
      <c r="E1682" s="1" t="s">
        <v>48</v>
      </c>
      <c r="F1682" s="1" t="s">
        <v>70</v>
      </c>
      <c r="G1682" s="1" t="s">
        <v>131</v>
      </c>
      <c r="H1682" s="1" t="s">
        <v>78</v>
      </c>
      <c r="I1682" s="6">
        <v>43918</v>
      </c>
      <c r="J1682" s="7">
        <v>43922</v>
      </c>
      <c r="K1682" s="1">
        <v>4</v>
      </c>
      <c r="L1682" s="1" t="s">
        <v>27</v>
      </c>
      <c r="M1682" s="1" t="s">
        <v>28</v>
      </c>
      <c r="N1682" s="1" t="s">
        <v>157</v>
      </c>
      <c r="O1682" s="1" t="s">
        <v>3565</v>
      </c>
      <c r="P1682" s="29">
        <v>30879.16</v>
      </c>
      <c r="Q1682" s="1" t="s">
        <v>134</v>
      </c>
      <c r="R1682" s="1">
        <v>5</v>
      </c>
      <c r="S1682" s="1">
        <v>201</v>
      </c>
      <c r="T1682" s="1">
        <v>19.5</v>
      </c>
      <c r="U1682" s="1" t="s">
        <v>86</v>
      </c>
      <c r="V1682" s="17" t="s">
        <v>33</v>
      </c>
    </row>
    <row r="1683" spans="1:22" ht="15" customHeight="1" x14ac:dyDescent="0.25">
      <c r="A1683" s="16" t="s">
        <v>3066</v>
      </c>
      <c r="B1683" s="3" t="s">
        <v>3067</v>
      </c>
      <c r="C1683">
        <v>86</v>
      </c>
      <c r="D1683" s="3" t="s">
        <v>36</v>
      </c>
      <c r="E1683" s="3" t="s">
        <v>48</v>
      </c>
      <c r="F1683" s="3" t="s">
        <v>83</v>
      </c>
      <c r="G1683" s="3" t="s">
        <v>562</v>
      </c>
      <c r="H1683" s="3" t="s">
        <v>51</v>
      </c>
      <c r="I1683" s="8">
        <v>44489</v>
      </c>
      <c r="J1683" s="8">
        <v>44492</v>
      </c>
      <c r="K1683" s="3">
        <v>3</v>
      </c>
      <c r="L1683" s="3" t="s">
        <v>39</v>
      </c>
      <c r="M1683" s="3" t="s">
        <v>40</v>
      </c>
      <c r="N1683" s="3" t="s">
        <v>147</v>
      </c>
      <c r="O1683" s="3" t="s">
        <v>55</v>
      </c>
      <c r="P1683" s="30">
        <v>26697.41</v>
      </c>
      <c r="Q1683" s="3" t="s">
        <v>134</v>
      </c>
      <c r="R1683" s="3">
        <v>5</v>
      </c>
      <c r="S1683" s="3">
        <v>180</v>
      </c>
      <c r="T1683" s="3">
        <v>31.5</v>
      </c>
      <c r="U1683" s="3" t="s">
        <v>44</v>
      </c>
      <c r="V1683" s="18" t="s">
        <v>33</v>
      </c>
    </row>
    <row r="1684" spans="1:22" ht="15" customHeight="1" x14ac:dyDescent="0.25">
      <c r="A1684" s="15" t="s">
        <v>3068</v>
      </c>
      <c r="B1684" s="1" t="s">
        <v>3069</v>
      </c>
      <c r="C1684">
        <v>21</v>
      </c>
      <c r="D1684" s="1" t="s">
        <v>47</v>
      </c>
      <c r="E1684" s="1" t="s">
        <v>48</v>
      </c>
      <c r="F1684" s="1" t="s">
        <v>76</v>
      </c>
      <c r="G1684" s="1" t="s">
        <v>60</v>
      </c>
      <c r="H1684" s="1" t="s">
        <v>51</v>
      </c>
      <c r="I1684" s="6">
        <v>45233</v>
      </c>
      <c r="J1684" s="7">
        <v>45005</v>
      </c>
      <c r="K1684" s="1">
        <v>9</v>
      </c>
      <c r="L1684" s="1" t="s">
        <v>185</v>
      </c>
      <c r="M1684" s="1" t="s">
        <v>186</v>
      </c>
      <c r="N1684" s="1" t="s">
        <v>210</v>
      </c>
      <c r="O1684" s="1" t="s">
        <v>30</v>
      </c>
      <c r="P1684" s="29">
        <v>20231.61</v>
      </c>
      <c r="Q1684" s="1" t="s">
        <v>62</v>
      </c>
      <c r="R1684" s="1">
        <v>5</v>
      </c>
      <c r="S1684" s="1">
        <v>102</v>
      </c>
      <c r="T1684" s="1">
        <v>30.5</v>
      </c>
      <c r="U1684" s="1" t="s">
        <v>86</v>
      </c>
      <c r="V1684" s="17" t="s">
        <v>33</v>
      </c>
    </row>
    <row r="1685" spans="1:22" ht="15" customHeight="1" x14ac:dyDescent="0.25">
      <c r="A1685" s="16" t="s">
        <v>3070</v>
      </c>
      <c r="B1685" s="3" t="s">
        <v>3071</v>
      </c>
      <c r="C1685">
        <v>73</v>
      </c>
      <c r="D1685" s="3" t="s">
        <v>82</v>
      </c>
      <c r="E1685" s="3" t="s">
        <v>23</v>
      </c>
      <c r="F1685" s="3" t="s">
        <v>76</v>
      </c>
      <c r="G1685" s="3" t="s">
        <v>77</v>
      </c>
      <c r="H1685" s="3" t="s">
        <v>26</v>
      </c>
      <c r="I1685" s="8">
        <v>43584</v>
      </c>
      <c r="J1685" s="8">
        <v>43594</v>
      </c>
      <c r="K1685" s="3">
        <v>10</v>
      </c>
      <c r="L1685" s="3" t="s">
        <v>132</v>
      </c>
      <c r="M1685" s="3" t="s">
        <v>53</v>
      </c>
      <c r="N1685" s="3" t="s">
        <v>84</v>
      </c>
      <c r="O1685" s="3" t="s">
        <v>42</v>
      </c>
      <c r="P1685" s="30">
        <v>92113.4</v>
      </c>
      <c r="Q1685" s="3" t="s">
        <v>109</v>
      </c>
      <c r="R1685" s="3">
        <v>8</v>
      </c>
      <c r="S1685" s="3">
        <v>321</v>
      </c>
      <c r="T1685" s="3">
        <v>28.5</v>
      </c>
      <c r="U1685" s="3" t="s">
        <v>32</v>
      </c>
      <c r="V1685" s="18" t="s">
        <v>45</v>
      </c>
    </row>
    <row r="1686" spans="1:22" ht="15" customHeight="1" x14ac:dyDescent="0.25">
      <c r="A1686" s="15" t="s">
        <v>3072</v>
      </c>
      <c r="B1686" s="1" t="s">
        <v>942</v>
      </c>
      <c r="C1686">
        <v>26</v>
      </c>
      <c r="D1686" s="1" t="s">
        <v>47</v>
      </c>
      <c r="E1686" s="1" t="s">
        <v>23</v>
      </c>
      <c r="F1686" s="1" t="s">
        <v>99</v>
      </c>
      <c r="G1686" s="1" t="s">
        <v>77</v>
      </c>
      <c r="H1686" s="1" t="s">
        <v>26</v>
      </c>
      <c r="I1686" s="7">
        <v>44205</v>
      </c>
      <c r="J1686" s="7">
        <v>44215</v>
      </c>
      <c r="K1686" s="1">
        <v>10</v>
      </c>
      <c r="L1686" s="1" t="s">
        <v>89</v>
      </c>
      <c r="M1686" s="1" t="s">
        <v>90</v>
      </c>
      <c r="N1686" s="1" t="s">
        <v>94</v>
      </c>
      <c r="O1686" s="1" t="s">
        <v>30</v>
      </c>
      <c r="P1686" s="29">
        <v>24329.759999999998</v>
      </c>
      <c r="Q1686" s="1" t="s">
        <v>100</v>
      </c>
      <c r="R1686" s="1">
        <v>10</v>
      </c>
      <c r="S1686" s="1">
        <v>322</v>
      </c>
      <c r="T1686" s="1">
        <v>35</v>
      </c>
      <c r="U1686" s="1" t="s">
        <v>32</v>
      </c>
      <c r="V1686" s="17" t="s">
        <v>33</v>
      </c>
    </row>
    <row r="1687" spans="1:22" ht="15" customHeight="1" x14ac:dyDescent="0.25">
      <c r="A1687" s="16" t="s">
        <v>3073</v>
      </c>
      <c r="B1687" s="3" t="s">
        <v>3074</v>
      </c>
      <c r="C1687">
        <v>74</v>
      </c>
      <c r="D1687" s="3" t="s">
        <v>82</v>
      </c>
      <c r="E1687" s="3" t="s">
        <v>48</v>
      </c>
      <c r="F1687" s="3" t="s">
        <v>83</v>
      </c>
      <c r="G1687" s="3" t="s">
        <v>131</v>
      </c>
      <c r="H1687" s="3" t="s">
        <v>78</v>
      </c>
      <c r="I1687" s="8">
        <v>43736</v>
      </c>
      <c r="J1687" s="8">
        <v>43745</v>
      </c>
      <c r="K1687" s="3">
        <v>9</v>
      </c>
      <c r="L1687" s="3" t="s">
        <v>27</v>
      </c>
      <c r="M1687" s="3" t="s">
        <v>28</v>
      </c>
      <c r="N1687" s="3" t="s">
        <v>133</v>
      </c>
      <c r="O1687" s="3" t="s">
        <v>55</v>
      </c>
      <c r="P1687" s="30">
        <v>34258.660000000003</v>
      </c>
      <c r="Q1687" s="3" t="s">
        <v>148</v>
      </c>
      <c r="R1687" s="3">
        <v>6</v>
      </c>
      <c r="S1687" s="3">
        <v>493</v>
      </c>
      <c r="T1687" s="3">
        <v>14</v>
      </c>
      <c r="U1687" s="3" t="s">
        <v>44</v>
      </c>
      <c r="V1687" s="18" t="s">
        <v>33</v>
      </c>
    </row>
    <row r="1688" spans="1:22" ht="15" customHeight="1" x14ac:dyDescent="0.25">
      <c r="A1688" s="15" t="s">
        <v>3075</v>
      </c>
      <c r="B1688" s="1" t="s">
        <v>3076</v>
      </c>
      <c r="C1688">
        <v>52</v>
      </c>
      <c r="D1688" s="1" t="s">
        <v>98</v>
      </c>
      <c r="E1688" s="1" t="s">
        <v>23</v>
      </c>
      <c r="F1688" s="1" t="s">
        <v>37</v>
      </c>
      <c r="G1688" s="1" t="s">
        <v>163</v>
      </c>
      <c r="H1688" s="1" t="s">
        <v>26</v>
      </c>
      <c r="I1688" s="7">
        <v>43697</v>
      </c>
      <c r="J1688" s="7">
        <v>43701</v>
      </c>
      <c r="K1688" s="1">
        <v>4</v>
      </c>
      <c r="L1688" s="1" t="s">
        <v>39</v>
      </c>
      <c r="M1688" s="1" t="s">
        <v>40</v>
      </c>
      <c r="N1688" s="1" t="s">
        <v>213</v>
      </c>
      <c r="O1688" s="1" t="s">
        <v>104</v>
      </c>
      <c r="P1688" s="29">
        <v>33145.54</v>
      </c>
      <c r="Q1688" s="1" t="s">
        <v>165</v>
      </c>
      <c r="R1688" s="1">
        <v>1</v>
      </c>
      <c r="S1688" s="1">
        <v>242</v>
      </c>
      <c r="T1688" s="4"/>
      <c r="U1688" s="1" t="s">
        <v>32</v>
      </c>
      <c r="V1688" s="17" t="s">
        <v>33</v>
      </c>
    </row>
    <row r="1689" spans="1:22" ht="15" customHeight="1" x14ac:dyDescent="0.25">
      <c r="A1689" s="16" t="s">
        <v>3077</v>
      </c>
      <c r="B1689" s="3" t="s">
        <v>3078</v>
      </c>
      <c r="C1689">
        <v>79</v>
      </c>
      <c r="D1689" s="3" t="s">
        <v>36</v>
      </c>
      <c r="E1689" s="3" t="s">
        <v>48</v>
      </c>
      <c r="F1689" s="3" t="s">
        <v>99</v>
      </c>
      <c r="G1689" s="3" t="s">
        <v>870</v>
      </c>
      <c r="H1689" s="3" t="s">
        <v>51</v>
      </c>
      <c r="I1689" s="8">
        <v>44147</v>
      </c>
      <c r="J1689" s="8">
        <v>44150</v>
      </c>
      <c r="K1689" s="3">
        <v>3</v>
      </c>
      <c r="L1689" s="3" t="s">
        <v>231</v>
      </c>
      <c r="M1689" s="3" t="s">
        <v>53</v>
      </c>
      <c r="N1689" s="3" t="s">
        <v>157</v>
      </c>
      <c r="O1689" s="3" t="s">
        <v>66</v>
      </c>
      <c r="P1689" s="30">
        <v>21119</v>
      </c>
      <c r="Q1689" s="3" t="s">
        <v>152</v>
      </c>
      <c r="R1689" s="3">
        <v>7</v>
      </c>
      <c r="S1689" s="3">
        <v>150</v>
      </c>
      <c r="T1689" s="3">
        <v>31.6</v>
      </c>
      <c r="U1689" s="3" t="s">
        <v>86</v>
      </c>
      <c r="V1689" s="18" t="s">
        <v>33</v>
      </c>
    </row>
    <row r="1690" spans="1:22" ht="15" customHeight="1" x14ac:dyDescent="0.25">
      <c r="A1690" s="15" t="s">
        <v>3079</v>
      </c>
      <c r="B1690" s="1" t="s">
        <v>3080</v>
      </c>
      <c r="C1690">
        <v>72</v>
      </c>
      <c r="D1690" s="1" t="s">
        <v>82</v>
      </c>
      <c r="E1690" s="1" t="s">
        <v>23</v>
      </c>
      <c r="F1690" s="1" t="s">
        <v>24</v>
      </c>
      <c r="G1690" s="1" t="s">
        <v>38</v>
      </c>
      <c r="H1690" s="1" t="s">
        <v>51</v>
      </c>
      <c r="I1690" s="6">
        <v>44143</v>
      </c>
      <c r="J1690" s="10"/>
      <c r="K1690" s="1"/>
      <c r="L1690" s="1" t="s">
        <v>231</v>
      </c>
      <c r="M1690" s="1" t="s">
        <v>53</v>
      </c>
      <c r="N1690" s="1" t="s">
        <v>203</v>
      </c>
      <c r="O1690" s="1" t="s">
        <v>104</v>
      </c>
      <c r="P1690" s="29">
        <v>14263.59</v>
      </c>
      <c r="Q1690" s="1" t="s">
        <v>437</v>
      </c>
      <c r="R1690" s="1">
        <v>8</v>
      </c>
      <c r="S1690" s="1">
        <v>113</v>
      </c>
      <c r="T1690" s="1">
        <v>26.8</v>
      </c>
      <c r="U1690" s="1" t="s">
        <v>44</v>
      </c>
      <c r="V1690" s="17" t="s">
        <v>33</v>
      </c>
    </row>
    <row r="1691" spans="1:22" ht="15" customHeight="1" x14ac:dyDescent="0.25">
      <c r="A1691" s="16" t="s">
        <v>3081</v>
      </c>
      <c r="B1691" s="3" t="s">
        <v>465</v>
      </c>
      <c r="C1691">
        <v>61</v>
      </c>
      <c r="D1691" s="3" t="s">
        <v>59</v>
      </c>
      <c r="E1691" s="3" t="s">
        <v>23</v>
      </c>
      <c r="F1691" s="3" t="s">
        <v>99</v>
      </c>
      <c r="G1691" s="3" t="s">
        <v>256</v>
      </c>
      <c r="H1691" s="3" t="s">
        <v>26</v>
      </c>
      <c r="I1691" s="8">
        <v>44320</v>
      </c>
      <c r="J1691" s="8">
        <v>44382</v>
      </c>
      <c r="K1691" s="3">
        <v>3</v>
      </c>
      <c r="L1691" s="3" t="s">
        <v>112</v>
      </c>
      <c r="M1691" s="3" t="s">
        <v>40</v>
      </c>
      <c r="N1691" s="3" t="s">
        <v>213</v>
      </c>
      <c r="O1691" s="3" t="s">
        <v>66</v>
      </c>
      <c r="P1691" s="30">
        <v>62346.14</v>
      </c>
      <c r="Q1691" s="3" t="s">
        <v>259</v>
      </c>
      <c r="R1691" s="3">
        <v>4</v>
      </c>
      <c r="S1691" s="3">
        <v>235</v>
      </c>
      <c r="T1691" s="3">
        <v>20.100000000000001</v>
      </c>
      <c r="U1691" s="3" t="s">
        <v>32</v>
      </c>
      <c r="V1691" s="18" t="s">
        <v>33</v>
      </c>
    </row>
    <row r="1692" spans="1:22" ht="15" customHeight="1" x14ac:dyDescent="0.25">
      <c r="A1692" s="15" t="s">
        <v>3082</v>
      </c>
      <c r="B1692" s="1" t="s">
        <v>3083</v>
      </c>
      <c r="C1692">
        <v>42</v>
      </c>
      <c r="D1692" s="1" t="s">
        <v>98</v>
      </c>
      <c r="E1692" s="1" t="s">
        <v>48</v>
      </c>
      <c r="F1692" s="1" t="s">
        <v>49</v>
      </c>
      <c r="G1692" s="1" t="s">
        <v>131</v>
      </c>
      <c r="H1692" s="1" t="s">
        <v>26</v>
      </c>
      <c r="I1692" s="7">
        <v>44585</v>
      </c>
      <c r="J1692" s="7">
        <v>44590</v>
      </c>
      <c r="K1692" s="1">
        <v>5</v>
      </c>
      <c r="L1692" s="1" t="s">
        <v>132</v>
      </c>
      <c r="M1692" s="1" t="s">
        <v>53</v>
      </c>
      <c r="N1692" s="1" t="s">
        <v>147</v>
      </c>
      <c r="O1692" s="1" t="s">
        <v>42</v>
      </c>
      <c r="P1692" s="29">
        <v>18001.189999999999</v>
      </c>
      <c r="Q1692" s="1" t="s">
        <v>266</v>
      </c>
      <c r="R1692" s="1">
        <v>5</v>
      </c>
      <c r="S1692" s="1">
        <v>396</v>
      </c>
      <c r="T1692" s="1">
        <v>29.5</v>
      </c>
      <c r="U1692" s="1" t="s">
        <v>44</v>
      </c>
      <c r="V1692" s="17" t="s">
        <v>33</v>
      </c>
    </row>
    <row r="1693" spans="1:22" ht="15" customHeight="1" x14ac:dyDescent="0.25">
      <c r="A1693" s="16" t="s">
        <v>3084</v>
      </c>
      <c r="B1693" s="3" t="s">
        <v>2037</v>
      </c>
      <c r="C1693">
        <v>38</v>
      </c>
      <c r="D1693" s="3" t="s">
        <v>98</v>
      </c>
      <c r="E1693" s="3" t="s">
        <v>23</v>
      </c>
      <c r="F1693" s="3" t="s">
        <v>76</v>
      </c>
      <c r="G1693" s="3" t="s">
        <v>77</v>
      </c>
      <c r="H1693" s="3" t="s">
        <v>51</v>
      </c>
      <c r="I1693" s="6">
        <v>45620</v>
      </c>
      <c r="J1693" s="8">
        <v>45626</v>
      </c>
      <c r="K1693" s="3">
        <v>6</v>
      </c>
      <c r="L1693" s="3" t="s">
        <v>185</v>
      </c>
      <c r="M1693" s="3" t="s">
        <v>186</v>
      </c>
      <c r="N1693" s="3" t="s">
        <v>79</v>
      </c>
      <c r="O1693" s="3" t="s">
        <v>42</v>
      </c>
      <c r="P1693" s="30">
        <v>49201.67</v>
      </c>
      <c r="Q1693" s="3" t="s">
        <v>85</v>
      </c>
      <c r="R1693" s="3">
        <v>10</v>
      </c>
      <c r="S1693" s="3">
        <v>185</v>
      </c>
      <c r="T1693" s="3">
        <v>24.5</v>
      </c>
      <c r="U1693" s="3" t="s">
        <v>32</v>
      </c>
      <c r="V1693" s="18" t="s">
        <v>45</v>
      </c>
    </row>
    <row r="1694" spans="1:22" ht="15" customHeight="1" x14ac:dyDescent="0.25">
      <c r="A1694" s="15" t="s">
        <v>3085</v>
      </c>
      <c r="B1694" s="1" t="s">
        <v>3086</v>
      </c>
      <c r="C1694">
        <v>56</v>
      </c>
      <c r="D1694" s="1" t="s">
        <v>59</v>
      </c>
      <c r="E1694" s="1" t="s">
        <v>23</v>
      </c>
      <c r="F1694" s="2" t="s">
        <v>3714</v>
      </c>
      <c r="G1694" s="1" t="s">
        <v>71</v>
      </c>
      <c r="H1694" s="1" t="s">
        <v>51</v>
      </c>
      <c r="I1694" s="7">
        <v>44009</v>
      </c>
      <c r="J1694" s="7">
        <v>44011</v>
      </c>
      <c r="K1694" s="1">
        <v>2</v>
      </c>
      <c r="L1694" s="1" t="s">
        <v>52</v>
      </c>
      <c r="M1694" s="1" t="s">
        <v>53</v>
      </c>
      <c r="N1694" s="1" t="s">
        <v>312</v>
      </c>
      <c r="O1694" s="1" t="s">
        <v>66</v>
      </c>
      <c r="P1694" s="29">
        <v>14916.31</v>
      </c>
      <c r="Q1694" s="1" t="s">
        <v>178</v>
      </c>
      <c r="R1694" s="1">
        <v>4</v>
      </c>
      <c r="S1694" s="1">
        <v>146</v>
      </c>
      <c r="T1694" s="1">
        <v>26.4</v>
      </c>
      <c r="U1694" s="1" t="s">
        <v>44</v>
      </c>
      <c r="V1694" s="17" t="s">
        <v>33</v>
      </c>
    </row>
    <row r="1695" spans="1:22" ht="15" customHeight="1" x14ac:dyDescent="0.25">
      <c r="A1695" s="16" t="s">
        <v>3087</v>
      </c>
      <c r="B1695" s="2" t="s">
        <v>3690</v>
      </c>
      <c r="C1695">
        <v>73</v>
      </c>
      <c r="D1695" s="3" t="s">
        <v>82</v>
      </c>
      <c r="E1695" s="3" t="s">
        <v>23</v>
      </c>
      <c r="F1695" s="2" t="s">
        <v>155</v>
      </c>
      <c r="G1695" s="3" t="s">
        <v>131</v>
      </c>
      <c r="H1695" s="3" t="s">
        <v>78</v>
      </c>
      <c r="I1695" s="8">
        <v>43484</v>
      </c>
      <c r="J1695" s="8">
        <v>43490</v>
      </c>
      <c r="K1695" s="3">
        <v>6</v>
      </c>
      <c r="L1695" s="3" t="s">
        <v>185</v>
      </c>
      <c r="M1695" s="3" t="s">
        <v>186</v>
      </c>
      <c r="N1695" s="3" t="s">
        <v>157</v>
      </c>
      <c r="O1695" s="3" t="s">
        <v>104</v>
      </c>
      <c r="P1695" s="30">
        <v>26422.400000000001</v>
      </c>
      <c r="Q1695" s="3" t="s">
        <v>266</v>
      </c>
      <c r="R1695" s="3">
        <v>4</v>
      </c>
      <c r="S1695" s="3">
        <v>428</v>
      </c>
      <c r="T1695" s="3">
        <v>34.799999999999997</v>
      </c>
      <c r="U1695" s="3" t="s">
        <v>44</v>
      </c>
      <c r="V1695" s="18" t="s">
        <v>33</v>
      </c>
    </row>
    <row r="1696" spans="1:22" ht="15" customHeight="1" x14ac:dyDescent="0.25">
      <c r="A1696" s="15" t="s">
        <v>3088</v>
      </c>
      <c r="B1696" s="1" t="s">
        <v>253</v>
      </c>
      <c r="C1696">
        <v>80</v>
      </c>
      <c r="D1696" s="1" t="s">
        <v>36</v>
      </c>
      <c r="E1696" s="1" t="s">
        <v>48</v>
      </c>
      <c r="F1696" s="2" t="s">
        <v>76</v>
      </c>
      <c r="G1696" s="1" t="s">
        <v>77</v>
      </c>
      <c r="H1696" s="1" t="s">
        <v>51</v>
      </c>
      <c r="I1696" s="7">
        <v>45096</v>
      </c>
      <c r="J1696" s="7">
        <v>45103</v>
      </c>
      <c r="K1696" s="1">
        <v>7</v>
      </c>
      <c r="L1696" s="1" t="s">
        <v>102</v>
      </c>
      <c r="M1696" s="1" t="s">
        <v>28</v>
      </c>
      <c r="N1696" s="1" t="s">
        <v>94</v>
      </c>
      <c r="O1696" s="1" t="s">
        <v>30</v>
      </c>
      <c r="P1696" s="29">
        <v>39860.550000000003</v>
      </c>
      <c r="Q1696" s="1" t="s">
        <v>592</v>
      </c>
      <c r="R1696" s="1">
        <v>10</v>
      </c>
      <c r="S1696" s="1">
        <v>199</v>
      </c>
      <c r="T1696" s="1">
        <v>35.1</v>
      </c>
      <c r="U1696" s="1" t="s">
        <v>44</v>
      </c>
      <c r="V1696" s="17" t="s">
        <v>33</v>
      </c>
    </row>
    <row r="1697" spans="1:22" ht="15" customHeight="1" x14ac:dyDescent="0.25">
      <c r="A1697" s="16" t="s">
        <v>3089</v>
      </c>
      <c r="B1697" s="3" t="s">
        <v>1229</v>
      </c>
      <c r="C1697">
        <v>70</v>
      </c>
      <c r="D1697" s="3" t="s">
        <v>82</v>
      </c>
      <c r="E1697" s="3" t="s">
        <v>23</v>
      </c>
      <c r="F1697" s="3" t="s">
        <v>99</v>
      </c>
      <c r="G1697" s="3" t="s">
        <v>50</v>
      </c>
      <c r="H1697" s="3" t="s">
        <v>78</v>
      </c>
      <c r="I1697" s="6">
        <v>45337</v>
      </c>
      <c r="J1697" s="8">
        <v>45343</v>
      </c>
      <c r="K1697" s="3">
        <v>6</v>
      </c>
      <c r="L1697" s="3" t="s">
        <v>39</v>
      </c>
      <c r="M1697" s="3" t="s">
        <v>40</v>
      </c>
      <c r="N1697" s="3" t="s">
        <v>54</v>
      </c>
      <c r="O1697" s="3" t="s">
        <v>42</v>
      </c>
      <c r="P1697" s="30">
        <v>60364.45</v>
      </c>
      <c r="Q1697" s="3" t="s">
        <v>85</v>
      </c>
      <c r="R1697" s="3">
        <v>8</v>
      </c>
      <c r="S1697" s="3">
        <v>356</v>
      </c>
      <c r="T1697" s="3">
        <v>28.7</v>
      </c>
      <c r="U1697" s="3" t="s">
        <v>44</v>
      </c>
      <c r="V1697" s="18" t="s">
        <v>33</v>
      </c>
    </row>
    <row r="1698" spans="1:22" ht="15" customHeight="1" x14ac:dyDescent="0.25">
      <c r="A1698" s="15" t="s">
        <v>3090</v>
      </c>
      <c r="B1698" s="2" t="s">
        <v>3691</v>
      </c>
      <c r="C1698">
        <v>25</v>
      </c>
      <c r="D1698" s="1" t="s">
        <v>47</v>
      </c>
      <c r="E1698" s="1" t="s">
        <v>48</v>
      </c>
      <c r="F1698" s="1" t="s">
        <v>70</v>
      </c>
      <c r="G1698" s="1" t="s">
        <v>417</v>
      </c>
      <c r="H1698" s="1" t="s">
        <v>51</v>
      </c>
      <c r="I1698" s="7">
        <v>45035</v>
      </c>
      <c r="J1698" s="7">
        <v>45038</v>
      </c>
      <c r="K1698" s="1">
        <v>3</v>
      </c>
      <c r="L1698" s="1" t="s">
        <v>185</v>
      </c>
      <c r="M1698" s="1" t="s">
        <v>186</v>
      </c>
      <c r="N1698" s="1" t="s">
        <v>173</v>
      </c>
      <c r="O1698" s="1" t="s">
        <v>66</v>
      </c>
      <c r="P1698" s="29">
        <v>12885.34</v>
      </c>
      <c r="Q1698" s="1" t="s">
        <v>567</v>
      </c>
      <c r="R1698" s="1">
        <v>7</v>
      </c>
      <c r="S1698" s="1">
        <v>113</v>
      </c>
      <c r="T1698" s="1">
        <v>48.5</v>
      </c>
      <c r="U1698" s="1" t="s">
        <v>44</v>
      </c>
      <c r="V1698" s="17" t="s">
        <v>33</v>
      </c>
    </row>
    <row r="1699" spans="1:22" ht="15" customHeight="1" x14ac:dyDescent="0.25">
      <c r="A1699" s="16" t="s">
        <v>3091</v>
      </c>
      <c r="B1699" s="3" t="s">
        <v>699</v>
      </c>
      <c r="C1699">
        <v>75</v>
      </c>
      <c r="D1699" s="3" t="s">
        <v>36</v>
      </c>
      <c r="E1699" s="3" t="s">
        <v>48</v>
      </c>
      <c r="F1699" s="3" t="s">
        <v>76</v>
      </c>
      <c r="G1699" s="3" t="s">
        <v>131</v>
      </c>
      <c r="H1699" s="3" t="s">
        <v>26</v>
      </c>
      <c r="I1699" s="8">
        <v>44748</v>
      </c>
      <c r="J1699" s="8">
        <v>44902</v>
      </c>
      <c r="K1699" s="3">
        <v>6</v>
      </c>
      <c r="L1699" s="3" t="s">
        <v>52</v>
      </c>
      <c r="M1699" s="3" t="s">
        <v>53</v>
      </c>
      <c r="N1699" s="3" t="s">
        <v>147</v>
      </c>
      <c r="O1699" s="3" t="s">
        <v>55</v>
      </c>
      <c r="P1699" s="30">
        <v>32724.2</v>
      </c>
      <c r="Q1699" s="3" t="s">
        <v>266</v>
      </c>
      <c r="R1699" s="3">
        <v>7</v>
      </c>
      <c r="S1699" s="3">
        <v>319</v>
      </c>
      <c r="T1699" s="3">
        <v>28.6</v>
      </c>
      <c r="U1699" s="3" t="s">
        <v>44</v>
      </c>
      <c r="V1699" s="18" t="s">
        <v>33</v>
      </c>
    </row>
    <row r="1700" spans="1:22" ht="15" customHeight="1" x14ac:dyDescent="0.25">
      <c r="A1700" s="15" t="s">
        <v>3092</v>
      </c>
      <c r="B1700" s="1" t="s">
        <v>1032</v>
      </c>
      <c r="C1700">
        <v>24</v>
      </c>
      <c r="D1700" s="1" t="s">
        <v>47</v>
      </c>
      <c r="E1700" s="1" t="s">
        <v>48</v>
      </c>
      <c r="F1700" s="1" t="s">
        <v>155</v>
      </c>
      <c r="G1700" s="1" t="s">
        <v>163</v>
      </c>
      <c r="H1700" s="1" t="s">
        <v>156</v>
      </c>
      <c r="I1700" s="7">
        <v>44653</v>
      </c>
      <c r="J1700" s="7">
        <v>44654</v>
      </c>
      <c r="K1700" s="1">
        <v>1</v>
      </c>
      <c r="L1700" s="1" t="s">
        <v>112</v>
      </c>
      <c r="M1700" s="1" t="s">
        <v>40</v>
      </c>
      <c r="N1700" s="1" t="s">
        <v>346</v>
      </c>
      <c r="O1700" s="1" t="s">
        <v>42</v>
      </c>
      <c r="P1700" s="29">
        <v>23164</v>
      </c>
      <c r="Q1700" s="1" t="s">
        <v>165</v>
      </c>
      <c r="R1700" s="1">
        <v>2</v>
      </c>
      <c r="S1700" s="1">
        <v>153</v>
      </c>
      <c r="T1700" s="1">
        <v>25.7</v>
      </c>
      <c r="U1700" s="1" t="s">
        <v>44</v>
      </c>
      <c r="V1700" s="17" t="s">
        <v>33</v>
      </c>
    </row>
    <row r="1701" spans="1:22" ht="15" customHeight="1" x14ac:dyDescent="0.25">
      <c r="A1701" s="16" t="s">
        <v>3093</v>
      </c>
      <c r="B1701" s="3" t="s">
        <v>3094</v>
      </c>
      <c r="C1701">
        <v>30</v>
      </c>
      <c r="D1701" s="3" t="s">
        <v>47</v>
      </c>
      <c r="E1701" s="3" t="s">
        <v>48</v>
      </c>
      <c r="F1701" s="3" t="s">
        <v>37</v>
      </c>
      <c r="G1701" s="3" t="s">
        <v>60</v>
      </c>
      <c r="H1701" s="3" t="s">
        <v>26</v>
      </c>
      <c r="I1701" s="6">
        <v>45294</v>
      </c>
      <c r="J1701" s="8">
        <v>45358</v>
      </c>
      <c r="K1701" s="3">
        <v>6</v>
      </c>
      <c r="L1701" s="3" t="s">
        <v>27</v>
      </c>
      <c r="M1701" s="3" t="s">
        <v>28</v>
      </c>
      <c r="N1701" s="3" t="s">
        <v>103</v>
      </c>
      <c r="O1701" s="3" t="s">
        <v>66</v>
      </c>
      <c r="P1701" s="30">
        <v>46393</v>
      </c>
      <c r="Q1701" s="3" t="s">
        <v>105</v>
      </c>
      <c r="R1701" s="3">
        <v>5</v>
      </c>
      <c r="S1701" s="3">
        <v>331</v>
      </c>
      <c r="T1701" s="3">
        <v>18.8</v>
      </c>
      <c r="U1701" s="3" t="s">
        <v>32</v>
      </c>
      <c r="V1701" s="18" t="s">
        <v>33</v>
      </c>
    </row>
    <row r="1702" spans="1:22" ht="15" customHeight="1" x14ac:dyDescent="0.25">
      <c r="A1702" s="15" t="s">
        <v>3095</v>
      </c>
      <c r="B1702" s="1" t="s">
        <v>3096</v>
      </c>
      <c r="C1702">
        <v>72</v>
      </c>
      <c r="D1702" s="1" t="s">
        <v>82</v>
      </c>
      <c r="E1702" s="1" t="s">
        <v>23</v>
      </c>
      <c r="F1702" s="1" t="s">
        <v>70</v>
      </c>
      <c r="G1702" s="1" t="s">
        <v>71</v>
      </c>
      <c r="H1702" s="1" t="s">
        <v>78</v>
      </c>
      <c r="I1702" s="6">
        <v>44289</v>
      </c>
      <c r="J1702" s="7">
        <v>44380</v>
      </c>
      <c r="K1702" s="1">
        <v>3</v>
      </c>
      <c r="L1702" s="1" t="s">
        <v>89</v>
      </c>
      <c r="M1702" s="1" t="s">
        <v>90</v>
      </c>
      <c r="N1702" s="1" t="s">
        <v>312</v>
      </c>
      <c r="O1702" s="1" t="s">
        <v>55</v>
      </c>
      <c r="P1702" s="29">
        <v>19867</v>
      </c>
      <c r="Q1702" s="1" t="s">
        <v>374</v>
      </c>
      <c r="R1702" s="1">
        <v>1</v>
      </c>
      <c r="S1702" s="1">
        <v>189</v>
      </c>
      <c r="T1702" s="4"/>
      <c r="U1702" s="1" t="s">
        <v>32</v>
      </c>
      <c r="V1702" s="17" t="s">
        <v>33</v>
      </c>
    </row>
    <row r="1703" spans="1:22" ht="15" customHeight="1" x14ac:dyDescent="0.25">
      <c r="A1703" s="16" t="s">
        <v>3097</v>
      </c>
      <c r="B1703" s="3" t="s">
        <v>3098</v>
      </c>
      <c r="C1703">
        <v>56</v>
      </c>
      <c r="D1703" s="3" t="s">
        <v>59</v>
      </c>
      <c r="E1703" s="3" t="s">
        <v>48</v>
      </c>
      <c r="F1703" s="3" t="s">
        <v>76</v>
      </c>
      <c r="G1703" s="3" t="s">
        <v>131</v>
      </c>
      <c r="H1703" s="3" t="s">
        <v>26</v>
      </c>
      <c r="I1703" s="8">
        <v>45458</v>
      </c>
      <c r="J1703" s="8">
        <v>45461</v>
      </c>
      <c r="K1703" s="3">
        <v>3</v>
      </c>
      <c r="L1703" s="3" t="s">
        <v>185</v>
      </c>
      <c r="M1703" s="3" t="s">
        <v>186</v>
      </c>
      <c r="N1703" s="3" t="s">
        <v>133</v>
      </c>
      <c r="O1703" s="3" t="s">
        <v>55</v>
      </c>
      <c r="P1703" s="30">
        <v>38465.480000000003</v>
      </c>
      <c r="Q1703" s="3" t="s">
        <v>158</v>
      </c>
      <c r="R1703" s="3">
        <v>7</v>
      </c>
      <c r="S1703" s="3">
        <v>332</v>
      </c>
      <c r="T1703" s="3">
        <v>33.9</v>
      </c>
      <c r="U1703" s="3" t="s">
        <v>44</v>
      </c>
      <c r="V1703" s="18" t="s">
        <v>33</v>
      </c>
    </row>
    <row r="1704" spans="1:22" ht="15" customHeight="1" x14ac:dyDescent="0.25">
      <c r="A1704" s="15" t="s">
        <v>3099</v>
      </c>
      <c r="B1704" s="2" t="s">
        <v>3692</v>
      </c>
      <c r="C1704">
        <v>55</v>
      </c>
      <c r="D1704" s="1" t="s">
        <v>59</v>
      </c>
      <c r="E1704" s="1" t="s">
        <v>23</v>
      </c>
      <c r="F1704" s="1" t="s">
        <v>49</v>
      </c>
      <c r="G1704" s="1" t="s">
        <v>60</v>
      </c>
      <c r="H1704" s="1" t="s">
        <v>51</v>
      </c>
      <c r="I1704" s="7">
        <v>45304</v>
      </c>
      <c r="J1704" s="7">
        <v>45308</v>
      </c>
      <c r="K1704" s="1">
        <v>4</v>
      </c>
      <c r="L1704" s="1" t="s">
        <v>39</v>
      </c>
      <c r="M1704" s="1" t="s">
        <v>40</v>
      </c>
      <c r="N1704" s="1" t="s">
        <v>210</v>
      </c>
      <c r="O1704" s="1" t="s">
        <v>55</v>
      </c>
      <c r="P1704" s="29">
        <v>38910.17</v>
      </c>
      <c r="Q1704" s="1" t="s">
        <v>170</v>
      </c>
      <c r="R1704" s="1">
        <v>6</v>
      </c>
      <c r="S1704" s="1">
        <v>107</v>
      </c>
      <c r="T1704" s="1">
        <v>37.9</v>
      </c>
      <c r="U1704" s="1" t="s">
        <v>32</v>
      </c>
      <c r="V1704" s="17" t="s">
        <v>33</v>
      </c>
    </row>
    <row r="1705" spans="1:22" ht="15" customHeight="1" x14ac:dyDescent="0.25">
      <c r="A1705" s="16" t="s">
        <v>3100</v>
      </c>
      <c r="B1705" s="2" t="s">
        <v>3693</v>
      </c>
      <c r="C1705">
        <v>51</v>
      </c>
      <c r="D1705" s="3" t="s">
        <v>98</v>
      </c>
      <c r="E1705" s="3" t="s">
        <v>23</v>
      </c>
      <c r="F1705" s="3" t="s">
        <v>24</v>
      </c>
      <c r="G1705" s="3" t="s">
        <v>25</v>
      </c>
      <c r="H1705" s="3" t="s">
        <v>51</v>
      </c>
      <c r="I1705" s="6">
        <v>44873</v>
      </c>
      <c r="J1705" s="8">
        <v>44799</v>
      </c>
      <c r="K1705" s="3">
        <v>15</v>
      </c>
      <c r="L1705" s="3" t="s">
        <v>231</v>
      </c>
      <c r="M1705" s="3" t="s">
        <v>53</v>
      </c>
      <c r="N1705" s="3" t="s">
        <v>248</v>
      </c>
      <c r="O1705" s="3" t="s">
        <v>30</v>
      </c>
      <c r="P1705" s="30">
        <v>39435.089999999997</v>
      </c>
      <c r="Q1705" s="3" t="s">
        <v>105</v>
      </c>
      <c r="R1705" s="3">
        <v>10</v>
      </c>
      <c r="S1705" s="3">
        <v>156</v>
      </c>
      <c r="T1705" s="3">
        <v>26.2</v>
      </c>
      <c r="U1705" s="3" t="s">
        <v>32</v>
      </c>
      <c r="V1705" s="18" t="s">
        <v>33</v>
      </c>
    </row>
    <row r="1706" spans="1:22" ht="15" customHeight="1" x14ac:dyDescent="0.25">
      <c r="A1706" s="15" t="s">
        <v>3101</v>
      </c>
      <c r="B1706" s="1" t="s">
        <v>3102</v>
      </c>
      <c r="C1706">
        <v>72</v>
      </c>
      <c r="D1706" s="1" t="s">
        <v>82</v>
      </c>
      <c r="E1706" s="1" t="s">
        <v>48</v>
      </c>
      <c r="F1706" s="1" t="s">
        <v>24</v>
      </c>
      <c r="G1706" s="1" t="s">
        <v>131</v>
      </c>
      <c r="H1706" s="1" t="s">
        <v>51</v>
      </c>
      <c r="I1706" s="7">
        <v>45636</v>
      </c>
      <c r="J1706" s="7">
        <v>45639</v>
      </c>
      <c r="K1706" s="1">
        <v>3</v>
      </c>
      <c r="L1706" s="1" t="s">
        <v>122</v>
      </c>
      <c r="M1706" s="1" t="s">
        <v>40</v>
      </c>
      <c r="N1706" s="1" t="s">
        <v>147</v>
      </c>
      <c r="O1706" s="1" t="s">
        <v>42</v>
      </c>
      <c r="P1706" s="29">
        <v>43674.48</v>
      </c>
      <c r="Q1706" s="1" t="s">
        <v>158</v>
      </c>
      <c r="R1706" s="1">
        <v>7</v>
      </c>
      <c r="S1706" s="1">
        <v>114</v>
      </c>
      <c r="T1706" s="1">
        <v>34.4</v>
      </c>
      <c r="U1706" s="1" t="s">
        <v>32</v>
      </c>
      <c r="V1706" s="17" t="s">
        <v>33</v>
      </c>
    </row>
    <row r="1707" spans="1:22" ht="15" customHeight="1" x14ac:dyDescent="0.25">
      <c r="A1707" s="16" t="s">
        <v>3103</v>
      </c>
      <c r="B1707" s="2" t="s">
        <v>2664</v>
      </c>
      <c r="C1707">
        <v>62</v>
      </c>
      <c r="D1707" s="3" t="s">
        <v>59</v>
      </c>
      <c r="E1707" s="3" t="s">
        <v>48</v>
      </c>
      <c r="F1707" s="3" t="s">
        <v>155</v>
      </c>
      <c r="G1707" s="3" t="s">
        <v>25</v>
      </c>
      <c r="H1707" s="3" t="s">
        <v>51</v>
      </c>
      <c r="I1707" s="8">
        <v>45594</v>
      </c>
      <c r="J1707" s="8">
        <v>45601</v>
      </c>
      <c r="K1707" s="3">
        <v>7</v>
      </c>
      <c r="L1707" s="3" t="s">
        <v>112</v>
      </c>
      <c r="M1707" s="3" t="s">
        <v>40</v>
      </c>
      <c r="N1707" s="3" t="s">
        <v>29</v>
      </c>
      <c r="O1707" s="3" t="s">
        <v>42</v>
      </c>
      <c r="P1707" s="30">
        <v>69957.98</v>
      </c>
      <c r="Q1707" s="3" t="s">
        <v>400</v>
      </c>
      <c r="R1707" s="3">
        <v>12</v>
      </c>
      <c r="S1707" s="3">
        <v>169</v>
      </c>
      <c r="T1707" s="3">
        <v>29.9</v>
      </c>
      <c r="U1707" s="3" t="s">
        <v>32</v>
      </c>
      <c r="V1707" s="18" t="s">
        <v>33</v>
      </c>
    </row>
    <row r="1708" spans="1:22" ht="15" customHeight="1" x14ac:dyDescent="0.25">
      <c r="A1708" s="15" t="s">
        <v>3104</v>
      </c>
      <c r="B1708" s="1" t="s">
        <v>3105</v>
      </c>
      <c r="C1708">
        <v>76</v>
      </c>
      <c r="D1708" s="1" t="s">
        <v>36</v>
      </c>
      <c r="E1708" s="1" t="s">
        <v>23</v>
      </c>
      <c r="F1708" s="1" t="s">
        <v>155</v>
      </c>
      <c r="G1708" s="1" t="s">
        <v>665</v>
      </c>
      <c r="H1708" s="1" t="s">
        <v>78</v>
      </c>
      <c r="I1708" s="7">
        <v>44648</v>
      </c>
      <c r="J1708" s="7">
        <v>44660</v>
      </c>
      <c r="K1708" s="1">
        <v>12</v>
      </c>
      <c r="L1708" s="1" t="s">
        <v>27</v>
      </c>
      <c r="M1708" s="1" t="s">
        <v>28</v>
      </c>
      <c r="N1708" s="1" t="s">
        <v>54</v>
      </c>
      <c r="O1708" s="1" t="s">
        <v>104</v>
      </c>
      <c r="P1708" s="29">
        <v>63651.02</v>
      </c>
      <c r="Q1708" s="1" t="s">
        <v>194</v>
      </c>
      <c r="R1708" s="1">
        <v>8</v>
      </c>
      <c r="S1708" s="1">
        <v>494</v>
      </c>
      <c r="T1708" s="1">
        <v>24.4</v>
      </c>
      <c r="U1708" s="1" t="s">
        <v>44</v>
      </c>
      <c r="V1708" s="17" t="s">
        <v>45</v>
      </c>
    </row>
    <row r="1709" spans="1:22" ht="15" customHeight="1" x14ac:dyDescent="0.25">
      <c r="A1709" s="16" t="s">
        <v>3106</v>
      </c>
      <c r="B1709" s="3" t="s">
        <v>3107</v>
      </c>
      <c r="C1709">
        <v>56</v>
      </c>
      <c r="D1709" s="3" t="s">
        <v>59</v>
      </c>
      <c r="E1709" s="3" t="s">
        <v>23</v>
      </c>
      <c r="F1709" s="3" t="s">
        <v>37</v>
      </c>
      <c r="G1709" s="3" t="s">
        <v>60</v>
      </c>
      <c r="H1709" s="3" t="s">
        <v>78</v>
      </c>
      <c r="I1709" s="6">
        <v>45370</v>
      </c>
      <c r="J1709" s="8">
        <v>45376</v>
      </c>
      <c r="K1709" s="3">
        <v>6</v>
      </c>
      <c r="L1709" s="3" t="s">
        <v>231</v>
      </c>
      <c r="M1709" s="3" t="s">
        <v>53</v>
      </c>
      <c r="N1709" s="3" t="s">
        <v>61</v>
      </c>
      <c r="O1709" s="3" t="s">
        <v>30</v>
      </c>
      <c r="P1709" s="30">
        <v>29938.61</v>
      </c>
      <c r="Q1709" s="3" t="s">
        <v>62</v>
      </c>
      <c r="R1709" s="3">
        <v>6</v>
      </c>
      <c r="S1709" s="3">
        <v>171</v>
      </c>
      <c r="T1709" s="3">
        <v>32.700000000000003</v>
      </c>
      <c r="U1709" s="3" t="s">
        <v>32</v>
      </c>
      <c r="V1709" s="18" t="s">
        <v>33</v>
      </c>
    </row>
    <row r="1710" spans="1:22" ht="15" customHeight="1" x14ac:dyDescent="0.25">
      <c r="A1710" s="15" t="s">
        <v>3108</v>
      </c>
      <c r="B1710" s="1" t="s">
        <v>3109</v>
      </c>
      <c r="C1710">
        <v>65</v>
      </c>
      <c r="D1710" s="1" t="s">
        <v>82</v>
      </c>
      <c r="E1710" s="1" t="s">
        <v>23</v>
      </c>
      <c r="F1710" s="1" t="s">
        <v>49</v>
      </c>
      <c r="G1710" s="1" t="s">
        <v>50</v>
      </c>
      <c r="H1710" s="1" t="s">
        <v>51</v>
      </c>
      <c r="I1710" s="6">
        <v>43925</v>
      </c>
      <c r="J1710" s="7">
        <v>43935</v>
      </c>
      <c r="K1710" s="1">
        <v>10</v>
      </c>
      <c r="L1710" s="1" t="s">
        <v>89</v>
      </c>
      <c r="M1710" s="1" t="s">
        <v>90</v>
      </c>
      <c r="N1710" s="1" t="s">
        <v>116</v>
      </c>
      <c r="O1710" s="1" t="s">
        <v>30</v>
      </c>
      <c r="P1710" s="29">
        <v>57240.25</v>
      </c>
      <c r="Q1710" s="1" t="s">
        <v>279</v>
      </c>
      <c r="R1710" s="1">
        <v>8</v>
      </c>
      <c r="S1710" s="1">
        <v>162</v>
      </c>
      <c r="T1710" s="4"/>
      <c r="U1710" s="1" t="s">
        <v>32</v>
      </c>
      <c r="V1710" s="17" t="s">
        <v>45</v>
      </c>
    </row>
    <row r="1711" spans="1:22" ht="15" customHeight="1" x14ac:dyDescent="0.25">
      <c r="A1711" s="16" t="s">
        <v>3110</v>
      </c>
      <c r="B1711" s="3" t="s">
        <v>3111</v>
      </c>
      <c r="C1711">
        <v>70</v>
      </c>
      <c r="D1711" s="3" t="s">
        <v>82</v>
      </c>
      <c r="E1711" s="3" t="s">
        <v>48</v>
      </c>
      <c r="F1711" s="3" t="s">
        <v>49</v>
      </c>
      <c r="G1711" s="3" t="s">
        <v>77</v>
      </c>
      <c r="H1711" s="3" t="s">
        <v>26</v>
      </c>
      <c r="I1711" s="8">
        <v>44125</v>
      </c>
      <c r="J1711" s="8">
        <v>44132</v>
      </c>
      <c r="K1711" s="3">
        <v>7</v>
      </c>
      <c r="L1711" s="3" t="s">
        <v>102</v>
      </c>
      <c r="M1711" s="3" t="s">
        <v>28</v>
      </c>
      <c r="N1711" s="3" t="s">
        <v>79</v>
      </c>
      <c r="O1711" s="3" t="s">
        <v>30</v>
      </c>
      <c r="P1711" s="30">
        <v>186053.14</v>
      </c>
      <c r="Q1711" s="3" t="s">
        <v>592</v>
      </c>
      <c r="R1711" s="3">
        <v>10</v>
      </c>
      <c r="S1711" s="3">
        <v>310</v>
      </c>
      <c r="T1711" s="3">
        <v>29.3</v>
      </c>
      <c r="U1711" s="3" t="s">
        <v>86</v>
      </c>
      <c r="V1711" s="18" t="s">
        <v>33</v>
      </c>
    </row>
    <row r="1712" spans="1:22" ht="15" customHeight="1" x14ac:dyDescent="0.25">
      <c r="A1712" s="15" t="s">
        <v>3112</v>
      </c>
      <c r="B1712" s="1" t="s">
        <v>3113</v>
      </c>
      <c r="C1712">
        <v>61</v>
      </c>
      <c r="D1712" s="1" t="s">
        <v>59</v>
      </c>
      <c r="E1712" s="1" t="s">
        <v>48</v>
      </c>
      <c r="F1712" s="1" t="s">
        <v>155</v>
      </c>
      <c r="G1712" s="1" t="s">
        <v>71</v>
      </c>
      <c r="H1712" s="1" t="s">
        <v>51</v>
      </c>
      <c r="I1712" s="7">
        <v>45520</v>
      </c>
      <c r="J1712" s="7">
        <v>45523</v>
      </c>
      <c r="K1712" s="1">
        <v>3</v>
      </c>
      <c r="L1712" s="1" t="s">
        <v>39</v>
      </c>
      <c r="M1712" s="1" t="s">
        <v>40</v>
      </c>
      <c r="N1712" s="1" t="s">
        <v>312</v>
      </c>
      <c r="O1712" s="1" t="s">
        <v>104</v>
      </c>
      <c r="P1712" s="29">
        <v>10286</v>
      </c>
      <c r="Q1712" s="1" t="s">
        <v>503</v>
      </c>
      <c r="R1712" s="1">
        <v>5</v>
      </c>
      <c r="S1712" s="1">
        <v>104</v>
      </c>
      <c r="T1712" s="1">
        <v>33.9</v>
      </c>
      <c r="U1712" s="1" t="s">
        <v>86</v>
      </c>
      <c r="V1712" s="17" t="s">
        <v>33</v>
      </c>
    </row>
    <row r="1713" spans="1:22" ht="15" customHeight="1" x14ac:dyDescent="0.25">
      <c r="A1713" s="16" t="s">
        <v>3114</v>
      </c>
      <c r="B1713" s="3" t="s">
        <v>2012</v>
      </c>
      <c r="C1713">
        <v>76</v>
      </c>
      <c r="D1713" s="3" t="s">
        <v>36</v>
      </c>
      <c r="E1713" s="3" t="s">
        <v>48</v>
      </c>
      <c r="F1713" s="3" t="s">
        <v>70</v>
      </c>
      <c r="G1713" s="3" t="s">
        <v>38</v>
      </c>
      <c r="H1713" s="3" t="s">
        <v>78</v>
      </c>
      <c r="I1713" s="6">
        <v>45415</v>
      </c>
      <c r="J1713" s="8">
        <v>45507</v>
      </c>
      <c r="K1713" s="3">
        <v>3</v>
      </c>
      <c r="L1713" s="3" t="s">
        <v>231</v>
      </c>
      <c r="M1713" s="3" t="s">
        <v>53</v>
      </c>
      <c r="N1713" s="3" t="s">
        <v>41</v>
      </c>
      <c r="O1713" s="3" t="s">
        <v>55</v>
      </c>
      <c r="P1713" s="30">
        <v>28882.14</v>
      </c>
      <c r="Q1713" s="3" t="s">
        <v>567</v>
      </c>
      <c r="R1713" s="3">
        <v>8</v>
      </c>
      <c r="S1713" s="3">
        <v>420</v>
      </c>
      <c r="T1713" s="3">
        <v>22.4</v>
      </c>
      <c r="U1713" s="3" t="s">
        <v>44</v>
      </c>
      <c r="V1713" s="18" t="s">
        <v>33</v>
      </c>
    </row>
    <row r="1714" spans="1:22" ht="15" customHeight="1" x14ac:dyDescent="0.25">
      <c r="A1714" s="15" t="s">
        <v>3115</v>
      </c>
      <c r="B1714" s="1" t="s">
        <v>611</v>
      </c>
      <c r="C1714">
        <v>57</v>
      </c>
      <c r="D1714" s="1" t="s">
        <v>59</v>
      </c>
      <c r="E1714" s="1" t="s">
        <v>23</v>
      </c>
      <c r="F1714" s="2" t="s">
        <v>37</v>
      </c>
      <c r="G1714" s="1" t="s">
        <v>163</v>
      </c>
      <c r="H1714" s="1" t="s">
        <v>26</v>
      </c>
      <c r="I1714" s="7">
        <v>43821</v>
      </c>
      <c r="J1714" s="7">
        <v>43826</v>
      </c>
      <c r="K1714" s="1">
        <v>5</v>
      </c>
      <c r="L1714" s="1" t="s">
        <v>52</v>
      </c>
      <c r="M1714" s="1" t="s">
        <v>53</v>
      </c>
      <c r="N1714" s="1" t="s">
        <v>346</v>
      </c>
      <c r="O1714" s="1" t="s">
        <v>42</v>
      </c>
      <c r="P1714" s="29">
        <v>45620.11</v>
      </c>
      <c r="Q1714" s="1" t="s">
        <v>382</v>
      </c>
      <c r="R1714" s="1">
        <v>4</v>
      </c>
      <c r="S1714" s="1">
        <v>459</v>
      </c>
      <c r="T1714" s="1">
        <v>37.9</v>
      </c>
      <c r="U1714" s="1" t="s">
        <v>32</v>
      </c>
      <c r="V1714" s="17" t="s">
        <v>33</v>
      </c>
    </row>
    <row r="1715" spans="1:22" ht="15" customHeight="1" x14ac:dyDescent="0.25">
      <c r="A1715" s="16" t="s">
        <v>3116</v>
      </c>
      <c r="B1715" s="3" t="s">
        <v>3117</v>
      </c>
      <c r="C1715">
        <v>88</v>
      </c>
      <c r="D1715" s="3" t="s">
        <v>36</v>
      </c>
      <c r="E1715" s="3" t="s">
        <v>48</v>
      </c>
      <c r="F1715" s="3" t="s">
        <v>37</v>
      </c>
      <c r="G1715" s="3" t="s">
        <v>562</v>
      </c>
      <c r="H1715" s="3" t="s">
        <v>51</v>
      </c>
      <c r="I1715" s="8">
        <v>45232</v>
      </c>
      <c r="J1715" s="8">
        <v>45234</v>
      </c>
      <c r="K1715" s="3">
        <v>2</v>
      </c>
      <c r="L1715" s="3" t="s">
        <v>231</v>
      </c>
      <c r="M1715" s="3" t="s">
        <v>53</v>
      </c>
      <c r="N1715" s="3" t="s">
        <v>147</v>
      </c>
      <c r="O1715" s="3" t="s">
        <v>42</v>
      </c>
      <c r="P1715" s="30">
        <v>24221.26</v>
      </c>
      <c r="Q1715" s="3" t="s">
        <v>134</v>
      </c>
      <c r="R1715" s="3">
        <v>7</v>
      </c>
      <c r="S1715" s="3">
        <v>107</v>
      </c>
      <c r="T1715" s="3">
        <v>31.7</v>
      </c>
      <c r="U1715" s="3" t="s">
        <v>44</v>
      </c>
      <c r="V1715" s="18" t="s">
        <v>33</v>
      </c>
    </row>
    <row r="1716" spans="1:22" ht="15" customHeight="1" x14ac:dyDescent="0.25">
      <c r="A1716" s="15" t="s">
        <v>3118</v>
      </c>
      <c r="B1716" s="1" t="s">
        <v>1456</v>
      </c>
      <c r="C1716">
        <v>59</v>
      </c>
      <c r="D1716" s="1" t="s">
        <v>59</v>
      </c>
      <c r="E1716" s="1" t="s">
        <v>23</v>
      </c>
      <c r="F1716" s="1" t="s">
        <v>37</v>
      </c>
      <c r="G1716" s="1" t="s">
        <v>163</v>
      </c>
      <c r="H1716" s="1" t="s">
        <v>78</v>
      </c>
      <c r="I1716" s="7">
        <v>43759</v>
      </c>
      <c r="J1716" s="7">
        <v>43761</v>
      </c>
      <c r="K1716" s="1">
        <v>2</v>
      </c>
      <c r="L1716" s="1" t="s">
        <v>122</v>
      </c>
      <c r="M1716" s="1" t="s">
        <v>40</v>
      </c>
      <c r="N1716" s="1" t="s">
        <v>164</v>
      </c>
      <c r="O1716" s="1" t="s">
        <v>66</v>
      </c>
      <c r="P1716" s="29">
        <v>40237.08</v>
      </c>
      <c r="Q1716" s="1" t="s">
        <v>257</v>
      </c>
      <c r="R1716" s="1">
        <v>5</v>
      </c>
      <c r="S1716" s="1">
        <v>347</v>
      </c>
      <c r="T1716" s="1">
        <v>30.6</v>
      </c>
      <c r="U1716" s="1" t="s">
        <v>32</v>
      </c>
      <c r="V1716" s="17" t="s">
        <v>33</v>
      </c>
    </row>
    <row r="1717" spans="1:22" ht="15" customHeight="1" x14ac:dyDescent="0.25">
      <c r="A1717" s="16" t="s">
        <v>3119</v>
      </c>
      <c r="B1717" s="3" t="s">
        <v>1063</v>
      </c>
      <c r="C1717">
        <v>71</v>
      </c>
      <c r="D1717" s="3" t="s">
        <v>82</v>
      </c>
      <c r="E1717" s="3" t="s">
        <v>48</v>
      </c>
      <c r="F1717" s="3" t="s">
        <v>76</v>
      </c>
      <c r="G1717" s="3" t="s">
        <v>50</v>
      </c>
      <c r="H1717" s="3" t="s">
        <v>26</v>
      </c>
      <c r="I1717" s="8">
        <v>45356</v>
      </c>
      <c r="J1717" s="8">
        <v>45367</v>
      </c>
      <c r="K1717" s="3">
        <v>11</v>
      </c>
      <c r="L1717" s="3" t="s">
        <v>27</v>
      </c>
      <c r="M1717" s="3" t="s">
        <v>28</v>
      </c>
      <c r="N1717" s="3" t="s">
        <v>54</v>
      </c>
      <c r="O1717" s="3" t="s">
        <v>30</v>
      </c>
      <c r="P1717" s="30">
        <v>122542.83</v>
      </c>
      <c r="Q1717" s="3" t="s">
        <v>279</v>
      </c>
      <c r="R1717" s="3">
        <v>7</v>
      </c>
      <c r="S1717" s="3">
        <v>392</v>
      </c>
      <c r="T1717" s="3">
        <v>21.5</v>
      </c>
      <c r="U1717" s="3" t="s">
        <v>44</v>
      </c>
      <c r="V1717" s="18" t="s">
        <v>33</v>
      </c>
    </row>
    <row r="1718" spans="1:22" ht="15" customHeight="1" x14ac:dyDescent="0.25">
      <c r="A1718" s="15" t="s">
        <v>3120</v>
      </c>
      <c r="B1718" s="1" t="s">
        <v>3121</v>
      </c>
      <c r="C1718">
        <v>79</v>
      </c>
      <c r="D1718" s="1" t="s">
        <v>36</v>
      </c>
      <c r="E1718" s="1" t="s">
        <v>23</v>
      </c>
      <c r="F1718" s="1" t="s">
        <v>37</v>
      </c>
      <c r="G1718" s="1" t="s">
        <v>38</v>
      </c>
      <c r="H1718" s="1" t="s">
        <v>26</v>
      </c>
      <c r="I1718" s="7">
        <v>43770</v>
      </c>
      <c r="J1718" s="7">
        <v>43777</v>
      </c>
      <c r="K1718" s="1">
        <v>7</v>
      </c>
      <c r="L1718" s="1" t="s">
        <v>89</v>
      </c>
      <c r="M1718" s="1" t="s">
        <v>90</v>
      </c>
      <c r="N1718" s="1" t="s">
        <v>173</v>
      </c>
      <c r="O1718" s="1" t="s">
        <v>42</v>
      </c>
      <c r="P1718" s="29">
        <v>79505.94</v>
      </c>
      <c r="Q1718" s="1" t="s">
        <v>437</v>
      </c>
      <c r="R1718" s="1">
        <v>7</v>
      </c>
      <c r="S1718" s="1">
        <v>347</v>
      </c>
      <c r="T1718" s="1">
        <v>33</v>
      </c>
      <c r="U1718" s="1" t="s">
        <v>86</v>
      </c>
      <c r="V1718" s="17" t="s">
        <v>45</v>
      </c>
    </row>
    <row r="1719" spans="1:22" ht="15" customHeight="1" x14ac:dyDescent="0.25">
      <c r="A1719" s="16" t="s">
        <v>3122</v>
      </c>
      <c r="B1719" s="3" t="s">
        <v>3123</v>
      </c>
      <c r="C1719">
        <v>15</v>
      </c>
      <c r="D1719" s="3" t="s">
        <v>22</v>
      </c>
      <c r="E1719" s="3" t="s">
        <v>48</v>
      </c>
      <c r="F1719" s="3" t="s">
        <v>37</v>
      </c>
      <c r="G1719" s="3" t="s">
        <v>50</v>
      </c>
      <c r="H1719" s="3" t="s">
        <v>26</v>
      </c>
      <c r="I1719" s="8">
        <v>43590</v>
      </c>
      <c r="J1719" s="8">
        <v>43804</v>
      </c>
      <c r="K1719" s="3">
        <v>7</v>
      </c>
      <c r="L1719" s="3" t="s">
        <v>112</v>
      </c>
      <c r="M1719" s="3" t="s">
        <v>40</v>
      </c>
      <c r="N1719" s="3" t="s">
        <v>54</v>
      </c>
      <c r="O1719" s="3" t="s">
        <v>42</v>
      </c>
      <c r="P1719" s="30">
        <v>44577</v>
      </c>
      <c r="Q1719" s="3" t="s">
        <v>127</v>
      </c>
      <c r="R1719" s="3">
        <v>9</v>
      </c>
      <c r="S1719" s="3">
        <v>339</v>
      </c>
      <c r="T1719" s="3">
        <v>29.2</v>
      </c>
      <c r="U1719" s="3" t="s">
        <v>86</v>
      </c>
      <c r="V1719" s="18" t="s">
        <v>33</v>
      </c>
    </row>
    <row r="1720" spans="1:22" ht="15" customHeight="1" x14ac:dyDescent="0.25">
      <c r="A1720" s="15" t="s">
        <v>3124</v>
      </c>
      <c r="B1720" s="1" t="s">
        <v>1642</v>
      </c>
      <c r="C1720">
        <v>74</v>
      </c>
      <c r="D1720" s="1" t="s">
        <v>82</v>
      </c>
      <c r="E1720" s="1" t="s">
        <v>48</v>
      </c>
      <c r="F1720" s="1" t="s">
        <v>83</v>
      </c>
      <c r="G1720" s="1" t="s">
        <v>77</v>
      </c>
      <c r="H1720" s="1" t="s">
        <v>51</v>
      </c>
      <c r="I1720" s="7">
        <v>43555</v>
      </c>
      <c r="J1720" s="7">
        <v>43569</v>
      </c>
      <c r="K1720" s="1">
        <v>14</v>
      </c>
      <c r="L1720" s="1" t="s">
        <v>122</v>
      </c>
      <c r="M1720" s="1" t="s">
        <v>40</v>
      </c>
      <c r="N1720" s="1" t="s">
        <v>79</v>
      </c>
      <c r="O1720" s="1" t="s">
        <v>30</v>
      </c>
      <c r="P1720" s="29">
        <v>27284.7</v>
      </c>
      <c r="Q1720" s="1" t="s">
        <v>100</v>
      </c>
      <c r="R1720" s="1">
        <v>10</v>
      </c>
      <c r="S1720" s="1">
        <v>107</v>
      </c>
      <c r="T1720" s="1">
        <v>28.4</v>
      </c>
      <c r="U1720" s="1" t="s">
        <v>44</v>
      </c>
      <c r="V1720" s="17" t="s">
        <v>33</v>
      </c>
    </row>
    <row r="1721" spans="1:22" ht="15" customHeight="1" x14ac:dyDescent="0.25">
      <c r="A1721" s="16" t="s">
        <v>3125</v>
      </c>
      <c r="B1721" s="3" t="s">
        <v>3126</v>
      </c>
      <c r="C1721">
        <v>76</v>
      </c>
      <c r="D1721" s="3" t="s">
        <v>36</v>
      </c>
      <c r="E1721" s="3" t="s">
        <v>23</v>
      </c>
      <c r="F1721" s="3" t="s">
        <v>83</v>
      </c>
      <c r="G1721" s="3" t="s">
        <v>131</v>
      </c>
      <c r="H1721" s="3" t="s">
        <v>26</v>
      </c>
      <c r="I1721" s="6">
        <v>45245</v>
      </c>
      <c r="J1721" s="8">
        <v>45259</v>
      </c>
      <c r="K1721" s="3">
        <v>14</v>
      </c>
      <c r="L1721" s="3" t="s">
        <v>185</v>
      </c>
      <c r="M1721" s="3" t="s">
        <v>186</v>
      </c>
      <c r="N1721" s="3" t="s">
        <v>133</v>
      </c>
      <c r="O1721" s="3" t="s">
        <v>30</v>
      </c>
      <c r="P1721" s="30">
        <v>53315</v>
      </c>
      <c r="Q1721" s="3" t="s">
        <v>134</v>
      </c>
      <c r="R1721" s="3">
        <v>7</v>
      </c>
      <c r="S1721" s="3">
        <v>394</v>
      </c>
      <c r="T1721" s="3">
        <v>14.8</v>
      </c>
      <c r="U1721" s="3" t="s">
        <v>86</v>
      </c>
      <c r="V1721" s="18" t="s">
        <v>33</v>
      </c>
    </row>
    <row r="1722" spans="1:22" ht="15" customHeight="1" x14ac:dyDescent="0.25">
      <c r="A1722" s="15" t="s">
        <v>3127</v>
      </c>
      <c r="B1722" s="1" t="s">
        <v>1468</v>
      </c>
      <c r="C1722">
        <v>59</v>
      </c>
      <c r="D1722" s="1" t="s">
        <v>59</v>
      </c>
      <c r="E1722" s="1" t="s">
        <v>23</v>
      </c>
      <c r="F1722" s="1" t="s">
        <v>70</v>
      </c>
      <c r="G1722" s="1" t="s">
        <v>77</v>
      </c>
      <c r="H1722" s="1" t="s">
        <v>51</v>
      </c>
      <c r="I1722" s="7">
        <v>45373</v>
      </c>
      <c r="J1722" s="7">
        <v>45384</v>
      </c>
      <c r="K1722" s="1">
        <v>11</v>
      </c>
      <c r="L1722" s="1" t="s">
        <v>89</v>
      </c>
      <c r="M1722" s="1" t="s">
        <v>90</v>
      </c>
      <c r="N1722" s="1" t="s">
        <v>94</v>
      </c>
      <c r="O1722" s="1" t="s">
        <v>30</v>
      </c>
      <c r="P1722" s="29">
        <v>30366.959999999999</v>
      </c>
      <c r="Q1722" s="1" t="s">
        <v>95</v>
      </c>
      <c r="R1722" s="1">
        <v>7</v>
      </c>
      <c r="S1722" s="1">
        <v>160</v>
      </c>
      <c r="T1722" s="1">
        <v>28</v>
      </c>
      <c r="U1722" s="1" t="s">
        <v>44</v>
      </c>
      <c r="V1722" s="17" t="s">
        <v>33</v>
      </c>
    </row>
    <row r="1723" spans="1:22" ht="15" customHeight="1" x14ac:dyDescent="0.25">
      <c r="A1723" s="16" t="s">
        <v>3128</v>
      </c>
      <c r="B1723" s="2" t="s">
        <v>3694</v>
      </c>
      <c r="C1723">
        <v>27</v>
      </c>
      <c r="D1723" s="3" t="s">
        <v>47</v>
      </c>
      <c r="E1723" s="3" t="s">
        <v>48</v>
      </c>
      <c r="F1723" s="3" t="s">
        <v>24</v>
      </c>
      <c r="G1723" s="3" t="s">
        <v>131</v>
      </c>
      <c r="H1723" s="3" t="s">
        <v>26</v>
      </c>
      <c r="I1723" s="6">
        <v>43868</v>
      </c>
      <c r="J1723" s="8">
        <v>43958</v>
      </c>
      <c r="K1723" s="3">
        <v>3</v>
      </c>
      <c r="L1723" s="3" t="s">
        <v>89</v>
      </c>
      <c r="M1723" s="3" t="s">
        <v>90</v>
      </c>
      <c r="N1723" s="3" t="s">
        <v>147</v>
      </c>
      <c r="O1723" s="3" t="s">
        <v>66</v>
      </c>
      <c r="P1723" s="30">
        <v>33818.559999999998</v>
      </c>
      <c r="Q1723" s="3" t="s">
        <v>158</v>
      </c>
      <c r="R1723" s="3">
        <v>6</v>
      </c>
      <c r="S1723" s="3">
        <v>371</v>
      </c>
      <c r="T1723" s="3">
        <v>38.700000000000003</v>
      </c>
      <c r="U1723" s="3" t="s">
        <v>32</v>
      </c>
      <c r="V1723" s="18" t="s">
        <v>33</v>
      </c>
    </row>
    <row r="1724" spans="1:22" ht="15" customHeight="1" x14ac:dyDescent="0.25">
      <c r="A1724" s="15" t="s">
        <v>3129</v>
      </c>
      <c r="B1724" s="1" t="s">
        <v>3130</v>
      </c>
      <c r="C1724">
        <v>73</v>
      </c>
      <c r="D1724" s="1" t="s">
        <v>82</v>
      </c>
      <c r="E1724" s="1" t="s">
        <v>23</v>
      </c>
      <c r="F1724" s="1" t="s">
        <v>37</v>
      </c>
      <c r="G1724" s="1" t="s">
        <v>77</v>
      </c>
      <c r="H1724" s="1" t="s">
        <v>26</v>
      </c>
      <c r="I1724" s="7">
        <v>44997</v>
      </c>
      <c r="J1724" s="7">
        <v>45007</v>
      </c>
      <c r="K1724" s="1">
        <v>10</v>
      </c>
      <c r="L1724" s="1" t="s">
        <v>122</v>
      </c>
      <c r="M1724" s="1" t="s">
        <v>40</v>
      </c>
      <c r="N1724" s="1" t="s">
        <v>79</v>
      </c>
      <c r="O1724" s="1" t="s">
        <v>42</v>
      </c>
      <c r="P1724" s="29">
        <v>220717.74</v>
      </c>
      <c r="Q1724" s="1" t="s">
        <v>123</v>
      </c>
      <c r="R1724" s="1">
        <v>10</v>
      </c>
      <c r="S1724" s="1">
        <v>310</v>
      </c>
      <c r="T1724" s="1">
        <v>15.9</v>
      </c>
      <c r="U1724" s="1" t="s">
        <v>44</v>
      </c>
      <c r="V1724" s="17" t="s">
        <v>33</v>
      </c>
    </row>
    <row r="1725" spans="1:22" ht="15" customHeight="1" x14ac:dyDescent="0.25">
      <c r="A1725" s="16" t="s">
        <v>3131</v>
      </c>
      <c r="B1725" s="3" t="s">
        <v>2981</v>
      </c>
      <c r="C1725">
        <v>90</v>
      </c>
      <c r="D1725" s="3" t="s">
        <v>36</v>
      </c>
      <c r="E1725" s="3" t="s">
        <v>48</v>
      </c>
      <c r="F1725" s="3" t="s">
        <v>49</v>
      </c>
      <c r="G1725" s="3" t="s">
        <v>25</v>
      </c>
      <c r="H1725" s="3" t="s">
        <v>51</v>
      </c>
      <c r="I1725" s="8">
        <v>45511</v>
      </c>
      <c r="J1725" s="8">
        <v>45634</v>
      </c>
      <c r="K1725" s="3">
        <v>5</v>
      </c>
      <c r="L1725" s="3" t="s">
        <v>185</v>
      </c>
      <c r="M1725" s="3" t="s">
        <v>186</v>
      </c>
      <c r="N1725" s="3" t="s">
        <v>29</v>
      </c>
      <c r="O1725" s="3" t="s">
        <v>104</v>
      </c>
      <c r="P1725" s="30">
        <v>46009.34</v>
      </c>
      <c r="Q1725" s="3" t="s">
        <v>249</v>
      </c>
      <c r="R1725" s="3">
        <v>9</v>
      </c>
      <c r="S1725" s="3">
        <v>129</v>
      </c>
      <c r="T1725" s="3">
        <v>30.4</v>
      </c>
      <c r="U1725" s="3" t="s">
        <v>86</v>
      </c>
      <c r="V1725" s="18" t="s">
        <v>33</v>
      </c>
    </row>
    <row r="1726" spans="1:22" ht="15" customHeight="1" x14ac:dyDescent="0.25">
      <c r="A1726" s="15" t="s">
        <v>3132</v>
      </c>
      <c r="B1726" s="2" t="s">
        <v>3695</v>
      </c>
      <c r="C1726">
        <v>89</v>
      </c>
      <c r="D1726" s="1" t="s">
        <v>36</v>
      </c>
      <c r="E1726" s="1" t="s">
        <v>48</v>
      </c>
      <c r="F1726" s="1" t="s">
        <v>83</v>
      </c>
      <c r="G1726" s="1" t="s">
        <v>25</v>
      </c>
      <c r="H1726" s="1" t="s">
        <v>78</v>
      </c>
      <c r="I1726" s="7">
        <v>44625</v>
      </c>
      <c r="J1726" s="7">
        <v>44649</v>
      </c>
      <c r="K1726" s="1">
        <v>24</v>
      </c>
      <c r="L1726" s="1" t="s">
        <v>132</v>
      </c>
      <c r="M1726" s="1" t="s">
        <v>53</v>
      </c>
      <c r="N1726" s="1" t="s">
        <v>29</v>
      </c>
      <c r="O1726" s="1" t="s">
        <v>30</v>
      </c>
      <c r="P1726" s="29">
        <v>201676.48</v>
      </c>
      <c r="Q1726" s="1" t="s">
        <v>105</v>
      </c>
      <c r="R1726" s="1">
        <v>9</v>
      </c>
      <c r="S1726" s="1">
        <v>189</v>
      </c>
      <c r="T1726" s="1">
        <v>27.3</v>
      </c>
      <c r="U1726" s="1" t="s">
        <v>44</v>
      </c>
      <c r="V1726" s="17" t="s">
        <v>33</v>
      </c>
    </row>
    <row r="1727" spans="1:22" ht="15" customHeight="1" x14ac:dyDescent="0.25">
      <c r="A1727" s="16" t="s">
        <v>3133</v>
      </c>
      <c r="B1727" s="3" t="s">
        <v>1793</v>
      </c>
      <c r="C1727">
        <v>36</v>
      </c>
      <c r="D1727" s="3" t="s">
        <v>98</v>
      </c>
      <c r="E1727" s="3" t="s">
        <v>23</v>
      </c>
      <c r="F1727" s="3" t="s">
        <v>155</v>
      </c>
      <c r="G1727" s="3" t="s">
        <v>77</v>
      </c>
      <c r="H1727" s="3" t="s">
        <v>78</v>
      </c>
      <c r="I1727" s="8">
        <v>43819</v>
      </c>
      <c r="J1727" s="8">
        <v>43952</v>
      </c>
      <c r="K1727" s="3">
        <v>16</v>
      </c>
      <c r="L1727" s="3" t="s">
        <v>132</v>
      </c>
      <c r="M1727" s="3" t="s">
        <v>53</v>
      </c>
      <c r="N1727" s="3" t="s">
        <v>84</v>
      </c>
      <c r="O1727" s="3" t="s">
        <v>30</v>
      </c>
      <c r="P1727" s="30">
        <v>19698.900000000001</v>
      </c>
      <c r="Q1727" s="3" t="s">
        <v>100</v>
      </c>
      <c r="R1727" s="3">
        <v>10</v>
      </c>
      <c r="S1727" s="3">
        <v>100</v>
      </c>
      <c r="T1727" s="3">
        <v>21.4</v>
      </c>
      <c r="U1727" s="3" t="s">
        <v>44</v>
      </c>
      <c r="V1727" s="18" t="s">
        <v>33</v>
      </c>
    </row>
    <row r="1728" spans="1:22" ht="15" customHeight="1" x14ac:dyDescent="0.25">
      <c r="A1728" s="15" t="s">
        <v>3134</v>
      </c>
      <c r="B1728" s="1" t="s">
        <v>2784</v>
      </c>
      <c r="C1728">
        <v>68</v>
      </c>
      <c r="D1728" s="1" t="s">
        <v>82</v>
      </c>
      <c r="E1728" s="1" t="s">
        <v>23</v>
      </c>
      <c r="F1728" s="1" t="s">
        <v>99</v>
      </c>
      <c r="G1728" s="1" t="s">
        <v>71</v>
      </c>
      <c r="H1728" s="1" t="s">
        <v>78</v>
      </c>
      <c r="I1728" s="7">
        <v>44212</v>
      </c>
      <c r="J1728" s="7">
        <v>44214</v>
      </c>
      <c r="K1728" s="1">
        <v>2</v>
      </c>
      <c r="L1728" s="1" t="s">
        <v>27</v>
      </c>
      <c r="M1728" s="1" t="s">
        <v>28</v>
      </c>
      <c r="N1728" s="1" t="s">
        <v>72</v>
      </c>
      <c r="O1728" s="1" t="s">
        <v>55</v>
      </c>
      <c r="P1728" s="29">
        <v>17848.39</v>
      </c>
      <c r="Q1728" s="1" t="s">
        <v>374</v>
      </c>
      <c r="R1728" s="1">
        <v>2</v>
      </c>
      <c r="S1728" s="1">
        <v>467</v>
      </c>
      <c r="T1728" s="4"/>
      <c r="U1728" s="1" t="s">
        <v>44</v>
      </c>
      <c r="V1728" s="17" t="s">
        <v>33</v>
      </c>
    </row>
    <row r="1729" spans="1:22" ht="15" customHeight="1" x14ac:dyDescent="0.25">
      <c r="A1729" s="16" t="s">
        <v>3135</v>
      </c>
      <c r="B1729" s="3" t="s">
        <v>3136</v>
      </c>
      <c r="C1729">
        <v>50</v>
      </c>
      <c r="D1729" s="3" t="s">
        <v>98</v>
      </c>
      <c r="E1729" s="3" t="s">
        <v>23</v>
      </c>
      <c r="F1729" s="3" t="s">
        <v>24</v>
      </c>
      <c r="G1729" s="3" t="s">
        <v>50</v>
      </c>
      <c r="H1729" s="3" t="s">
        <v>51</v>
      </c>
      <c r="I1729" s="6">
        <v>44109</v>
      </c>
      <c r="J1729" s="8">
        <v>43970</v>
      </c>
      <c r="K1729" s="3">
        <v>9</v>
      </c>
      <c r="L1729" s="3" t="s">
        <v>132</v>
      </c>
      <c r="M1729" s="3" t="s">
        <v>53</v>
      </c>
      <c r="N1729" s="3" t="s">
        <v>126</v>
      </c>
      <c r="O1729" s="3" t="s">
        <v>42</v>
      </c>
      <c r="P1729" s="30">
        <v>18910</v>
      </c>
      <c r="Q1729" s="3" t="s">
        <v>194</v>
      </c>
      <c r="R1729" s="3">
        <v>9</v>
      </c>
      <c r="S1729" s="3">
        <v>100</v>
      </c>
      <c r="T1729" s="3">
        <v>30.6</v>
      </c>
      <c r="U1729" s="3" t="s">
        <v>32</v>
      </c>
      <c r="V1729" s="18" t="s">
        <v>33</v>
      </c>
    </row>
    <row r="1730" spans="1:22" ht="15" customHeight="1" x14ac:dyDescent="0.25">
      <c r="A1730" s="15" t="s">
        <v>3137</v>
      </c>
      <c r="B1730" s="1" t="s">
        <v>2188</v>
      </c>
      <c r="C1730">
        <v>63</v>
      </c>
      <c r="D1730" s="1" t="s">
        <v>59</v>
      </c>
      <c r="E1730" s="1" t="s">
        <v>48</v>
      </c>
      <c r="F1730" s="1" t="s">
        <v>155</v>
      </c>
      <c r="G1730" s="1" t="s">
        <v>417</v>
      </c>
      <c r="H1730" s="1" t="s">
        <v>156</v>
      </c>
      <c r="I1730" s="7">
        <v>43623</v>
      </c>
      <c r="J1730" s="7">
        <v>43628</v>
      </c>
      <c r="K1730" s="1">
        <v>5</v>
      </c>
      <c r="L1730" s="1" t="s">
        <v>102</v>
      </c>
      <c r="M1730" s="1" t="s">
        <v>28</v>
      </c>
      <c r="N1730" s="1" t="s">
        <v>173</v>
      </c>
      <c r="O1730" s="1" t="s">
        <v>42</v>
      </c>
      <c r="P1730" s="29">
        <v>17797.14</v>
      </c>
      <c r="Q1730" s="1" t="s">
        <v>119</v>
      </c>
      <c r="R1730" s="1">
        <v>7</v>
      </c>
      <c r="S1730" s="1">
        <v>174</v>
      </c>
      <c r="T1730" s="1">
        <v>28.8</v>
      </c>
      <c r="U1730" s="1" t="s">
        <v>32</v>
      </c>
      <c r="V1730" s="17" t="s">
        <v>33</v>
      </c>
    </row>
    <row r="1731" spans="1:22" ht="15" customHeight="1" x14ac:dyDescent="0.25">
      <c r="A1731" s="16" t="s">
        <v>3138</v>
      </c>
      <c r="B1731" s="3" t="s">
        <v>2010</v>
      </c>
      <c r="C1731">
        <v>69</v>
      </c>
      <c r="D1731" s="3" t="s">
        <v>82</v>
      </c>
      <c r="E1731" s="3" t="s">
        <v>48</v>
      </c>
      <c r="F1731" s="3" t="s">
        <v>83</v>
      </c>
      <c r="G1731" s="3" t="s">
        <v>163</v>
      </c>
      <c r="H1731" s="3" t="s">
        <v>51</v>
      </c>
      <c r="I1731" s="8">
        <v>45224</v>
      </c>
      <c r="J1731" s="8">
        <v>45228</v>
      </c>
      <c r="K1731" s="3">
        <v>4</v>
      </c>
      <c r="L1731" s="3" t="s">
        <v>185</v>
      </c>
      <c r="M1731" s="3" t="s">
        <v>186</v>
      </c>
      <c r="N1731" s="3" t="s">
        <v>164</v>
      </c>
      <c r="O1731" s="3" t="s">
        <v>42</v>
      </c>
      <c r="P1731" s="30">
        <v>34705.78</v>
      </c>
      <c r="Q1731" s="3" t="s">
        <v>165</v>
      </c>
      <c r="R1731" s="3">
        <v>6</v>
      </c>
      <c r="S1731" s="3">
        <v>150</v>
      </c>
      <c r="T1731" s="4"/>
      <c r="U1731" s="3" t="s">
        <v>32</v>
      </c>
      <c r="V1731" s="18" t="s">
        <v>33</v>
      </c>
    </row>
    <row r="1732" spans="1:22" ht="15" customHeight="1" x14ac:dyDescent="0.25">
      <c r="A1732" s="15" t="s">
        <v>3139</v>
      </c>
      <c r="B1732" s="1" t="s">
        <v>3140</v>
      </c>
      <c r="C1732">
        <v>61</v>
      </c>
      <c r="D1732" s="1" t="s">
        <v>59</v>
      </c>
      <c r="E1732" s="1" t="s">
        <v>48</v>
      </c>
      <c r="F1732" s="1" t="s">
        <v>155</v>
      </c>
      <c r="G1732" s="1" t="s">
        <v>60</v>
      </c>
      <c r="H1732" s="1" t="s">
        <v>78</v>
      </c>
      <c r="I1732" s="7">
        <v>44342</v>
      </c>
      <c r="J1732" s="7">
        <v>44345</v>
      </c>
      <c r="K1732" s="1">
        <v>3</v>
      </c>
      <c r="L1732" s="1" t="s">
        <v>185</v>
      </c>
      <c r="M1732" s="1" t="s">
        <v>186</v>
      </c>
      <c r="N1732" s="1" t="s">
        <v>61</v>
      </c>
      <c r="O1732" s="1" t="s">
        <v>42</v>
      </c>
      <c r="P1732" s="29">
        <v>60814</v>
      </c>
      <c r="Q1732" s="1" t="s">
        <v>170</v>
      </c>
      <c r="R1732" s="1">
        <v>6</v>
      </c>
      <c r="S1732" s="1">
        <v>344</v>
      </c>
      <c r="T1732" s="1">
        <v>29.3</v>
      </c>
      <c r="U1732" s="1" t="s">
        <v>44</v>
      </c>
      <c r="V1732" s="17" t="s">
        <v>33</v>
      </c>
    </row>
    <row r="1733" spans="1:22" ht="15" customHeight="1" x14ac:dyDescent="0.25">
      <c r="A1733" s="16" t="s">
        <v>3141</v>
      </c>
      <c r="B1733" s="3" t="s">
        <v>3142</v>
      </c>
      <c r="C1733">
        <v>61</v>
      </c>
      <c r="D1733" s="3" t="s">
        <v>59</v>
      </c>
      <c r="E1733" s="3" t="s">
        <v>23</v>
      </c>
      <c r="F1733" s="3" t="s">
        <v>99</v>
      </c>
      <c r="G1733" s="3" t="s">
        <v>71</v>
      </c>
      <c r="H1733" s="3" t="s">
        <v>78</v>
      </c>
      <c r="I1733" s="6">
        <v>44483</v>
      </c>
      <c r="J1733" s="8">
        <v>44487</v>
      </c>
      <c r="K1733" s="3">
        <v>4</v>
      </c>
      <c r="L1733" s="3" t="s">
        <v>112</v>
      </c>
      <c r="M1733" s="3" t="s">
        <v>40</v>
      </c>
      <c r="N1733" s="3" t="s">
        <v>312</v>
      </c>
      <c r="O1733" s="3" t="s">
        <v>42</v>
      </c>
      <c r="P1733" s="30">
        <v>8293.48</v>
      </c>
      <c r="Q1733" s="3" t="s">
        <v>170</v>
      </c>
      <c r="R1733" s="3">
        <v>4</v>
      </c>
      <c r="S1733" s="3">
        <v>114</v>
      </c>
      <c r="T1733" s="3">
        <v>23.4</v>
      </c>
      <c r="U1733" s="3" t="s">
        <v>44</v>
      </c>
      <c r="V1733" s="18" t="s">
        <v>33</v>
      </c>
    </row>
    <row r="1734" spans="1:22" ht="15" customHeight="1" x14ac:dyDescent="0.25">
      <c r="A1734" s="15" t="s">
        <v>3143</v>
      </c>
      <c r="B1734" s="1" t="s">
        <v>3144</v>
      </c>
      <c r="C1734">
        <v>80</v>
      </c>
      <c r="D1734" s="1" t="s">
        <v>36</v>
      </c>
      <c r="E1734" s="1" t="s">
        <v>48</v>
      </c>
      <c r="F1734" s="1" t="s">
        <v>70</v>
      </c>
      <c r="G1734" s="1" t="s">
        <v>71</v>
      </c>
      <c r="H1734" s="1" t="s">
        <v>26</v>
      </c>
      <c r="I1734" s="7">
        <v>45049</v>
      </c>
      <c r="J1734" s="7">
        <v>45054</v>
      </c>
      <c r="K1734" s="1">
        <v>5</v>
      </c>
      <c r="L1734" s="1" t="s">
        <v>132</v>
      </c>
      <c r="M1734" s="1" t="s">
        <v>53</v>
      </c>
      <c r="N1734" s="1" t="s">
        <v>312</v>
      </c>
      <c r="O1734" s="1" t="s">
        <v>55</v>
      </c>
      <c r="P1734" s="29">
        <v>31327.48</v>
      </c>
      <c r="Q1734" s="1" t="s">
        <v>73</v>
      </c>
      <c r="R1734" s="1">
        <v>4</v>
      </c>
      <c r="S1734" s="1">
        <v>362</v>
      </c>
      <c r="T1734" s="4"/>
      <c r="U1734" s="1" t="s">
        <v>32</v>
      </c>
      <c r="V1734" s="17" t="s">
        <v>45</v>
      </c>
    </row>
    <row r="1735" spans="1:22" ht="15" customHeight="1" x14ac:dyDescent="0.25">
      <c r="A1735" s="16" t="s">
        <v>3145</v>
      </c>
      <c r="B1735" s="3" t="s">
        <v>3146</v>
      </c>
      <c r="C1735">
        <v>84</v>
      </c>
      <c r="D1735" s="3" t="s">
        <v>36</v>
      </c>
      <c r="E1735" s="3" t="s">
        <v>23</v>
      </c>
      <c r="F1735" s="3" t="s">
        <v>155</v>
      </c>
      <c r="G1735" s="3" t="s">
        <v>131</v>
      </c>
      <c r="H1735" s="3" t="s">
        <v>51</v>
      </c>
      <c r="I1735" s="6">
        <v>43708</v>
      </c>
      <c r="J1735" s="8">
        <v>43594</v>
      </c>
      <c r="K1735" s="3">
        <v>5</v>
      </c>
      <c r="L1735" s="3" t="s">
        <v>112</v>
      </c>
      <c r="M1735" s="3" t="s">
        <v>40</v>
      </c>
      <c r="N1735" s="3" t="s">
        <v>157</v>
      </c>
      <c r="O1735" s="3" t="s">
        <v>55</v>
      </c>
      <c r="P1735" s="30">
        <v>22344.06</v>
      </c>
      <c r="Q1735" s="3" t="s">
        <v>695</v>
      </c>
      <c r="R1735" s="3">
        <v>6</v>
      </c>
      <c r="S1735" s="3">
        <v>155</v>
      </c>
      <c r="T1735" s="3">
        <v>27.5</v>
      </c>
      <c r="U1735" s="3" t="s">
        <v>86</v>
      </c>
      <c r="V1735" s="18" t="s">
        <v>33</v>
      </c>
    </row>
    <row r="1736" spans="1:22" ht="15" customHeight="1" x14ac:dyDescent="0.25">
      <c r="A1736" s="15" t="s">
        <v>3147</v>
      </c>
      <c r="B1736" s="1" t="s">
        <v>3148</v>
      </c>
      <c r="C1736">
        <v>66</v>
      </c>
      <c r="D1736" s="1" t="s">
        <v>82</v>
      </c>
      <c r="E1736" s="1" t="s">
        <v>48</v>
      </c>
      <c r="F1736" s="2" t="s">
        <v>3714</v>
      </c>
      <c r="G1736" s="1" t="s">
        <v>163</v>
      </c>
      <c r="H1736" s="1" t="s">
        <v>26</v>
      </c>
      <c r="I1736" s="7">
        <v>45231</v>
      </c>
      <c r="J1736" s="7">
        <v>45237</v>
      </c>
      <c r="K1736" s="1">
        <v>6</v>
      </c>
      <c r="L1736" s="1" t="s">
        <v>185</v>
      </c>
      <c r="M1736" s="1" t="s">
        <v>186</v>
      </c>
      <c r="N1736" s="1" t="s">
        <v>346</v>
      </c>
      <c r="O1736" s="1" t="s">
        <v>42</v>
      </c>
      <c r="P1736" s="29">
        <v>47040</v>
      </c>
      <c r="Q1736" s="1" t="s">
        <v>257</v>
      </c>
      <c r="R1736" s="1">
        <v>6</v>
      </c>
      <c r="S1736" s="1">
        <v>144</v>
      </c>
      <c r="T1736" s="1">
        <v>25.9</v>
      </c>
      <c r="U1736" s="1" t="s">
        <v>32</v>
      </c>
      <c r="V1736" s="17" t="s">
        <v>45</v>
      </c>
    </row>
    <row r="1737" spans="1:22" ht="15" customHeight="1" x14ac:dyDescent="0.25">
      <c r="A1737" s="16" t="s">
        <v>3149</v>
      </c>
      <c r="B1737" s="3" t="s">
        <v>2473</v>
      </c>
      <c r="C1737">
        <v>59</v>
      </c>
      <c r="D1737" s="3" t="s">
        <v>59</v>
      </c>
      <c r="E1737" s="3" t="s">
        <v>48</v>
      </c>
      <c r="F1737" s="3" t="s">
        <v>155</v>
      </c>
      <c r="G1737" s="3" t="s">
        <v>25</v>
      </c>
      <c r="H1737" s="3" t="s">
        <v>26</v>
      </c>
      <c r="I1737" s="8">
        <v>43685</v>
      </c>
      <c r="J1737" s="8">
        <v>43697</v>
      </c>
      <c r="K1737" s="3">
        <v>12</v>
      </c>
      <c r="L1737" s="3" t="s">
        <v>185</v>
      </c>
      <c r="M1737" s="3" t="s">
        <v>186</v>
      </c>
      <c r="N1737" s="3" t="s">
        <v>65</v>
      </c>
      <c r="O1737" s="3" t="s">
        <v>42</v>
      </c>
      <c r="P1737" s="30">
        <v>105725.29</v>
      </c>
      <c r="Q1737" s="3" t="s">
        <v>484</v>
      </c>
      <c r="R1737" s="3">
        <v>12</v>
      </c>
      <c r="S1737" s="3">
        <v>443</v>
      </c>
      <c r="T1737" s="3">
        <v>17.600000000000001</v>
      </c>
      <c r="U1737" s="3" t="s">
        <v>44</v>
      </c>
      <c r="V1737" s="18" t="s">
        <v>33</v>
      </c>
    </row>
    <row r="1738" spans="1:22" ht="15" customHeight="1" x14ac:dyDescent="0.25">
      <c r="A1738" s="15" t="s">
        <v>3150</v>
      </c>
      <c r="B1738" s="1" t="s">
        <v>3151</v>
      </c>
      <c r="C1738">
        <v>72</v>
      </c>
      <c r="D1738" s="1" t="s">
        <v>82</v>
      </c>
      <c r="E1738" s="1" t="s">
        <v>48</v>
      </c>
      <c r="F1738" s="1" t="s">
        <v>99</v>
      </c>
      <c r="G1738" s="1" t="s">
        <v>77</v>
      </c>
      <c r="H1738" s="1" t="s">
        <v>51</v>
      </c>
      <c r="I1738" s="7">
        <v>45360</v>
      </c>
      <c r="J1738" s="7">
        <v>45366</v>
      </c>
      <c r="K1738" s="1">
        <v>6</v>
      </c>
      <c r="L1738" s="1" t="s">
        <v>112</v>
      </c>
      <c r="M1738" s="1" t="s">
        <v>40</v>
      </c>
      <c r="N1738" s="1" t="s">
        <v>94</v>
      </c>
      <c r="O1738" s="1" t="s">
        <v>42</v>
      </c>
      <c r="P1738" s="29">
        <v>62078.77</v>
      </c>
      <c r="Q1738" s="1" t="s">
        <v>85</v>
      </c>
      <c r="R1738" s="1">
        <v>10</v>
      </c>
      <c r="S1738" s="1">
        <v>189</v>
      </c>
      <c r="T1738" s="1">
        <v>31.7</v>
      </c>
      <c r="U1738" s="1" t="s">
        <v>86</v>
      </c>
      <c r="V1738" s="17" t="s">
        <v>33</v>
      </c>
    </row>
    <row r="1739" spans="1:22" ht="15" customHeight="1" x14ac:dyDescent="0.25">
      <c r="A1739" s="16" t="s">
        <v>3152</v>
      </c>
      <c r="B1739" s="3" t="s">
        <v>3153</v>
      </c>
      <c r="C1739">
        <v>68</v>
      </c>
      <c r="D1739" s="3" t="s">
        <v>82</v>
      </c>
      <c r="E1739" s="3" t="s">
        <v>23</v>
      </c>
      <c r="F1739" s="3" t="s">
        <v>155</v>
      </c>
      <c r="G1739" s="3" t="s">
        <v>60</v>
      </c>
      <c r="H1739" s="3" t="s">
        <v>78</v>
      </c>
      <c r="I1739" s="8">
        <v>43726</v>
      </c>
      <c r="J1739" s="8">
        <v>43736</v>
      </c>
      <c r="K1739" s="3">
        <v>10</v>
      </c>
      <c r="L1739" s="3" t="s">
        <v>27</v>
      </c>
      <c r="M1739" s="3" t="s">
        <v>28</v>
      </c>
      <c r="N1739" s="3" t="s">
        <v>210</v>
      </c>
      <c r="O1739" s="3" t="s">
        <v>42</v>
      </c>
      <c r="P1739" s="30">
        <v>38236.339999999997</v>
      </c>
      <c r="Q1739" s="3" t="s">
        <v>62</v>
      </c>
      <c r="R1739" s="3">
        <v>4</v>
      </c>
      <c r="S1739" s="3">
        <v>448</v>
      </c>
      <c r="T1739" s="3">
        <v>18.899999999999999</v>
      </c>
      <c r="U1739" s="3" t="s">
        <v>32</v>
      </c>
      <c r="V1739" s="18" t="s">
        <v>33</v>
      </c>
    </row>
    <row r="1740" spans="1:22" ht="15" customHeight="1" x14ac:dyDescent="0.25">
      <c r="A1740" s="15" t="s">
        <v>3154</v>
      </c>
      <c r="B1740" s="1" t="s">
        <v>3155</v>
      </c>
      <c r="C1740">
        <v>85</v>
      </c>
      <c r="D1740" s="1" t="s">
        <v>36</v>
      </c>
      <c r="E1740" s="1" t="s">
        <v>23</v>
      </c>
      <c r="F1740" s="1" t="s">
        <v>83</v>
      </c>
      <c r="G1740" s="1" t="s">
        <v>71</v>
      </c>
      <c r="H1740" s="1" t="s">
        <v>51</v>
      </c>
      <c r="I1740" s="7">
        <v>43995</v>
      </c>
      <c r="J1740" s="10"/>
      <c r="K1740" s="1"/>
      <c r="L1740" s="1" t="s">
        <v>132</v>
      </c>
      <c r="M1740" s="1" t="s">
        <v>53</v>
      </c>
      <c r="N1740" s="1" t="s">
        <v>177</v>
      </c>
      <c r="O1740" s="1" t="s">
        <v>55</v>
      </c>
      <c r="P1740" s="29">
        <v>20904.8</v>
      </c>
      <c r="Q1740" s="1" t="s">
        <v>503</v>
      </c>
      <c r="R1740" s="1">
        <v>2</v>
      </c>
      <c r="S1740" s="1">
        <v>188</v>
      </c>
      <c r="T1740" s="1">
        <v>24.4</v>
      </c>
      <c r="U1740" s="1" t="s">
        <v>32</v>
      </c>
      <c r="V1740" s="17" t="s">
        <v>33</v>
      </c>
    </row>
    <row r="1741" spans="1:22" ht="15" customHeight="1" x14ac:dyDescent="0.25">
      <c r="A1741" s="16" t="s">
        <v>3156</v>
      </c>
      <c r="B1741" s="3" t="s">
        <v>2595</v>
      </c>
      <c r="C1741">
        <v>66</v>
      </c>
      <c r="D1741" s="3" t="s">
        <v>82</v>
      </c>
      <c r="E1741" s="3" t="s">
        <v>23</v>
      </c>
      <c r="F1741" s="3" t="s">
        <v>99</v>
      </c>
      <c r="G1741" s="3" t="s">
        <v>71</v>
      </c>
      <c r="H1741" s="3" t="s">
        <v>26</v>
      </c>
      <c r="I1741" s="8">
        <v>43941</v>
      </c>
      <c r="J1741" s="8">
        <v>43949</v>
      </c>
      <c r="K1741" s="3">
        <v>8</v>
      </c>
      <c r="L1741" s="3" t="s">
        <v>132</v>
      </c>
      <c r="M1741" s="3" t="s">
        <v>53</v>
      </c>
      <c r="N1741" s="3" t="s">
        <v>312</v>
      </c>
      <c r="O1741" s="3" t="s">
        <v>30</v>
      </c>
      <c r="P1741" s="30">
        <v>29884</v>
      </c>
      <c r="Q1741" s="3" t="s">
        <v>503</v>
      </c>
      <c r="R1741" s="3">
        <v>4</v>
      </c>
      <c r="S1741" s="3">
        <v>182</v>
      </c>
      <c r="T1741" s="3">
        <v>20</v>
      </c>
      <c r="U1741" s="3" t="s">
        <v>44</v>
      </c>
      <c r="V1741" s="18" t="s">
        <v>33</v>
      </c>
    </row>
    <row r="1742" spans="1:22" ht="15" customHeight="1" x14ac:dyDescent="0.25">
      <c r="A1742" s="15" t="s">
        <v>3157</v>
      </c>
      <c r="B1742" s="1" t="s">
        <v>3158</v>
      </c>
      <c r="C1742">
        <v>65</v>
      </c>
      <c r="D1742" s="1" t="s">
        <v>82</v>
      </c>
      <c r="E1742" s="1" t="s">
        <v>23</v>
      </c>
      <c r="F1742" s="1" t="s">
        <v>70</v>
      </c>
      <c r="G1742" s="1" t="s">
        <v>38</v>
      </c>
      <c r="H1742" s="1" t="s">
        <v>51</v>
      </c>
      <c r="I1742" s="7">
        <v>44859</v>
      </c>
      <c r="J1742" s="7">
        <v>44864</v>
      </c>
      <c r="K1742" s="1">
        <v>5</v>
      </c>
      <c r="L1742" s="1" t="s">
        <v>52</v>
      </c>
      <c r="M1742" s="1" t="s">
        <v>53</v>
      </c>
      <c r="N1742" s="1" t="s">
        <v>41</v>
      </c>
      <c r="O1742" s="1" t="s">
        <v>30</v>
      </c>
      <c r="P1742" s="29">
        <v>11600.05</v>
      </c>
      <c r="Q1742" s="1" t="s">
        <v>174</v>
      </c>
      <c r="R1742" s="1">
        <v>8</v>
      </c>
      <c r="S1742" s="1">
        <v>134</v>
      </c>
      <c r="T1742" s="4"/>
      <c r="U1742" s="1" t="s">
        <v>86</v>
      </c>
      <c r="V1742" s="17" t="s">
        <v>33</v>
      </c>
    </row>
    <row r="1743" spans="1:22" ht="15" customHeight="1" x14ac:dyDescent="0.25">
      <c r="A1743" s="16" t="s">
        <v>3159</v>
      </c>
      <c r="B1743" s="3" t="s">
        <v>2202</v>
      </c>
      <c r="C1743">
        <v>56</v>
      </c>
      <c r="D1743" s="3" t="s">
        <v>59</v>
      </c>
      <c r="E1743" s="3" t="s">
        <v>48</v>
      </c>
      <c r="F1743" s="3" t="s">
        <v>70</v>
      </c>
      <c r="G1743" s="3" t="s">
        <v>25</v>
      </c>
      <c r="H1743" s="3" t="s">
        <v>78</v>
      </c>
      <c r="I1743" s="6">
        <v>45439</v>
      </c>
      <c r="J1743" s="8">
        <v>45461</v>
      </c>
      <c r="K1743" s="3">
        <v>22</v>
      </c>
      <c r="L1743" s="3" t="s">
        <v>231</v>
      </c>
      <c r="M1743" s="3" t="s">
        <v>53</v>
      </c>
      <c r="N1743" s="3" t="s">
        <v>29</v>
      </c>
      <c r="O1743" s="3" t="s">
        <v>42</v>
      </c>
      <c r="P1743" s="30">
        <v>128130</v>
      </c>
      <c r="Q1743" s="3" t="s">
        <v>515</v>
      </c>
      <c r="R1743" s="3">
        <v>12</v>
      </c>
      <c r="S1743" s="3">
        <v>211</v>
      </c>
      <c r="T1743" s="3">
        <v>28.5</v>
      </c>
      <c r="U1743" s="3" t="s">
        <v>32</v>
      </c>
      <c r="V1743" s="18" t="s">
        <v>33</v>
      </c>
    </row>
    <row r="1744" spans="1:22" ht="15" customHeight="1" x14ac:dyDescent="0.25">
      <c r="A1744" s="15" t="s">
        <v>3160</v>
      </c>
      <c r="B1744" s="1" t="s">
        <v>2800</v>
      </c>
      <c r="C1744">
        <v>83</v>
      </c>
      <c r="D1744" s="1" t="s">
        <v>36</v>
      </c>
      <c r="E1744" s="1" t="s">
        <v>23</v>
      </c>
      <c r="F1744" s="1" t="s">
        <v>155</v>
      </c>
      <c r="G1744" s="1" t="s">
        <v>131</v>
      </c>
      <c r="H1744" s="1" t="s">
        <v>26</v>
      </c>
      <c r="I1744" s="6">
        <v>44694</v>
      </c>
      <c r="J1744" s="7">
        <v>44697</v>
      </c>
      <c r="K1744" s="1">
        <v>3</v>
      </c>
      <c r="L1744" s="1" t="s">
        <v>89</v>
      </c>
      <c r="M1744" s="1" t="s">
        <v>90</v>
      </c>
      <c r="N1744" s="1" t="s">
        <v>147</v>
      </c>
      <c r="O1744" s="1" t="s">
        <v>66</v>
      </c>
      <c r="P1744" s="29">
        <v>74268.399999999994</v>
      </c>
      <c r="Q1744" s="1" t="s">
        <v>291</v>
      </c>
      <c r="R1744" s="1">
        <v>7</v>
      </c>
      <c r="S1744" s="1">
        <v>380</v>
      </c>
      <c r="T1744" s="1">
        <v>27.8</v>
      </c>
      <c r="U1744" s="1" t="s">
        <v>44</v>
      </c>
      <c r="V1744" s="17" t="s">
        <v>33</v>
      </c>
    </row>
    <row r="1745" spans="1:22" ht="15" customHeight="1" x14ac:dyDescent="0.25">
      <c r="A1745" s="16" t="s">
        <v>3161</v>
      </c>
      <c r="B1745" s="3" t="s">
        <v>3162</v>
      </c>
      <c r="C1745">
        <v>56</v>
      </c>
      <c r="D1745" s="3" t="s">
        <v>59</v>
      </c>
      <c r="E1745" s="3" t="s">
        <v>23</v>
      </c>
      <c r="F1745" s="3" t="s">
        <v>99</v>
      </c>
      <c r="G1745" s="3" t="s">
        <v>163</v>
      </c>
      <c r="H1745" s="3" t="s">
        <v>78</v>
      </c>
      <c r="I1745" s="8">
        <v>45232</v>
      </c>
      <c r="J1745" s="8">
        <v>45238</v>
      </c>
      <c r="K1745" s="3">
        <v>6</v>
      </c>
      <c r="L1745" s="3" t="s">
        <v>102</v>
      </c>
      <c r="M1745" s="3" t="s">
        <v>28</v>
      </c>
      <c r="N1745" s="3" t="s">
        <v>213</v>
      </c>
      <c r="O1745" s="3" t="s">
        <v>30</v>
      </c>
      <c r="P1745" s="30">
        <v>28467.63</v>
      </c>
      <c r="Q1745" s="3" t="s">
        <v>234</v>
      </c>
      <c r="R1745" s="3">
        <v>6</v>
      </c>
      <c r="S1745" s="3">
        <v>132</v>
      </c>
      <c r="T1745" s="3">
        <v>29.9</v>
      </c>
      <c r="U1745" s="3" t="s">
        <v>32</v>
      </c>
      <c r="V1745" s="18" t="s">
        <v>45</v>
      </c>
    </row>
    <row r="1746" spans="1:22" ht="15" customHeight="1" x14ac:dyDescent="0.25">
      <c r="A1746" s="15" t="s">
        <v>3163</v>
      </c>
      <c r="B1746" s="1" t="s">
        <v>2277</v>
      </c>
      <c r="C1746">
        <v>58</v>
      </c>
      <c r="D1746" s="1" t="s">
        <v>59</v>
      </c>
      <c r="E1746" s="1" t="s">
        <v>48</v>
      </c>
      <c r="F1746" s="1" t="s">
        <v>24</v>
      </c>
      <c r="G1746" s="1" t="s">
        <v>131</v>
      </c>
      <c r="H1746" s="1" t="s">
        <v>26</v>
      </c>
      <c r="I1746" s="7">
        <v>43815</v>
      </c>
      <c r="J1746" s="7">
        <v>43821</v>
      </c>
      <c r="K1746" s="1">
        <v>6</v>
      </c>
      <c r="L1746" s="1" t="s">
        <v>122</v>
      </c>
      <c r="M1746" s="1" t="s">
        <v>40</v>
      </c>
      <c r="N1746" s="1" t="s">
        <v>157</v>
      </c>
      <c r="O1746" s="1" t="s">
        <v>66</v>
      </c>
      <c r="P1746" s="29">
        <v>29438</v>
      </c>
      <c r="Q1746" s="1" t="s">
        <v>148</v>
      </c>
      <c r="R1746" s="1">
        <v>7</v>
      </c>
      <c r="S1746" s="1">
        <v>311</v>
      </c>
      <c r="T1746" s="1">
        <v>34.5</v>
      </c>
      <c r="U1746" s="1" t="s">
        <v>32</v>
      </c>
      <c r="V1746" s="17" t="s">
        <v>33</v>
      </c>
    </row>
    <row r="1747" spans="1:22" ht="15" customHeight="1" x14ac:dyDescent="0.25">
      <c r="A1747" s="16" t="s">
        <v>3164</v>
      </c>
      <c r="B1747" s="2" t="s">
        <v>3057</v>
      </c>
      <c r="C1747">
        <v>28</v>
      </c>
      <c r="D1747" s="3" t="s">
        <v>47</v>
      </c>
      <c r="E1747" s="3" t="s">
        <v>23</v>
      </c>
      <c r="F1747" s="3" t="s">
        <v>83</v>
      </c>
      <c r="G1747" s="3" t="s">
        <v>444</v>
      </c>
      <c r="H1747" s="3" t="s">
        <v>51</v>
      </c>
      <c r="I1747" s="8">
        <v>45310</v>
      </c>
      <c r="J1747" s="8">
        <v>45314</v>
      </c>
      <c r="K1747" s="3">
        <v>4</v>
      </c>
      <c r="L1747" s="3" t="s">
        <v>89</v>
      </c>
      <c r="M1747" s="3" t="s">
        <v>90</v>
      </c>
      <c r="N1747" s="3" t="s">
        <v>41</v>
      </c>
      <c r="O1747" s="3" t="s">
        <v>104</v>
      </c>
      <c r="P1747" s="30">
        <v>5781.61</v>
      </c>
      <c r="Q1747" s="3" t="s">
        <v>174</v>
      </c>
      <c r="R1747" s="3">
        <v>8</v>
      </c>
      <c r="S1747" s="3">
        <v>126</v>
      </c>
      <c r="T1747" s="3">
        <v>19.2</v>
      </c>
      <c r="U1747" s="3" t="s">
        <v>44</v>
      </c>
      <c r="V1747" s="18" t="s">
        <v>33</v>
      </c>
    </row>
    <row r="1748" spans="1:22" ht="15" customHeight="1" x14ac:dyDescent="0.25">
      <c r="A1748" s="15" t="s">
        <v>3165</v>
      </c>
      <c r="B1748" s="1" t="s">
        <v>2968</v>
      </c>
      <c r="C1748">
        <v>38</v>
      </c>
      <c r="D1748" s="1" t="s">
        <v>98</v>
      </c>
      <c r="E1748" s="1" t="s">
        <v>23</v>
      </c>
      <c r="F1748" s="1" t="s">
        <v>99</v>
      </c>
      <c r="G1748" s="1" t="s">
        <v>163</v>
      </c>
      <c r="H1748" s="1" t="s">
        <v>78</v>
      </c>
      <c r="I1748" s="6">
        <v>44109</v>
      </c>
      <c r="J1748" s="7">
        <v>43968</v>
      </c>
      <c r="K1748" s="1">
        <v>7</v>
      </c>
      <c r="L1748" s="1" t="s">
        <v>112</v>
      </c>
      <c r="M1748" s="1" t="s">
        <v>40</v>
      </c>
      <c r="N1748" s="1" t="s">
        <v>213</v>
      </c>
      <c r="O1748" s="1" t="s">
        <v>104</v>
      </c>
      <c r="P1748" s="29">
        <v>11444</v>
      </c>
      <c r="Q1748" s="1" t="s">
        <v>234</v>
      </c>
      <c r="R1748" s="1">
        <v>2</v>
      </c>
      <c r="S1748" s="1">
        <v>313</v>
      </c>
      <c r="T1748" s="1">
        <v>18.899999999999999</v>
      </c>
      <c r="U1748" s="1" t="s">
        <v>32</v>
      </c>
      <c r="V1748" s="17" t="s">
        <v>33</v>
      </c>
    </row>
    <row r="1749" spans="1:22" ht="15" customHeight="1" x14ac:dyDescent="0.25">
      <c r="A1749" s="16" t="s">
        <v>3166</v>
      </c>
      <c r="B1749" s="3" t="s">
        <v>3167</v>
      </c>
      <c r="C1749">
        <v>68</v>
      </c>
      <c r="D1749" s="3" t="s">
        <v>82</v>
      </c>
      <c r="E1749" s="3" t="s">
        <v>48</v>
      </c>
      <c r="F1749" s="3" t="s">
        <v>155</v>
      </c>
      <c r="G1749" s="3" t="s">
        <v>25</v>
      </c>
      <c r="H1749" s="3" t="s">
        <v>51</v>
      </c>
      <c r="I1749" s="8">
        <v>44446</v>
      </c>
      <c r="J1749" s="8">
        <v>44458</v>
      </c>
      <c r="K1749" s="3">
        <v>12</v>
      </c>
      <c r="L1749" s="3" t="s">
        <v>132</v>
      </c>
      <c r="M1749" s="3" t="s">
        <v>53</v>
      </c>
      <c r="N1749" s="3" t="s">
        <v>65</v>
      </c>
      <c r="O1749" s="3" t="s">
        <v>42</v>
      </c>
      <c r="P1749" s="30">
        <v>90213.31</v>
      </c>
      <c r="Q1749" s="3" t="s">
        <v>706</v>
      </c>
      <c r="R1749" s="3">
        <v>12</v>
      </c>
      <c r="S1749" s="3">
        <v>148</v>
      </c>
      <c r="T1749" s="3">
        <v>19.7</v>
      </c>
      <c r="U1749" s="3" t="s">
        <v>44</v>
      </c>
      <c r="V1749" s="18" t="s">
        <v>45</v>
      </c>
    </row>
    <row r="1750" spans="1:22" ht="15" customHeight="1" x14ac:dyDescent="0.25">
      <c r="A1750" s="15" t="s">
        <v>3168</v>
      </c>
      <c r="B1750" s="1" t="s">
        <v>3169</v>
      </c>
      <c r="C1750">
        <v>63</v>
      </c>
      <c r="D1750" s="1" t="s">
        <v>59</v>
      </c>
      <c r="E1750" s="1" t="s">
        <v>48</v>
      </c>
      <c r="F1750" s="1" t="s">
        <v>24</v>
      </c>
      <c r="G1750" s="1" t="s">
        <v>131</v>
      </c>
      <c r="H1750" s="1" t="s">
        <v>51</v>
      </c>
      <c r="I1750" s="6">
        <v>45111</v>
      </c>
      <c r="J1750" s="7">
        <v>45115</v>
      </c>
      <c r="K1750" s="1">
        <v>4</v>
      </c>
      <c r="L1750" s="1" t="s">
        <v>89</v>
      </c>
      <c r="M1750" s="1" t="s">
        <v>90</v>
      </c>
      <c r="N1750" s="1" t="s">
        <v>157</v>
      </c>
      <c r="O1750" s="1" t="s">
        <v>30</v>
      </c>
      <c r="P1750" s="29">
        <v>23763.74</v>
      </c>
      <c r="Q1750" s="1" t="s">
        <v>158</v>
      </c>
      <c r="R1750" s="1">
        <v>7</v>
      </c>
      <c r="S1750" s="1">
        <v>103</v>
      </c>
      <c r="T1750" s="1">
        <v>44.7</v>
      </c>
      <c r="U1750" s="1" t="s">
        <v>44</v>
      </c>
      <c r="V1750" s="17" t="s">
        <v>33</v>
      </c>
    </row>
    <row r="1751" spans="1:22" ht="15" customHeight="1" x14ac:dyDescent="0.25">
      <c r="A1751" s="16" t="s">
        <v>3170</v>
      </c>
      <c r="B1751" s="2" t="s">
        <v>3696</v>
      </c>
      <c r="C1751">
        <v>64</v>
      </c>
      <c r="D1751" s="3" t="s">
        <v>59</v>
      </c>
      <c r="E1751" s="3" t="s">
        <v>48</v>
      </c>
      <c r="F1751" s="3" t="s">
        <v>76</v>
      </c>
      <c r="G1751" s="3" t="s">
        <v>77</v>
      </c>
      <c r="H1751" s="3" t="s">
        <v>51</v>
      </c>
      <c r="I1751" s="8">
        <v>44144</v>
      </c>
      <c r="J1751" s="8">
        <v>44153</v>
      </c>
      <c r="K1751" s="3">
        <v>9</v>
      </c>
      <c r="L1751" s="3" t="s">
        <v>112</v>
      </c>
      <c r="M1751" s="3" t="s">
        <v>40</v>
      </c>
      <c r="N1751" s="3" t="s">
        <v>84</v>
      </c>
      <c r="O1751" s="3" t="s">
        <v>42</v>
      </c>
      <c r="P1751" s="30">
        <v>23774.29</v>
      </c>
      <c r="Q1751" s="3" t="s">
        <v>80</v>
      </c>
      <c r="R1751" s="3">
        <v>7</v>
      </c>
      <c r="S1751" s="3">
        <v>158</v>
      </c>
      <c r="T1751" s="3">
        <v>33.1</v>
      </c>
      <c r="U1751" s="3" t="s">
        <v>44</v>
      </c>
      <c r="V1751" s="18" t="s">
        <v>45</v>
      </c>
    </row>
    <row r="1752" spans="1:22" ht="15" customHeight="1" x14ac:dyDescent="0.25">
      <c r="A1752" s="15" t="s">
        <v>3171</v>
      </c>
      <c r="B1752" s="1" t="s">
        <v>2228</v>
      </c>
      <c r="C1752">
        <v>32</v>
      </c>
      <c r="D1752" s="1" t="s">
        <v>47</v>
      </c>
      <c r="E1752" s="1" t="s">
        <v>23</v>
      </c>
      <c r="F1752" s="1" t="s">
        <v>37</v>
      </c>
      <c r="G1752" s="1" t="s">
        <v>131</v>
      </c>
      <c r="H1752" s="1" t="s">
        <v>78</v>
      </c>
      <c r="I1752" s="7">
        <v>44133</v>
      </c>
      <c r="J1752" s="7">
        <v>44138</v>
      </c>
      <c r="K1752" s="1">
        <v>5</v>
      </c>
      <c r="L1752" s="1" t="s">
        <v>52</v>
      </c>
      <c r="M1752" s="1" t="s">
        <v>53</v>
      </c>
      <c r="N1752" s="1" t="s">
        <v>133</v>
      </c>
      <c r="O1752" s="1" t="s">
        <v>104</v>
      </c>
      <c r="P1752" s="29">
        <v>10761.93</v>
      </c>
      <c r="Q1752" s="1" t="s">
        <v>148</v>
      </c>
      <c r="R1752" s="1">
        <v>7</v>
      </c>
      <c r="S1752" s="1">
        <v>101</v>
      </c>
      <c r="T1752" s="1">
        <v>32.5</v>
      </c>
      <c r="U1752" s="1" t="s">
        <v>86</v>
      </c>
      <c r="V1752" s="17" t="s">
        <v>33</v>
      </c>
    </row>
    <row r="1753" spans="1:22" ht="15" customHeight="1" x14ac:dyDescent="0.25">
      <c r="A1753" s="16" t="s">
        <v>3172</v>
      </c>
      <c r="B1753" s="3" t="s">
        <v>2010</v>
      </c>
      <c r="C1753">
        <v>26</v>
      </c>
      <c r="D1753" s="3" t="s">
        <v>47</v>
      </c>
      <c r="E1753" s="3" t="s">
        <v>48</v>
      </c>
      <c r="F1753" s="3" t="s">
        <v>24</v>
      </c>
      <c r="G1753" s="3" t="s">
        <v>38</v>
      </c>
      <c r="H1753" s="3" t="s">
        <v>26</v>
      </c>
      <c r="I1753" s="8">
        <v>45029</v>
      </c>
      <c r="J1753" s="8">
        <v>45034</v>
      </c>
      <c r="K1753" s="3">
        <v>5</v>
      </c>
      <c r="L1753" s="3" t="s">
        <v>39</v>
      </c>
      <c r="M1753" s="3" t="s">
        <v>40</v>
      </c>
      <c r="N1753" s="3" t="s">
        <v>41</v>
      </c>
      <c r="O1753" s="3" t="s">
        <v>42</v>
      </c>
      <c r="P1753" s="30">
        <v>24692</v>
      </c>
      <c r="Q1753" s="3" t="s">
        <v>204</v>
      </c>
      <c r="R1753" s="3">
        <v>7</v>
      </c>
      <c r="S1753" s="3">
        <v>239</v>
      </c>
      <c r="T1753" s="3">
        <v>37.1</v>
      </c>
      <c r="U1753" s="3" t="s">
        <v>44</v>
      </c>
      <c r="V1753" s="18" t="s">
        <v>45</v>
      </c>
    </row>
    <row r="1754" spans="1:22" ht="15" customHeight="1" x14ac:dyDescent="0.25">
      <c r="A1754" s="15" t="s">
        <v>3173</v>
      </c>
      <c r="B1754" s="2" t="s">
        <v>3697</v>
      </c>
      <c r="C1754">
        <v>54</v>
      </c>
      <c r="D1754" s="1" t="s">
        <v>98</v>
      </c>
      <c r="E1754" s="1" t="s">
        <v>23</v>
      </c>
      <c r="F1754" s="1" t="s">
        <v>99</v>
      </c>
      <c r="G1754" s="1" t="s">
        <v>163</v>
      </c>
      <c r="H1754" s="1" t="s">
        <v>78</v>
      </c>
      <c r="I1754" s="7">
        <v>44916</v>
      </c>
      <c r="J1754" s="7">
        <v>44922</v>
      </c>
      <c r="K1754" s="1">
        <v>6</v>
      </c>
      <c r="L1754" s="1" t="s">
        <v>89</v>
      </c>
      <c r="M1754" s="1" t="s">
        <v>90</v>
      </c>
      <c r="N1754" s="1" t="s">
        <v>346</v>
      </c>
      <c r="O1754" s="1" t="s">
        <v>104</v>
      </c>
      <c r="P1754" s="29">
        <v>23395</v>
      </c>
      <c r="Q1754" s="1" t="s">
        <v>382</v>
      </c>
      <c r="R1754" s="1">
        <v>6</v>
      </c>
      <c r="S1754" s="1">
        <v>273</v>
      </c>
      <c r="T1754" s="4"/>
      <c r="U1754" s="1" t="s">
        <v>44</v>
      </c>
      <c r="V1754" s="17" t="s">
        <v>33</v>
      </c>
    </row>
    <row r="1755" spans="1:22" ht="15" customHeight="1" x14ac:dyDescent="0.25">
      <c r="A1755" s="16" t="s">
        <v>3174</v>
      </c>
      <c r="B1755" s="2" t="s">
        <v>3698</v>
      </c>
      <c r="C1755">
        <v>69</v>
      </c>
      <c r="D1755" s="3" t="s">
        <v>82</v>
      </c>
      <c r="E1755" s="3" t="s">
        <v>23</v>
      </c>
      <c r="F1755" s="3" t="s">
        <v>155</v>
      </c>
      <c r="G1755" s="3" t="s">
        <v>131</v>
      </c>
      <c r="H1755" s="3" t="s">
        <v>26</v>
      </c>
      <c r="I1755" s="8">
        <v>44644</v>
      </c>
      <c r="J1755" s="8">
        <v>44652</v>
      </c>
      <c r="K1755" s="3">
        <v>8</v>
      </c>
      <c r="L1755" s="3" t="s">
        <v>39</v>
      </c>
      <c r="M1755" s="3" t="s">
        <v>40</v>
      </c>
      <c r="N1755" s="3" t="s">
        <v>147</v>
      </c>
      <c r="O1755" s="3" t="s">
        <v>30</v>
      </c>
      <c r="P1755" s="30">
        <v>24336</v>
      </c>
      <c r="Q1755" s="3" t="s">
        <v>266</v>
      </c>
      <c r="R1755" s="3">
        <v>4</v>
      </c>
      <c r="S1755" s="3">
        <v>363</v>
      </c>
      <c r="T1755" s="3">
        <v>32.799999999999997</v>
      </c>
      <c r="U1755" s="3" t="s">
        <v>44</v>
      </c>
      <c r="V1755" s="18" t="s">
        <v>45</v>
      </c>
    </row>
    <row r="1756" spans="1:22" ht="15" customHeight="1" x14ac:dyDescent="0.25">
      <c r="A1756" s="15" t="s">
        <v>3175</v>
      </c>
      <c r="B1756" s="1" t="s">
        <v>3176</v>
      </c>
      <c r="C1756">
        <v>59</v>
      </c>
      <c r="D1756" s="1" t="s">
        <v>59</v>
      </c>
      <c r="E1756" s="1" t="s">
        <v>23</v>
      </c>
      <c r="F1756" s="1" t="s">
        <v>49</v>
      </c>
      <c r="G1756" s="1" t="s">
        <v>77</v>
      </c>
      <c r="H1756" s="1" t="s">
        <v>26</v>
      </c>
      <c r="I1756" s="7">
        <v>43476</v>
      </c>
      <c r="J1756" s="7">
        <v>43780</v>
      </c>
      <c r="K1756" s="1">
        <v>10</v>
      </c>
      <c r="L1756" s="1" t="s">
        <v>52</v>
      </c>
      <c r="M1756" s="1" t="s">
        <v>53</v>
      </c>
      <c r="N1756" s="1" t="s">
        <v>94</v>
      </c>
      <c r="O1756" s="1" t="s">
        <v>66</v>
      </c>
      <c r="P1756" s="29">
        <v>118149.12</v>
      </c>
      <c r="Q1756" s="1" t="s">
        <v>109</v>
      </c>
      <c r="R1756" s="1">
        <v>10</v>
      </c>
      <c r="S1756" s="1">
        <v>399</v>
      </c>
      <c r="T1756" s="1">
        <v>23.9</v>
      </c>
      <c r="U1756" s="1" t="s">
        <v>44</v>
      </c>
      <c r="V1756" s="17" t="s">
        <v>45</v>
      </c>
    </row>
    <row r="1757" spans="1:22" ht="15" customHeight="1" x14ac:dyDescent="0.25">
      <c r="A1757" s="16" t="s">
        <v>3177</v>
      </c>
      <c r="B1757" s="3" t="s">
        <v>3178</v>
      </c>
      <c r="C1757">
        <v>61</v>
      </c>
      <c r="D1757" s="3" t="s">
        <v>59</v>
      </c>
      <c r="E1757" s="3" t="s">
        <v>23</v>
      </c>
      <c r="F1757" s="3" t="s">
        <v>83</v>
      </c>
      <c r="G1757" s="3" t="s">
        <v>38</v>
      </c>
      <c r="H1757" s="3" t="s">
        <v>26</v>
      </c>
      <c r="I1757" s="6">
        <v>44341</v>
      </c>
      <c r="J1757" s="8">
        <v>44344</v>
      </c>
      <c r="K1757" s="3">
        <v>3</v>
      </c>
      <c r="L1757" s="3" t="s">
        <v>231</v>
      </c>
      <c r="M1757" s="3" t="s">
        <v>53</v>
      </c>
      <c r="N1757" s="3" t="s">
        <v>173</v>
      </c>
      <c r="O1757" s="3" t="s">
        <v>66</v>
      </c>
      <c r="P1757" s="30">
        <v>37486.5</v>
      </c>
      <c r="Q1757" s="3" t="s">
        <v>305</v>
      </c>
      <c r="R1757" s="3">
        <v>8</v>
      </c>
      <c r="S1757" s="3">
        <v>364</v>
      </c>
      <c r="T1757" s="3">
        <v>35</v>
      </c>
      <c r="U1757" s="3" t="s">
        <v>44</v>
      </c>
      <c r="V1757" s="18" t="s">
        <v>33</v>
      </c>
    </row>
    <row r="1758" spans="1:22" ht="15" customHeight="1" x14ac:dyDescent="0.25">
      <c r="A1758" s="15" t="s">
        <v>3179</v>
      </c>
      <c r="B1758" s="1" t="s">
        <v>710</v>
      </c>
      <c r="C1758">
        <v>64</v>
      </c>
      <c r="D1758" s="1" t="s">
        <v>59</v>
      </c>
      <c r="E1758" s="1" t="s">
        <v>23</v>
      </c>
      <c r="F1758" s="1" t="s">
        <v>24</v>
      </c>
      <c r="G1758" s="1" t="s">
        <v>38</v>
      </c>
      <c r="H1758" s="1" t="s">
        <v>78</v>
      </c>
      <c r="I1758" s="6">
        <v>44976</v>
      </c>
      <c r="J1758" s="7">
        <v>44980</v>
      </c>
      <c r="K1758" s="1">
        <v>4</v>
      </c>
      <c r="L1758" s="1" t="s">
        <v>39</v>
      </c>
      <c r="M1758" s="1" t="s">
        <v>40</v>
      </c>
      <c r="N1758" s="1" t="s">
        <v>41</v>
      </c>
      <c r="O1758" s="1" t="s">
        <v>42</v>
      </c>
      <c r="P1758" s="29">
        <v>21579.81</v>
      </c>
      <c r="Q1758" s="1" t="s">
        <v>437</v>
      </c>
      <c r="R1758" s="1">
        <v>8</v>
      </c>
      <c r="S1758" s="1">
        <v>148</v>
      </c>
      <c r="T1758" s="1">
        <v>32.200000000000003</v>
      </c>
      <c r="U1758" s="1" t="s">
        <v>44</v>
      </c>
      <c r="V1758" s="17" t="s">
        <v>45</v>
      </c>
    </row>
    <row r="1759" spans="1:22" ht="15" customHeight="1" x14ac:dyDescent="0.25">
      <c r="A1759" s="16" t="s">
        <v>3180</v>
      </c>
      <c r="B1759" s="3" t="s">
        <v>3181</v>
      </c>
      <c r="C1759">
        <v>87</v>
      </c>
      <c r="D1759" s="3" t="s">
        <v>36</v>
      </c>
      <c r="E1759" s="3" t="s">
        <v>48</v>
      </c>
      <c r="F1759" s="3" t="s">
        <v>24</v>
      </c>
      <c r="G1759" s="3" t="s">
        <v>71</v>
      </c>
      <c r="H1759" s="3" t="s">
        <v>51</v>
      </c>
      <c r="I1759" s="8">
        <v>45421</v>
      </c>
      <c r="J1759" s="8">
        <v>45423</v>
      </c>
      <c r="K1759" s="3">
        <v>2</v>
      </c>
      <c r="L1759" s="3" t="s">
        <v>102</v>
      </c>
      <c r="M1759" s="3" t="s">
        <v>28</v>
      </c>
      <c r="N1759" s="3" t="s">
        <v>312</v>
      </c>
      <c r="O1759" s="3" t="s">
        <v>30</v>
      </c>
      <c r="P1759" s="30">
        <v>14944.51</v>
      </c>
      <c r="Q1759" s="3" t="s">
        <v>170</v>
      </c>
      <c r="R1759" s="3">
        <v>5</v>
      </c>
      <c r="S1759" s="3">
        <v>117</v>
      </c>
      <c r="T1759" s="3">
        <v>20.6</v>
      </c>
      <c r="U1759" s="3" t="s">
        <v>86</v>
      </c>
      <c r="V1759" s="18" t="s">
        <v>33</v>
      </c>
    </row>
    <row r="1760" spans="1:22" ht="15" customHeight="1" x14ac:dyDescent="0.25">
      <c r="A1760" s="15" t="s">
        <v>3182</v>
      </c>
      <c r="B1760" s="1" t="s">
        <v>1039</v>
      </c>
      <c r="C1760">
        <v>64</v>
      </c>
      <c r="D1760" s="1" t="s">
        <v>59</v>
      </c>
      <c r="E1760" s="1" t="s">
        <v>48</v>
      </c>
      <c r="F1760" s="1" t="s">
        <v>76</v>
      </c>
      <c r="G1760" s="1" t="s">
        <v>77</v>
      </c>
      <c r="H1760" s="1" t="s">
        <v>26</v>
      </c>
      <c r="I1760" s="7">
        <v>44841</v>
      </c>
      <c r="J1760" s="7">
        <v>44852</v>
      </c>
      <c r="K1760" s="1">
        <v>11</v>
      </c>
      <c r="L1760" s="1" t="s">
        <v>132</v>
      </c>
      <c r="M1760" s="1" t="s">
        <v>53</v>
      </c>
      <c r="N1760" s="1" t="s">
        <v>79</v>
      </c>
      <c r="O1760" s="1" t="s">
        <v>30</v>
      </c>
      <c r="P1760" s="29">
        <v>99452.26</v>
      </c>
      <c r="Q1760" s="1" t="s">
        <v>95</v>
      </c>
      <c r="R1760" s="1">
        <v>10</v>
      </c>
      <c r="S1760" s="1">
        <v>312</v>
      </c>
      <c r="T1760" s="1">
        <v>35.200000000000003</v>
      </c>
      <c r="U1760" s="1" t="s">
        <v>44</v>
      </c>
      <c r="V1760" s="17" t="s">
        <v>33</v>
      </c>
    </row>
    <row r="1761" spans="1:22" ht="15" customHeight="1" x14ac:dyDescent="0.25">
      <c r="A1761" s="16" t="s">
        <v>3183</v>
      </c>
      <c r="B1761" s="3" t="s">
        <v>3184</v>
      </c>
      <c r="C1761">
        <v>57</v>
      </c>
      <c r="D1761" s="3" t="s">
        <v>59</v>
      </c>
      <c r="E1761" s="3" t="s">
        <v>48</v>
      </c>
      <c r="F1761" s="3" t="s">
        <v>49</v>
      </c>
      <c r="G1761" s="3" t="s">
        <v>77</v>
      </c>
      <c r="H1761" s="3" t="s">
        <v>26</v>
      </c>
      <c r="I1761" s="6">
        <v>44642</v>
      </c>
      <c r="J1761" s="8">
        <v>44667</v>
      </c>
      <c r="K1761" s="3">
        <v>25</v>
      </c>
      <c r="L1761" s="3" t="s">
        <v>112</v>
      </c>
      <c r="M1761" s="3" t="s">
        <v>40</v>
      </c>
      <c r="N1761" s="3" t="s">
        <v>79</v>
      </c>
      <c r="O1761" s="3" t="s">
        <v>30</v>
      </c>
      <c r="P1761" s="30">
        <v>141695.07</v>
      </c>
      <c r="Q1761" s="3" t="s">
        <v>181</v>
      </c>
      <c r="R1761" s="3">
        <v>8</v>
      </c>
      <c r="S1761" s="3">
        <v>388</v>
      </c>
      <c r="T1761" s="3">
        <v>31.6</v>
      </c>
      <c r="U1761" s="3" t="s">
        <v>44</v>
      </c>
      <c r="V1761" s="18" t="s">
        <v>33</v>
      </c>
    </row>
    <row r="1762" spans="1:22" ht="15" customHeight="1" x14ac:dyDescent="0.25">
      <c r="A1762" s="15" t="s">
        <v>3185</v>
      </c>
      <c r="B1762" s="1" t="s">
        <v>3186</v>
      </c>
      <c r="C1762">
        <v>29</v>
      </c>
      <c r="D1762" s="1" t="s">
        <v>47</v>
      </c>
      <c r="E1762" s="1" t="s">
        <v>48</v>
      </c>
      <c r="F1762" s="1" t="s">
        <v>99</v>
      </c>
      <c r="G1762" s="1" t="s">
        <v>25</v>
      </c>
      <c r="H1762" s="1" t="s">
        <v>78</v>
      </c>
      <c r="I1762" s="7">
        <v>45601</v>
      </c>
      <c r="J1762" s="7">
        <v>45611</v>
      </c>
      <c r="K1762" s="1">
        <v>10</v>
      </c>
      <c r="L1762" s="1" t="s">
        <v>231</v>
      </c>
      <c r="M1762" s="1" t="s">
        <v>53</v>
      </c>
      <c r="N1762" s="1" t="s">
        <v>29</v>
      </c>
      <c r="O1762" s="1" t="s">
        <v>55</v>
      </c>
      <c r="P1762" s="29">
        <v>21808.33</v>
      </c>
      <c r="Q1762" s="1" t="s">
        <v>310</v>
      </c>
      <c r="R1762" s="1">
        <v>11</v>
      </c>
      <c r="S1762" s="1">
        <v>437</v>
      </c>
      <c r="T1762" s="1">
        <v>16.3</v>
      </c>
      <c r="U1762" s="1" t="s">
        <v>44</v>
      </c>
      <c r="V1762" s="17" t="s">
        <v>33</v>
      </c>
    </row>
    <row r="1763" spans="1:22" ht="15" customHeight="1" x14ac:dyDescent="0.25">
      <c r="A1763" s="16" t="s">
        <v>3187</v>
      </c>
      <c r="B1763" s="2" t="s">
        <v>3699</v>
      </c>
      <c r="C1763">
        <v>56</v>
      </c>
      <c r="D1763" s="3" t="s">
        <v>59</v>
      </c>
      <c r="E1763" s="3" t="s">
        <v>23</v>
      </c>
      <c r="F1763" s="3" t="s">
        <v>37</v>
      </c>
      <c r="G1763" s="3" t="s">
        <v>38</v>
      </c>
      <c r="H1763" s="3" t="s">
        <v>26</v>
      </c>
      <c r="I1763" s="8">
        <v>45641</v>
      </c>
      <c r="J1763" s="8">
        <v>45657</v>
      </c>
      <c r="K1763" s="3">
        <v>16</v>
      </c>
      <c r="L1763" s="3" t="s">
        <v>39</v>
      </c>
      <c r="M1763" s="3" t="s">
        <v>40</v>
      </c>
      <c r="N1763" s="3" t="s">
        <v>41</v>
      </c>
      <c r="O1763" s="3" t="s">
        <v>30</v>
      </c>
      <c r="P1763" s="30">
        <v>16638.41</v>
      </c>
      <c r="Q1763" s="3" t="s">
        <v>204</v>
      </c>
      <c r="R1763" s="3">
        <v>6</v>
      </c>
      <c r="S1763" s="3">
        <v>151</v>
      </c>
      <c r="T1763" s="3">
        <v>28.8</v>
      </c>
      <c r="U1763" s="3" t="s">
        <v>44</v>
      </c>
      <c r="V1763" s="18" t="s">
        <v>33</v>
      </c>
    </row>
    <row r="1764" spans="1:22" ht="15" customHeight="1" x14ac:dyDescent="0.25">
      <c r="A1764" s="15" t="s">
        <v>3188</v>
      </c>
      <c r="B1764" s="1" t="s">
        <v>3189</v>
      </c>
      <c r="C1764">
        <v>59</v>
      </c>
      <c r="D1764" s="1" t="s">
        <v>59</v>
      </c>
      <c r="E1764" s="1" t="s">
        <v>23</v>
      </c>
      <c r="F1764" s="1" t="s">
        <v>49</v>
      </c>
      <c r="G1764" s="1" t="s">
        <v>226</v>
      </c>
      <c r="H1764" s="1" t="s">
        <v>51</v>
      </c>
      <c r="I1764" s="6">
        <v>45483</v>
      </c>
      <c r="J1764" s="7">
        <v>45584</v>
      </c>
      <c r="K1764" s="1">
        <v>12</v>
      </c>
      <c r="L1764" s="1" t="s">
        <v>231</v>
      </c>
      <c r="M1764" s="1" t="s">
        <v>53</v>
      </c>
      <c r="N1764" s="1" t="s">
        <v>79</v>
      </c>
      <c r="O1764" s="1" t="s">
        <v>30</v>
      </c>
      <c r="P1764" s="29">
        <v>27826.79</v>
      </c>
      <c r="Q1764" s="1" t="s">
        <v>100</v>
      </c>
      <c r="R1764" s="1">
        <v>10</v>
      </c>
      <c r="S1764" s="1">
        <v>129</v>
      </c>
      <c r="T1764" s="1">
        <v>41.2</v>
      </c>
      <c r="U1764" s="1" t="s">
        <v>32</v>
      </c>
      <c r="V1764" s="17" t="s">
        <v>33</v>
      </c>
    </row>
    <row r="1765" spans="1:22" ht="15" customHeight="1" x14ac:dyDescent="0.25">
      <c r="A1765" s="16" t="s">
        <v>3190</v>
      </c>
      <c r="B1765" s="3" t="s">
        <v>3191</v>
      </c>
      <c r="C1765">
        <v>91</v>
      </c>
      <c r="D1765" s="3" t="s">
        <v>36</v>
      </c>
      <c r="E1765" s="3" t="s">
        <v>23</v>
      </c>
      <c r="F1765" s="3" t="s">
        <v>99</v>
      </c>
      <c r="G1765" s="3" t="s">
        <v>131</v>
      </c>
      <c r="H1765" s="3" t="s">
        <v>78</v>
      </c>
      <c r="I1765" s="6">
        <v>44912</v>
      </c>
      <c r="J1765" s="8">
        <v>44916</v>
      </c>
      <c r="K1765" s="3">
        <v>4</v>
      </c>
      <c r="L1765" s="3" t="s">
        <v>39</v>
      </c>
      <c r="M1765" s="3" t="s">
        <v>40</v>
      </c>
      <c r="N1765" s="3" t="s">
        <v>133</v>
      </c>
      <c r="O1765" s="3" t="s">
        <v>42</v>
      </c>
      <c r="P1765" s="30">
        <v>24959.82</v>
      </c>
      <c r="Q1765" s="3" t="s">
        <v>695</v>
      </c>
      <c r="R1765" s="3">
        <v>7</v>
      </c>
      <c r="S1765" s="3">
        <v>188</v>
      </c>
      <c r="T1765" s="3">
        <v>35.5</v>
      </c>
      <c r="U1765" s="3" t="s">
        <v>44</v>
      </c>
      <c r="V1765" s="18" t="s">
        <v>45</v>
      </c>
    </row>
    <row r="1766" spans="1:22" ht="15" customHeight="1" x14ac:dyDescent="0.25">
      <c r="A1766" s="15" t="s">
        <v>3192</v>
      </c>
      <c r="B1766" s="1" t="s">
        <v>3193</v>
      </c>
      <c r="C1766">
        <v>70</v>
      </c>
      <c r="D1766" s="1" t="s">
        <v>82</v>
      </c>
      <c r="E1766" s="1" t="s">
        <v>23</v>
      </c>
      <c r="F1766" s="1" t="s">
        <v>76</v>
      </c>
      <c r="G1766" s="1" t="s">
        <v>50</v>
      </c>
      <c r="H1766" s="1" t="s">
        <v>26</v>
      </c>
      <c r="I1766" s="7">
        <v>43869</v>
      </c>
      <c r="J1766" s="10"/>
      <c r="K1766" s="1"/>
      <c r="L1766" s="1" t="s">
        <v>39</v>
      </c>
      <c r="M1766" s="1" t="s">
        <v>40</v>
      </c>
      <c r="N1766" s="1" t="s">
        <v>116</v>
      </c>
      <c r="O1766" s="1" t="s">
        <v>30</v>
      </c>
      <c r="P1766" s="29">
        <v>52846.37</v>
      </c>
      <c r="Q1766" s="1" t="s">
        <v>279</v>
      </c>
      <c r="R1766" s="1">
        <v>9</v>
      </c>
      <c r="S1766" s="1">
        <v>388</v>
      </c>
      <c r="T1766" s="1">
        <v>25.7</v>
      </c>
      <c r="U1766" s="1" t="s">
        <v>32</v>
      </c>
      <c r="V1766" s="17" t="s">
        <v>33</v>
      </c>
    </row>
    <row r="1767" spans="1:22" ht="15" customHeight="1" x14ac:dyDescent="0.25">
      <c r="A1767" s="16" t="s">
        <v>3194</v>
      </c>
      <c r="B1767" s="3" t="s">
        <v>3195</v>
      </c>
      <c r="C1767">
        <v>72</v>
      </c>
      <c r="D1767" s="3" t="s">
        <v>82</v>
      </c>
      <c r="E1767" s="3" t="s">
        <v>23</v>
      </c>
      <c r="F1767" s="3" t="s">
        <v>70</v>
      </c>
      <c r="G1767" s="3" t="s">
        <v>188</v>
      </c>
      <c r="H1767" s="3" t="s">
        <v>78</v>
      </c>
      <c r="I1767" s="6">
        <v>45275</v>
      </c>
      <c r="J1767" s="8">
        <v>45285</v>
      </c>
      <c r="K1767" s="3">
        <v>10</v>
      </c>
      <c r="L1767" s="3" t="s">
        <v>185</v>
      </c>
      <c r="M1767" s="3" t="s">
        <v>186</v>
      </c>
      <c r="N1767" s="3" t="s">
        <v>94</v>
      </c>
      <c r="O1767" s="3" t="s">
        <v>30</v>
      </c>
      <c r="P1767" s="30">
        <v>33775.96</v>
      </c>
      <c r="Q1767" s="3" t="s">
        <v>181</v>
      </c>
      <c r="R1767" s="3">
        <v>8</v>
      </c>
      <c r="S1767" s="3">
        <v>160</v>
      </c>
      <c r="T1767" s="4"/>
      <c r="U1767" s="3" t="s">
        <v>86</v>
      </c>
      <c r="V1767" s="18" t="s">
        <v>33</v>
      </c>
    </row>
    <row r="1768" spans="1:22" ht="15" customHeight="1" x14ac:dyDescent="0.25">
      <c r="A1768" s="15" t="s">
        <v>3196</v>
      </c>
      <c r="B1768" s="1" t="s">
        <v>1992</v>
      </c>
      <c r="C1768">
        <v>86</v>
      </c>
      <c r="D1768" s="1" t="s">
        <v>36</v>
      </c>
      <c r="E1768" s="1" t="s">
        <v>23</v>
      </c>
      <c r="F1768" s="1" t="s">
        <v>99</v>
      </c>
      <c r="G1768" s="1" t="s">
        <v>60</v>
      </c>
      <c r="H1768" s="1" t="s">
        <v>78</v>
      </c>
      <c r="I1768" s="6">
        <v>44647</v>
      </c>
      <c r="J1768" s="7">
        <v>44651</v>
      </c>
      <c r="K1768" s="1">
        <v>4</v>
      </c>
      <c r="L1768" s="1" t="s">
        <v>89</v>
      </c>
      <c r="M1768" s="1" t="s">
        <v>90</v>
      </c>
      <c r="N1768" s="1" t="s">
        <v>61</v>
      </c>
      <c r="O1768" s="1" t="s">
        <v>55</v>
      </c>
      <c r="P1768" s="29">
        <v>26710</v>
      </c>
      <c r="Q1768" s="1" t="s">
        <v>137</v>
      </c>
      <c r="R1768" s="1">
        <v>6</v>
      </c>
      <c r="S1768" s="1">
        <v>386</v>
      </c>
      <c r="T1768" s="1">
        <v>15.3</v>
      </c>
      <c r="U1768" s="1" t="s">
        <v>32</v>
      </c>
      <c r="V1768" s="17" t="s">
        <v>33</v>
      </c>
    </row>
    <row r="1769" spans="1:22" ht="15" customHeight="1" x14ac:dyDescent="0.25">
      <c r="A1769" s="16" t="s">
        <v>3197</v>
      </c>
      <c r="B1769" s="3" t="s">
        <v>3198</v>
      </c>
      <c r="C1769">
        <v>89</v>
      </c>
      <c r="D1769" s="3" t="s">
        <v>36</v>
      </c>
      <c r="E1769" s="3" t="s">
        <v>23</v>
      </c>
      <c r="F1769" s="3" t="s">
        <v>24</v>
      </c>
      <c r="G1769" s="3" t="s">
        <v>71</v>
      </c>
      <c r="H1769" s="3" t="s">
        <v>26</v>
      </c>
      <c r="I1769" s="8">
        <v>44288</v>
      </c>
      <c r="J1769" s="8">
        <v>44443</v>
      </c>
      <c r="K1769" s="3">
        <v>7</v>
      </c>
      <c r="L1769" s="3" t="s">
        <v>52</v>
      </c>
      <c r="M1769" s="3" t="s">
        <v>53</v>
      </c>
      <c r="N1769" s="3" t="s">
        <v>72</v>
      </c>
      <c r="O1769" s="3" t="s">
        <v>30</v>
      </c>
      <c r="P1769" s="30">
        <v>23224.74</v>
      </c>
      <c r="Q1769" s="3" t="s">
        <v>374</v>
      </c>
      <c r="R1769" s="3">
        <v>4</v>
      </c>
      <c r="S1769" s="3">
        <v>154</v>
      </c>
      <c r="T1769" s="3">
        <v>19.100000000000001</v>
      </c>
      <c r="U1769" s="3" t="s">
        <v>32</v>
      </c>
      <c r="V1769" s="18" t="s">
        <v>33</v>
      </c>
    </row>
    <row r="1770" spans="1:22" ht="15" customHeight="1" x14ac:dyDescent="0.25">
      <c r="A1770" s="15" t="s">
        <v>3199</v>
      </c>
      <c r="B1770" s="1" t="s">
        <v>3200</v>
      </c>
      <c r="C1770">
        <v>43</v>
      </c>
      <c r="D1770" s="1" t="s">
        <v>98</v>
      </c>
      <c r="E1770" s="1" t="s">
        <v>48</v>
      </c>
      <c r="F1770" s="1" t="s">
        <v>37</v>
      </c>
      <c r="G1770" s="1" t="s">
        <v>25</v>
      </c>
      <c r="H1770" s="1" t="s">
        <v>51</v>
      </c>
      <c r="I1770" s="7">
        <v>44240</v>
      </c>
      <c r="J1770" s="7">
        <v>44246</v>
      </c>
      <c r="K1770" s="1">
        <v>6</v>
      </c>
      <c r="L1770" s="1" t="s">
        <v>132</v>
      </c>
      <c r="M1770" s="1" t="s">
        <v>53</v>
      </c>
      <c r="N1770" s="1" t="s">
        <v>248</v>
      </c>
      <c r="O1770" s="1" t="s">
        <v>55</v>
      </c>
      <c r="P1770" s="29">
        <v>72159.960000000006</v>
      </c>
      <c r="Q1770" s="1" t="s">
        <v>322</v>
      </c>
      <c r="R1770" s="1">
        <v>10</v>
      </c>
      <c r="S1770" s="1">
        <v>191</v>
      </c>
      <c r="T1770" s="1">
        <v>14</v>
      </c>
      <c r="U1770" s="1" t="s">
        <v>86</v>
      </c>
      <c r="V1770" s="17" t="s">
        <v>33</v>
      </c>
    </row>
    <row r="1771" spans="1:22" ht="15" customHeight="1" x14ac:dyDescent="0.25">
      <c r="A1771" s="16" t="s">
        <v>3201</v>
      </c>
      <c r="B1771" s="3" t="s">
        <v>3202</v>
      </c>
      <c r="C1771">
        <v>73</v>
      </c>
      <c r="D1771" s="3" t="s">
        <v>82</v>
      </c>
      <c r="E1771" s="3" t="s">
        <v>48</v>
      </c>
      <c r="F1771" s="3" t="s">
        <v>99</v>
      </c>
      <c r="G1771" s="3" t="s">
        <v>71</v>
      </c>
      <c r="H1771" s="3" t="s">
        <v>156</v>
      </c>
      <c r="I1771" s="8">
        <v>45118</v>
      </c>
      <c r="J1771" s="8">
        <v>45241</v>
      </c>
      <c r="K1771" s="3">
        <v>4</v>
      </c>
      <c r="L1771" s="3" t="s">
        <v>112</v>
      </c>
      <c r="M1771" s="3" t="s">
        <v>40</v>
      </c>
      <c r="N1771" s="3" t="s">
        <v>177</v>
      </c>
      <c r="O1771" s="3" t="s">
        <v>104</v>
      </c>
      <c r="P1771" s="30">
        <v>13527.88</v>
      </c>
      <c r="Q1771" s="3" t="s">
        <v>170</v>
      </c>
      <c r="R1771" s="3">
        <v>1</v>
      </c>
      <c r="S1771" s="3">
        <v>131</v>
      </c>
      <c r="T1771" s="3">
        <v>25.2</v>
      </c>
      <c r="U1771" s="3" t="s">
        <v>32</v>
      </c>
      <c r="V1771" s="18" t="s">
        <v>33</v>
      </c>
    </row>
    <row r="1772" spans="1:22" ht="15" customHeight="1" x14ac:dyDescent="0.25">
      <c r="A1772" s="15" t="s">
        <v>3203</v>
      </c>
      <c r="B1772" s="1" t="s">
        <v>3204</v>
      </c>
      <c r="C1772">
        <v>57</v>
      </c>
      <c r="D1772" s="1" t="s">
        <v>59</v>
      </c>
      <c r="E1772" s="1" t="s">
        <v>23</v>
      </c>
      <c r="F1772" s="1" t="s">
        <v>37</v>
      </c>
      <c r="G1772" s="1" t="s">
        <v>77</v>
      </c>
      <c r="H1772" s="1" t="s">
        <v>26</v>
      </c>
      <c r="I1772" s="7">
        <v>44150</v>
      </c>
      <c r="J1772" s="7">
        <v>44147</v>
      </c>
      <c r="K1772" s="1">
        <v>26</v>
      </c>
      <c r="L1772" s="1" t="s">
        <v>122</v>
      </c>
      <c r="M1772" s="1" t="s">
        <v>40</v>
      </c>
      <c r="N1772" s="1" t="s">
        <v>94</v>
      </c>
      <c r="O1772" s="1" t="s">
        <v>30</v>
      </c>
      <c r="P1772" s="29">
        <v>62308.45</v>
      </c>
      <c r="Q1772" s="1" t="s">
        <v>95</v>
      </c>
      <c r="R1772" s="1">
        <v>8</v>
      </c>
      <c r="S1772" s="1">
        <v>362</v>
      </c>
      <c r="T1772" s="1">
        <v>30.5</v>
      </c>
      <c r="U1772" s="1" t="s">
        <v>44</v>
      </c>
      <c r="V1772" s="17" t="s">
        <v>33</v>
      </c>
    </row>
    <row r="1773" spans="1:22" ht="15" customHeight="1" x14ac:dyDescent="0.25">
      <c r="A1773" s="16" t="s">
        <v>3205</v>
      </c>
      <c r="B1773" s="3" t="s">
        <v>3206</v>
      </c>
      <c r="C1773">
        <v>85</v>
      </c>
      <c r="D1773" s="3" t="s">
        <v>36</v>
      </c>
      <c r="E1773" s="3" t="s">
        <v>48</v>
      </c>
      <c r="F1773" s="2" t="s">
        <v>76</v>
      </c>
      <c r="G1773" s="3" t="s">
        <v>38</v>
      </c>
      <c r="H1773" s="3" t="s">
        <v>156</v>
      </c>
      <c r="I1773" s="8">
        <v>43983</v>
      </c>
      <c r="J1773" s="8">
        <v>43989</v>
      </c>
      <c r="K1773" s="3">
        <v>6</v>
      </c>
      <c r="L1773" s="3" t="s">
        <v>89</v>
      </c>
      <c r="M1773" s="3" t="s">
        <v>90</v>
      </c>
      <c r="N1773" s="3" t="s">
        <v>173</v>
      </c>
      <c r="O1773" s="3" t="s">
        <v>30</v>
      </c>
      <c r="P1773" s="30">
        <v>16236.02</v>
      </c>
      <c r="Q1773" s="3" t="s">
        <v>174</v>
      </c>
      <c r="R1773" s="3">
        <v>8</v>
      </c>
      <c r="S1773" s="3">
        <v>210</v>
      </c>
      <c r="T1773" s="3">
        <v>32.4</v>
      </c>
      <c r="U1773" s="3" t="s">
        <v>86</v>
      </c>
      <c r="V1773" s="18" t="s">
        <v>33</v>
      </c>
    </row>
    <row r="1774" spans="1:22" ht="15" customHeight="1" x14ac:dyDescent="0.25">
      <c r="A1774" s="15" t="s">
        <v>3207</v>
      </c>
      <c r="B1774" s="1" t="s">
        <v>2453</v>
      </c>
      <c r="C1774">
        <v>26</v>
      </c>
      <c r="D1774" s="1" t="s">
        <v>47</v>
      </c>
      <c r="E1774" s="1" t="s">
        <v>23</v>
      </c>
      <c r="F1774" s="1" t="s">
        <v>76</v>
      </c>
      <c r="G1774" s="1" t="s">
        <v>60</v>
      </c>
      <c r="H1774" s="1" t="s">
        <v>78</v>
      </c>
      <c r="I1774" s="6">
        <v>44819</v>
      </c>
      <c r="J1774" s="7">
        <v>44825</v>
      </c>
      <c r="K1774" s="1">
        <v>6</v>
      </c>
      <c r="L1774" s="1" t="s">
        <v>27</v>
      </c>
      <c r="M1774" s="1" t="s">
        <v>28</v>
      </c>
      <c r="N1774" s="1" t="s">
        <v>103</v>
      </c>
      <c r="O1774" s="1" t="s">
        <v>55</v>
      </c>
      <c r="P1774" s="29">
        <v>43224.63</v>
      </c>
      <c r="Q1774" s="1" t="s">
        <v>105</v>
      </c>
      <c r="R1774" s="1">
        <v>6</v>
      </c>
      <c r="S1774" s="1">
        <v>448</v>
      </c>
      <c r="T1774" s="1">
        <v>14</v>
      </c>
      <c r="U1774" s="1" t="s">
        <v>32</v>
      </c>
      <c r="V1774" s="17" t="s">
        <v>33</v>
      </c>
    </row>
    <row r="1775" spans="1:22" ht="15" customHeight="1" x14ac:dyDescent="0.25">
      <c r="A1775" s="16" t="s">
        <v>3208</v>
      </c>
      <c r="B1775" s="3" t="s">
        <v>3209</v>
      </c>
      <c r="C1775">
        <v>80</v>
      </c>
      <c r="D1775" s="3" t="s">
        <v>36</v>
      </c>
      <c r="E1775" s="3" t="s">
        <v>23</v>
      </c>
      <c r="F1775" s="2" t="s">
        <v>155</v>
      </c>
      <c r="G1775" s="3" t="s">
        <v>131</v>
      </c>
      <c r="H1775" s="3" t="s">
        <v>78</v>
      </c>
      <c r="I1775" s="8">
        <v>45649</v>
      </c>
      <c r="J1775" s="8">
        <v>45656</v>
      </c>
      <c r="K1775" s="3">
        <v>7</v>
      </c>
      <c r="L1775" s="3" t="s">
        <v>39</v>
      </c>
      <c r="M1775" s="3" t="s">
        <v>40</v>
      </c>
      <c r="N1775" s="3" t="s">
        <v>147</v>
      </c>
      <c r="O1775" s="3" t="s">
        <v>30</v>
      </c>
      <c r="P1775" s="30">
        <v>35048.76</v>
      </c>
      <c r="Q1775" s="3" t="s">
        <v>695</v>
      </c>
      <c r="R1775" s="3">
        <v>7</v>
      </c>
      <c r="S1775" s="3">
        <v>442</v>
      </c>
      <c r="T1775" s="3">
        <v>29.2</v>
      </c>
      <c r="U1775" s="3" t="s">
        <v>44</v>
      </c>
      <c r="V1775" s="18" t="s">
        <v>45</v>
      </c>
    </row>
    <row r="1776" spans="1:22" ht="15" customHeight="1" x14ac:dyDescent="0.25">
      <c r="A1776" s="15" t="s">
        <v>3210</v>
      </c>
      <c r="B1776" s="1" t="s">
        <v>324</v>
      </c>
      <c r="C1776">
        <v>78</v>
      </c>
      <c r="D1776" s="1" t="s">
        <v>36</v>
      </c>
      <c r="E1776" s="1" t="s">
        <v>48</v>
      </c>
      <c r="F1776" s="1" t="s">
        <v>37</v>
      </c>
      <c r="G1776" s="1" t="s">
        <v>131</v>
      </c>
      <c r="H1776" s="1" t="s">
        <v>26</v>
      </c>
      <c r="I1776" s="6">
        <v>45103</v>
      </c>
      <c r="J1776" s="7">
        <v>45267</v>
      </c>
      <c r="K1776" s="1">
        <v>16</v>
      </c>
      <c r="L1776" s="1" t="s">
        <v>122</v>
      </c>
      <c r="M1776" s="1" t="s">
        <v>40</v>
      </c>
      <c r="N1776" s="1" t="s">
        <v>133</v>
      </c>
      <c r="O1776" s="1" t="s">
        <v>104</v>
      </c>
      <c r="P1776" s="29">
        <v>34464.65</v>
      </c>
      <c r="Q1776" s="1" t="s">
        <v>266</v>
      </c>
      <c r="R1776" s="1">
        <v>7</v>
      </c>
      <c r="S1776" s="1">
        <v>323</v>
      </c>
      <c r="T1776" s="4"/>
      <c r="U1776" s="1" t="s">
        <v>44</v>
      </c>
      <c r="V1776" s="17" t="s">
        <v>45</v>
      </c>
    </row>
    <row r="1777" spans="1:22" ht="15" customHeight="1" x14ac:dyDescent="0.25">
      <c r="A1777" s="16" t="s">
        <v>3211</v>
      </c>
      <c r="B1777" s="3" t="s">
        <v>3212</v>
      </c>
      <c r="C1777">
        <v>61</v>
      </c>
      <c r="D1777" s="3" t="s">
        <v>59</v>
      </c>
      <c r="E1777" s="3" t="s">
        <v>48</v>
      </c>
      <c r="F1777" s="3" t="s">
        <v>70</v>
      </c>
      <c r="G1777" s="3" t="s">
        <v>77</v>
      </c>
      <c r="H1777" s="3" t="s">
        <v>51</v>
      </c>
      <c r="I1777" s="6">
        <v>44775</v>
      </c>
      <c r="J1777" s="8">
        <v>44613</v>
      </c>
      <c r="K1777" s="3">
        <v>13</v>
      </c>
      <c r="L1777" s="3" t="s">
        <v>52</v>
      </c>
      <c r="M1777" s="3" t="s">
        <v>53</v>
      </c>
      <c r="N1777" s="3" t="s">
        <v>84</v>
      </c>
      <c r="O1777" s="3" t="s">
        <v>55</v>
      </c>
      <c r="P1777" s="30">
        <v>28514.16</v>
      </c>
      <c r="Q1777" s="3" t="s">
        <v>80</v>
      </c>
      <c r="R1777" s="3">
        <v>8</v>
      </c>
      <c r="S1777" s="3">
        <v>136</v>
      </c>
      <c r="T1777" s="3">
        <v>29.6</v>
      </c>
      <c r="U1777" s="3" t="s">
        <v>44</v>
      </c>
      <c r="V1777" s="18" t="s">
        <v>33</v>
      </c>
    </row>
    <row r="1778" spans="1:22" ht="15" customHeight="1" x14ac:dyDescent="0.25">
      <c r="A1778" s="15" t="s">
        <v>3213</v>
      </c>
      <c r="B1778" s="2" t="s">
        <v>3700</v>
      </c>
      <c r="C1778">
        <v>62</v>
      </c>
      <c r="D1778" s="1" t="s">
        <v>59</v>
      </c>
      <c r="E1778" s="1" t="s">
        <v>23</v>
      </c>
      <c r="F1778" s="1" t="s">
        <v>99</v>
      </c>
      <c r="G1778" s="1" t="s">
        <v>77</v>
      </c>
      <c r="H1778" s="1" t="s">
        <v>26</v>
      </c>
      <c r="I1778" s="6">
        <v>43783</v>
      </c>
      <c r="J1778" s="10"/>
      <c r="K1778" s="1"/>
      <c r="L1778" s="1" t="s">
        <v>112</v>
      </c>
      <c r="M1778" s="1" t="s">
        <v>40</v>
      </c>
      <c r="N1778" s="1" t="s">
        <v>79</v>
      </c>
      <c r="O1778" s="1" t="s">
        <v>66</v>
      </c>
      <c r="P1778" s="29">
        <v>59235.78</v>
      </c>
      <c r="Q1778" s="1" t="s">
        <v>223</v>
      </c>
      <c r="R1778" s="1">
        <v>8</v>
      </c>
      <c r="S1778" s="1">
        <v>338</v>
      </c>
      <c r="T1778" s="1">
        <v>33.4</v>
      </c>
      <c r="U1778" s="1" t="s">
        <v>44</v>
      </c>
      <c r="V1778" s="17" t="s">
        <v>33</v>
      </c>
    </row>
    <row r="1779" spans="1:22" ht="15" customHeight="1" x14ac:dyDescent="0.25">
      <c r="A1779" s="16" t="s">
        <v>3214</v>
      </c>
      <c r="B1779" s="3" t="s">
        <v>1080</v>
      </c>
      <c r="C1779">
        <v>49</v>
      </c>
      <c r="D1779" s="3" t="s">
        <v>98</v>
      </c>
      <c r="E1779" s="3" t="s">
        <v>48</v>
      </c>
      <c r="F1779" s="3" t="s">
        <v>155</v>
      </c>
      <c r="G1779" s="3" t="s">
        <v>77</v>
      </c>
      <c r="H1779" s="3" t="s">
        <v>51</v>
      </c>
      <c r="I1779" s="8">
        <v>44156</v>
      </c>
      <c r="J1779" s="8">
        <v>44160</v>
      </c>
      <c r="K1779" s="3">
        <v>4</v>
      </c>
      <c r="L1779" s="3" t="s">
        <v>89</v>
      </c>
      <c r="M1779" s="3" t="s">
        <v>90</v>
      </c>
      <c r="N1779" s="3" t="s">
        <v>84</v>
      </c>
      <c r="O1779" s="3" t="s">
        <v>30</v>
      </c>
      <c r="P1779" s="30">
        <v>39612.14</v>
      </c>
      <c r="Q1779" s="3" t="s">
        <v>123</v>
      </c>
      <c r="R1779" s="3">
        <v>8</v>
      </c>
      <c r="S1779" s="3">
        <v>163</v>
      </c>
      <c r="T1779" s="3">
        <v>36</v>
      </c>
      <c r="U1779" s="3" t="s">
        <v>32</v>
      </c>
      <c r="V1779" s="18" t="s">
        <v>45</v>
      </c>
    </row>
    <row r="1780" spans="1:22" ht="15" customHeight="1" x14ac:dyDescent="0.25">
      <c r="A1780" s="15" t="s">
        <v>3215</v>
      </c>
      <c r="B1780" s="1" t="s">
        <v>1971</v>
      </c>
      <c r="C1780">
        <v>70</v>
      </c>
      <c r="D1780" s="1" t="s">
        <v>82</v>
      </c>
      <c r="E1780" s="1" t="s">
        <v>48</v>
      </c>
      <c r="F1780" s="1" t="s">
        <v>99</v>
      </c>
      <c r="G1780" s="1" t="s">
        <v>25</v>
      </c>
      <c r="H1780" s="1" t="s">
        <v>51</v>
      </c>
      <c r="I1780" s="7">
        <v>45273</v>
      </c>
      <c r="J1780" s="7">
        <v>45283</v>
      </c>
      <c r="K1780" s="1">
        <v>10</v>
      </c>
      <c r="L1780" s="1" t="s">
        <v>102</v>
      </c>
      <c r="M1780" s="1" t="s">
        <v>28</v>
      </c>
      <c r="N1780" s="1" t="s">
        <v>65</v>
      </c>
      <c r="O1780" s="1" t="s">
        <v>42</v>
      </c>
      <c r="P1780" s="29">
        <v>195162.46</v>
      </c>
      <c r="Q1780" s="1" t="s">
        <v>31</v>
      </c>
      <c r="R1780" s="1">
        <v>11</v>
      </c>
      <c r="S1780" s="1">
        <v>186</v>
      </c>
      <c r="T1780" s="1">
        <v>23.9</v>
      </c>
      <c r="U1780" s="1" t="s">
        <v>44</v>
      </c>
      <c r="V1780" s="17" t="s">
        <v>33</v>
      </c>
    </row>
    <row r="1781" spans="1:22" ht="15" customHeight="1" x14ac:dyDescent="0.25">
      <c r="A1781" s="16" t="s">
        <v>3216</v>
      </c>
      <c r="B1781" s="3" t="s">
        <v>3217</v>
      </c>
      <c r="C1781">
        <v>56</v>
      </c>
      <c r="D1781" s="3" t="s">
        <v>59</v>
      </c>
      <c r="E1781" s="3" t="s">
        <v>23</v>
      </c>
      <c r="F1781" s="2" t="s">
        <v>99</v>
      </c>
      <c r="G1781" s="3" t="s">
        <v>77</v>
      </c>
      <c r="H1781" s="3" t="s">
        <v>26</v>
      </c>
      <c r="I1781" s="8">
        <v>44252</v>
      </c>
      <c r="J1781" s="8">
        <v>44289</v>
      </c>
      <c r="K1781" s="3">
        <v>7</v>
      </c>
      <c r="L1781" s="3" t="s">
        <v>39</v>
      </c>
      <c r="M1781" s="3" t="s">
        <v>40</v>
      </c>
      <c r="N1781" s="3" t="s">
        <v>94</v>
      </c>
      <c r="O1781" s="3" t="s">
        <v>3565</v>
      </c>
      <c r="P1781" s="30">
        <v>121395.11</v>
      </c>
      <c r="Q1781" s="3" t="s">
        <v>181</v>
      </c>
      <c r="R1781" s="3">
        <v>9</v>
      </c>
      <c r="S1781" s="3">
        <v>332</v>
      </c>
      <c r="T1781" s="3">
        <v>29.8</v>
      </c>
      <c r="U1781" s="3" t="s">
        <v>44</v>
      </c>
      <c r="V1781" s="18" t="s">
        <v>33</v>
      </c>
    </row>
    <row r="1782" spans="1:22" ht="15" customHeight="1" x14ac:dyDescent="0.25">
      <c r="A1782" s="15" t="s">
        <v>3218</v>
      </c>
      <c r="B1782" s="1" t="s">
        <v>3219</v>
      </c>
      <c r="C1782">
        <v>85</v>
      </c>
      <c r="D1782" s="1" t="s">
        <v>36</v>
      </c>
      <c r="E1782" s="1" t="s">
        <v>23</v>
      </c>
      <c r="F1782" s="1" t="s">
        <v>24</v>
      </c>
      <c r="G1782" s="1" t="s">
        <v>77</v>
      </c>
      <c r="H1782" s="1" t="s">
        <v>78</v>
      </c>
      <c r="I1782" s="7">
        <v>45646</v>
      </c>
      <c r="J1782" s="7">
        <v>45689</v>
      </c>
      <c r="K1782" s="1">
        <v>13</v>
      </c>
      <c r="L1782" s="1" t="s">
        <v>39</v>
      </c>
      <c r="M1782" s="1" t="s">
        <v>40</v>
      </c>
      <c r="N1782" s="1" t="s">
        <v>79</v>
      </c>
      <c r="O1782" s="1" t="s">
        <v>30</v>
      </c>
      <c r="P1782" s="29">
        <v>66576.42</v>
      </c>
      <c r="Q1782" s="1" t="s">
        <v>592</v>
      </c>
      <c r="R1782" s="1">
        <v>7</v>
      </c>
      <c r="S1782" s="1">
        <v>479</v>
      </c>
      <c r="T1782" s="1">
        <v>32.4</v>
      </c>
      <c r="U1782" s="1" t="s">
        <v>86</v>
      </c>
      <c r="V1782" s="17" t="s">
        <v>45</v>
      </c>
    </row>
    <row r="1783" spans="1:22" ht="15" customHeight="1" x14ac:dyDescent="0.25">
      <c r="A1783" s="16" t="s">
        <v>3220</v>
      </c>
      <c r="B1783" s="3" t="s">
        <v>3221</v>
      </c>
      <c r="C1783">
        <v>66</v>
      </c>
      <c r="D1783" s="3" t="s">
        <v>82</v>
      </c>
      <c r="E1783" s="3" t="s">
        <v>23</v>
      </c>
      <c r="F1783" s="3" t="s">
        <v>76</v>
      </c>
      <c r="G1783" s="3" t="s">
        <v>77</v>
      </c>
      <c r="H1783" s="3" t="s">
        <v>26</v>
      </c>
      <c r="I1783" s="8">
        <v>43467</v>
      </c>
      <c r="J1783" s="8">
        <v>43474</v>
      </c>
      <c r="K1783" s="3">
        <v>7</v>
      </c>
      <c r="L1783" s="3" t="s">
        <v>231</v>
      </c>
      <c r="M1783" s="3" t="s">
        <v>53</v>
      </c>
      <c r="N1783" s="3" t="s">
        <v>84</v>
      </c>
      <c r="O1783" s="3" t="s">
        <v>104</v>
      </c>
      <c r="P1783" s="30">
        <v>48901.279999999999</v>
      </c>
      <c r="Q1783" s="3" t="s">
        <v>100</v>
      </c>
      <c r="R1783" s="3">
        <v>7</v>
      </c>
      <c r="S1783" s="3">
        <v>343</v>
      </c>
      <c r="T1783" s="3">
        <v>37.5</v>
      </c>
      <c r="U1783" s="3" t="s">
        <v>86</v>
      </c>
      <c r="V1783" s="18" t="s">
        <v>33</v>
      </c>
    </row>
    <row r="1784" spans="1:22" ht="15" customHeight="1" x14ac:dyDescent="0.25">
      <c r="A1784" s="15" t="s">
        <v>3222</v>
      </c>
      <c r="B1784" s="1" t="s">
        <v>1558</v>
      </c>
      <c r="C1784">
        <v>27</v>
      </c>
      <c r="D1784" s="1" t="s">
        <v>47</v>
      </c>
      <c r="E1784" s="1" t="s">
        <v>48</v>
      </c>
      <c r="F1784" s="1" t="s">
        <v>49</v>
      </c>
      <c r="G1784" s="1" t="s">
        <v>77</v>
      </c>
      <c r="H1784" s="1" t="s">
        <v>26</v>
      </c>
      <c r="I1784" s="6">
        <v>44387</v>
      </c>
      <c r="J1784" s="7">
        <v>44488</v>
      </c>
      <c r="K1784" s="1">
        <v>12</v>
      </c>
      <c r="L1784" s="1" t="s">
        <v>112</v>
      </c>
      <c r="M1784" s="1" t="s">
        <v>40</v>
      </c>
      <c r="N1784" s="1" t="s">
        <v>84</v>
      </c>
      <c r="O1784" s="1" t="s">
        <v>104</v>
      </c>
      <c r="P1784" s="29">
        <v>27761.05</v>
      </c>
      <c r="Q1784" s="1" t="s">
        <v>80</v>
      </c>
      <c r="R1784" s="1">
        <v>10</v>
      </c>
      <c r="S1784" s="1">
        <v>332</v>
      </c>
      <c r="T1784" s="1">
        <v>33.200000000000003</v>
      </c>
      <c r="U1784" s="1" t="s">
        <v>44</v>
      </c>
      <c r="V1784" s="17" t="s">
        <v>33</v>
      </c>
    </row>
    <row r="1785" spans="1:22" ht="15" customHeight="1" x14ac:dyDescent="0.25">
      <c r="A1785" s="16" t="s">
        <v>3223</v>
      </c>
      <c r="B1785" s="2" t="s">
        <v>3701</v>
      </c>
      <c r="C1785">
        <v>68</v>
      </c>
      <c r="D1785" s="3" t="s">
        <v>82</v>
      </c>
      <c r="E1785" s="3" t="s">
        <v>48</v>
      </c>
      <c r="F1785" s="3" t="s">
        <v>49</v>
      </c>
      <c r="G1785" s="3" t="s">
        <v>77</v>
      </c>
      <c r="H1785" s="3" t="s">
        <v>26</v>
      </c>
      <c r="I1785" s="8">
        <v>43475</v>
      </c>
      <c r="J1785" s="8">
        <v>43484</v>
      </c>
      <c r="K1785" s="3">
        <v>9</v>
      </c>
      <c r="L1785" s="3" t="s">
        <v>231</v>
      </c>
      <c r="M1785" s="3" t="s">
        <v>53</v>
      </c>
      <c r="N1785" s="3" t="s">
        <v>94</v>
      </c>
      <c r="O1785" s="3" t="s">
        <v>42</v>
      </c>
      <c r="P1785" s="30">
        <v>73550.490000000005</v>
      </c>
      <c r="Q1785" s="3" t="s">
        <v>592</v>
      </c>
      <c r="R1785" s="3">
        <v>9</v>
      </c>
      <c r="S1785" s="3">
        <v>330</v>
      </c>
      <c r="T1785" s="3">
        <v>31.2</v>
      </c>
      <c r="U1785" s="3" t="s">
        <v>44</v>
      </c>
      <c r="V1785" s="18" t="s">
        <v>45</v>
      </c>
    </row>
    <row r="1786" spans="1:22" ht="15" customHeight="1" x14ac:dyDescent="0.25">
      <c r="A1786" s="15" t="s">
        <v>3224</v>
      </c>
      <c r="B1786" s="1" t="s">
        <v>3225</v>
      </c>
      <c r="C1786">
        <v>49</v>
      </c>
      <c r="D1786" s="1" t="s">
        <v>98</v>
      </c>
      <c r="E1786" s="1" t="s">
        <v>23</v>
      </c>
      <c r="F1786" s="2" t="s">
        <v>3714</v>
      </c>
      <c r="G1786" s="1" t="s">
        <v>71</v>
      </c>
      <c r="H1786" s="1" t="s">
        <v>51</v>
      </c>
      <c r="I1786" s="7">
        <v>44842</v>
      </c>
      <c r="J1786" s="7">
        <v>44845</v>
      </c>
      <c r="K1786" s="1">
        <v>3</v>
      </c>
      <c r="L1786" s="1" t="s">
        <v>132</v>
      </c>
      <c r="M1786" s="1" t="s">
        <v>53</v>
      </c>
      <c r="N1786" s="1" t="s">
        <v>177</v>
      </c>
      <c r="O1786" s="1" t="s">
        <v>42</v>
      </c>
      <c r="P1786" s="29">
        <v>14278.17</v>
      </c>
      <c r="Q1786" s="1" t="s">
        <v>374</v>
      </c>
      <c r="R1786" s="1">
        <v>3</v>
      </c>
      <c r="S1786" s="1">
        <v>107</v>
      </c>
      <c r="T1786" s="1">
        <v>30.4</v>
      </c>
      <c r="U1786" s="1" t="s">
        <v>32</v>
      </c>
      <c r="V1786" s="17" t="s">
        <v>33</v>
      </c>
    </row>
    <row r="1787" spans="1:22" ht="15" customHeight="1" x14ac:dyDescent="0.25">
      <c r="A1787" s="16" t="s">
        <v>3226</v>
      </c>
      <c r="B1787" s="3" t="s">
        <v>3227</v>
      </c>
      <c r="C1787">
        <v>61</v>
      </c>
      <c r="D1787" s="3" t="s">
        <v>59</v>
      </c>
      <c r="E1787" s="3" t="s">
        <v>48</v>
      </c>
      <c r="F1787" s="3" t="s">
        <v>24</v>
      </c>
      <c r="G1787" s="3" t="s">
        <v>163</v>
      </c>
      <c r="H1787" s="3" t="s">
        <v>26</v>
      </c>
      <c r="I1787" s="6">
        <v>45122</v>
      </c>
      <c r="J1787" s="8">
        <v>45132</v>
      </c>
      <c r="K1787" s="3">
        <v>10</v>
      </c>
      <c r="L1787" s="3" t="s">
        <v>132</v>
      </c>
      <c r="M1787" s="3" t="s">
        <v>53</v>
      </c>
      <c r="N1787" s="3" t="s">
        <v>346</v>
      </c>
      <c r="O1787" s="3" t="s">
        <v>30</v>
      </c>
      <c r="P1787" s="30">
        <v>27668.98</v>
      </c>
      <c r="Q1787" s="3" t="s">
        <v>382</v>
      </c>
      <c r="R1787" s="3">
        <v>4</v>
      </c>
      <c r="S1787" s="3">
        <v>197</v>
      </c>
      <c r="T1787" s="3">
        <v>27.8</v>
      </c>
      <c r="U1787" s="3" t="s">
        <v>44</v>
      </c>
      <c r="V1787" s="18" t="s">
        <v>33</v>
      </c>
    </row>
    <row r="1788" spans="1:22" ht="15" customHeight="1" x14ac:dyDescent="0.25">
      <c r="A1788" s="15" t="s">
        <v>3228</v>
      </c>
      <c r="B1788" s="1" t="s">
        <v>3229</v>
      </c>
      <c r="C1788">
        <v>91</v>
      </c>
      <c r="D1788" s="1" t="s">
        <v>36</v>
      </c>
      <c r="E1788" s="1" t="s">
        <v>48</v>
      </c>
      <c r="F1788" s="1" t="s">
        <v>99</v>
      </c>
      <c r="G1788" s="1" t="s">
        <v>71</v>
      </c>
      <c r="H1788" s="1" t="s">
        <v>51</v>
      </c>
      <c r="I1788" s="6">
        <v>45030</v>
      </c>
      <c r="J1788" s="10"/>
      <c r="K1788" s="1"/>
      <c r="L1788" s="1" t="s">
        <v>185</v>
      </c>
      <c r="M1788" s="1" t="s">
        <v>186</v>
      </c>
      <c r="N1788" s="1" t="s">
        <v>72</v>
      </c>
      <c r="O1788" s="1" t="s">
        <v>42</v>
      </c>
      <c r="P1788" s="29">
        <v>15784</v>
      </c>
      <c r="Q1788" s="1" t="s">
        <v>178</v>
      </c>
      <c r="R1788" s="1">
        <v>5</v>
      </c>
      <c r="S1788" s="1">
        <v>141</v>
      </c>
      <c r="T1788" s="1">
        <v>20</v>
      </c>
      <c r="U1788" s="1" t="s">
        <v>32</v>
      </c>
      <c r="V1788" s="17" t="s">
        <v>33</v>
      </c>
    </row>
    <row r="1789" spans="1:22" ht="15" customHeight="1" x14ac:dyDescent="0.25">
      <c r="A1789" s="16" t="s">
        <v>3230</v>
      </c>
      <c r="B1789" s="3" t="s">
        <v>3231</v>
      </c>
      <c r="C1789">
        <v>53</v>
      </c>
      <c r="D1789" s="3" t="s">
        <v>98</v>
      </c>
      <c r="E1789" s="3" t="s">
        <v>23</v>
      </c>
      <c r="F1789" s="3" t="s">
        <v>83</v>
      </c>
      <c r="G1789" s="3" t="s">
        <v>38</v>
      </c>
      <c r="H1789" s="3" t="s">
        <v>26</v>
      </c>
      <c r="I1789" s="6">
        <v>45195</v>
      </c>
      <c r="J1789" s="8">
        <v>45198</v>
      </c>
      <c r="K1789" s="3">
        <v>3</v>
      </c>
      <c r="L1789" s="3" t="s">
        <v>52</v>
      </c>
      <c r="M1789" s="3" t="s">
        <v>53</v>
      </c>
      <c r="N1789" s="3" t="s">
        <v>173</v>
      </c>
      <c r="O1789" s="3" t="s">
        <v>104</v>
      </c>
      <c r="P1789" s="30">
        <v>28032.84</v>
      </c>
      <c r="Q1789" s="3" t="s">
        <v>174</v>
      </c>
      <c r="R1789" s="3">
        <v>7</v>
      </c>
      <c r="S1789" s="3">
        <v>425</v>
      </c>
      <c r="T1789" s="3">
        <v>35.5</v>
      </c>
      <c r="U1789" s="3" t="s">
        <v>44</v>
      </c>
      <c r="V1789" s="18" t="s">
        <v>33</v>
      </c>
    </row>
    <row r="1790" spans="1:22" ht="15" customHeight="1" x14ac:dyDescent="0.25">
      <c r="A1790" s="15" t="s">
        <v>3232</v>
      </c>
      <c r="B1790" s="1" t="s">
        <v>3233</v>
      </c>
      <c r="C1790">
        <v>57</v>
      </c>
      <c r="D1790" s="1" t="s">
        <v>59</v>
      </c>
      <c r="E1790" s="1" t="s">
        <v>48</v>
      </c>
      <c r="F1790" s="1" t="s">
        <v>99</v>
      </c>
      <c r="G1790" s="1" t="s">
        <v>50</v>
      </c>
      <c r="H1790" s="1" t="s">
        <v>26</v>
      </c>
      <c r="I1790" s="6">
        <v>44868</v>
      </c>
      <c r="J1790" s="7">
        <v>44656</v>
      </c>
      <c r="K1790" s="1">
        <v>25</v>
      </c>
      <c r="L1790" s="1" t="s">
        <v>112</v>
      </c>
      <c r="M1790" s="1" t="s">
        <v>40</v>
      </c>
      <c r="N1790" s="1" t="s">
        <v>116</v>
      </c>
      <c r="O1790" s="1" t="s">
        <v>42</v>
      </c>
      <c r="P1790" s="29">
        <v>105846.29</v>
      </c>
      <c r="Q1790" s="1" t="s">
        <v>351</v>
      </c>
      <c r="R1790" s="1">
        <v>9</v>
      </c>
      <c r="S1790" s="1">
        <v>320</v>
      </c>
      <c r="T1790" s="1">
        <v>33</v>
      </c>
      <c r="U1790" s="1" t="s">
        <v>32</v>
      </c>
      <c r="V1790" s="17" t="s">
        <v>33</v>
      </c>
    </row>
    <row r="1791" spans="1:22" ht="15" customHeight="1" x14ac:dyDescent="0.25">
      <c r="A1791" s="16" t="s">
        <v>3234</v>
      </c>
      <c r="B1791" s="2" t="s">
        <v>3702</v>
      </c>
      <c r="C1791">
        <v>56</v>
      </c>
      <c r="D1791" s="3" t="s">
        <v>59</v>
      </c>
      <c r="E1791" s="3" t="s">
        <v>48</v>
      </c>
      <c r="F1791" s="3" t="s">
        <v>155</v>
      </c>
      <c r="G1791" s="3" t="s">
        <v>131</v>
      </c>
      <c r="H1791" s="3" t="s">
        <v>51</v>
      </c>
      <c r="I1791" s="8">
        <v>45398</v>
      </c>
      <c r="J1791" s="8">
        <v>45402</v>
      </c>
      <c r="K1791" s="3">
        <v>4</v>
      </c>
      <c r="L1791" s="3" t="s">
        <v>112</v>
      </c>
      <c r="M1791" s="3" t="s">
        <v>40</v>
      </c>
      <c r="N1791" s="3" t="s">
        <v>147</v>
      </c>
      <c r="O1791" s="3" t="s">
        <v>66</v>
      </c>
      <c r="P1791" s="30">
        <v>12561.63</v>
      </c>
      <c r="Q1791" s="3" t="s">
        <v>695</v>
      </c>
      <c r="R1791" s="3">
        <v>7</v>
      </c>
      <c r="S1791" s="3">
        <v>178</v>
      </c>
      <c r="T1791" s="3">
        <v>37.6</v>
      </c>
      <c r="U1791" s="3" t="s">
        <v>86</v>
      </c>
      <c r="V1791" s="18" t="s">
        <v>33</v>
      </c>
    </row>
    <row r="1792" spans="1:22" ht="15" customHeight="1" x14ac:dyDescent="0.25">
      <c r="A1792" s="15" t="s">
        <v>3235</v>
      </c>
      <c r="B1792" s="1" t="s">
        <v>2587</v>
      </c>
      <c r="C1792">
        <v>70</v>
      </c>
      <c r="D1792" s="1" t="s">
        <v>82</v>
      </c>
      <c r="E1792" s="1" t="s">
        <v>23</v>
      </c>
      <c r="F1792" s="1" t="s">
        <v>70</v>
      </c>
      <c r="G1792" s="1" t="s">
        <v>71</v>
      </c>
      <c r="H1792" s="1" t="s">
        <v>51</v>
      </c>
      <c r="I1792" s="6">
        <v>44728</v>
      </c>
      <c r="J1792" s="7">
        <v>44731</v>
      </c>
      <c r="K1792" s="1">
        <v>3</v>
      </c>
      <c r="L1792" s="1" t="s">
        <v>132</v>
      </c>
      <c r="M1792" s="1" t="s">
        <v>53</v>
      </c>
      <c r="N1792" s="1" t="s">
        <v>72</v>
      </c>
      <c r="O1792" s="1" t="s">
        <v>55</v>
      </c>
      <c r="P1792" s="29">
        <v>15312</v>
      </c>
      <c r="Q1792" s="1" t="s">
        <v>170</v>
      </c>
      <c r="R1792" s="1">
        <v>5</v>
      </c>
      <c r="S1792" s="1">
        <v>114</v>
      </c>
      <c r="T1792" s="1">
        <v>30.6</v>
      </c>
      <c r="U1792" s="1" t="s">
        <v>44</v>
      </c>
      <c r="V1792" s="17" t="s">
        <v>33</v>
      </c>
    </row>
    <row r="1793" spans="1:22" ht="15" customHeight="1" x14ac:dyDescent="0.25">
      <c r="A1793" s="16" t="s">
        <v>3236</v>
      </c>
      <c r="B1793" s="3" t="s">
        <v>3237</v>
      </c>
      <c r="C1793">
        <v>86</v>
      </c>
      <c r="D1793" s="3" t="s">
        <v>36</v>
      </c>
      <c r="E1793" s="3" t="s">
        <v>23</v>
      </c>
      <c r="F1793" s="3" t="s">
        <v>24</v>
      </c>
      <c r="G1793" s="3" t="s">
        <v>77</v>
      </c>
      <c r="H1793" s="3" t="s">
        <v>26</v>
      </c>
      <c r="I1793" s="6">
        <v>45118</v>
      </c>
      <c r="J1793" s="8">
        <v>45247</v>
      </c>
      <c r="K1793" s="3">
        <v>10</v>
      </c>
      <c r="L1793" s="3" t="s">
        <v>132</v>
      </c>
      <c r="M1793" s="3" t="s">
        <v>53</v>
      </c>
      <c r="N1793" s="3" t="s">
        <v>79</v>
      </c>
      <c r="O1793" s="3" t="s">
        <v>66</v>
      </c>
      <c r="P1793" s="30">
        <v>111339.52</v>
      </c>
      <c r="Q1793" s="3" t="s">
        <v>85</v>
      </c>
      <c r="R1793" s="3">
        <v>9</v>
      </c>
      <c r="S1793" s="3">
        <v>321</v>
      </c>
      <c r="T1793" s="3">
        <v>30.8</v>
      </c>
      <c r="U1793" s="3" t="s">
        <v>44</v>
      </c>
      <c r="V1793" s="18" t="s">
        <v>33</v>
      </c>
    </row>
    <row r="1794" spans="1:22" ht="15" customHeight="1" x14ac:dyDescent="0.25">
      <c r="A1794" s="15" t="s">
        <v>3238</v>
      </c>
      <c r="B1794" s="1" t="s">
        <v>2646</v>
      </c>
      <c r="C1794">
        <v>64</v>
      </c>
      <c r="D1794" s="1" t="s">
        <v>59</v>
      </c>
      <c r="E1794" s="1" t="s">
        <v>48</v>
      </c>
      <c r="F1794" s="2" t="s">
        <v>3714</v>
      </c>
      <c r="G1794" s="1" t="s">
        <v>77</v>
      </c>
      <c r="H1794" s="1" t="s">
        <v>26</v>
      </c>
      <c r="I1794" s="7">
        <v>44782</v>
      </c>
      <c r="J1794" s="7">
        <v>44791</v>
      </c>
      <c r="K1794" s="1">
        <v>9</v>
      </c>
      <c r="L1794" s="1" t="s">
        <v>39</v>
      </c>
      <c r="M1794" s="1" t="s">
        <v>40</v>
      </c>
      <c r="N1794" s="1" t="s">
        <v>79</v>
      </c>
      <c r="O1794" s="1" t="s">
        <v>66</v>
      </c>
      <c r="P1794" s="29">
        <v>56959.39</v>
      </c>
      <c r="Q1794" s="1" t="s">
        <v>223</v>
      </c>
      <c r="R1794" s="1">
        <v>10</v>
      </c>
      <c r="S1794" s="1">
        <v>318</v>
      </c>
      <c r="T1794" s="1">
        <v>25.4</v>
      </c>
      <c r="U1794" s="1" t="s">
        <v>44</v>
      </c>
      <c r="V1794" s="17" t="s">
        <v>45</v>
      </c>
    </row>
    <row r="1795" spans="1:22" ht="15" customHeight="1" x14ac:dyDescent="0.25">
      <c r="A1795" s="16" t="s">
        <v>3239</v>
      </c>
      <c r="B1795" s="3" t="s">
        <v>2770</v>
      </c>
      <c r="C1795">
        <v>86</v>
      </c>
      <c r="D1795" s="3" t="s">
        <v>36</v>
      </c>
      <c r="E1795" s="3" t="s">
        <v>48</v>
      </c>
      <c r="F1795" s="3" t="s">
        <v>70</v>
      </c>
      <c r="G1795" s="3" t="s">
        <v>77</v>
      </c>
      <c r="H1795" s="3" t="s">
        <v>51</v>
      </c>
      <c r="I1795" s="8">
        <v>44138</v>
      </c>
      <c r="J1795" s="8">
        <v>44157</v>
      </c>
      <c r="K1795" s="3">
        <v>19</v>
      </c>
      <c r="L1795" s="3" t="s">
        <v>231</v>
      </c>
      <c r="M1795" s="3" t="s">
        <v>53</v>
      </c>
      <c r="N1795" s="3" t="s">
        <v>94</v>
      </c>
      <c r="O1795" s="3" t="s">
        <v>30</v>
      </c>
      <c r="P1795" s="30">
        <v>65588.83</v>
      </c>
      <c r="Q1795" s="3" t="s">
        <v>80</v>
      </c>
      <c r="R1795" s="3">
        <v>8</v>
      </c>
      <c r="S1795" s="3">
        <v>190</v>
      </c>
      <c r="T1795" s="3">
        <v>35</v>
      </c>
      <c r="U1795" s="3" t="s">
        <v>44</v>
      </c>
      <c r="V1795" s="18" t="s">
        <v>33</v>
      </c>
    </row>
    <row r="1796" spans="1:22" ht="15" customHeight="1" x14ac:dyDescent="0.25">
      <c r="A1796" s="15" t="s">
        <v>3240</v>
      </c>
      <c r="B1796" s="1" t="s">
        <v>2014</v>
      </c>
      <c r="C1796">
        <v>70</v>
      </c>
      <c r="D1796" s="1" t="s">
        <v>82</v>
      </c>
      <c r="E1796" s="1" t="s">
        <v>48</v>
      </c>
      <c r="F1796" s="1" t="s">
        <v>37</v>
      </c>
      <c r="G1796" s="1" t="s">
        <v>50</v>
      </c>
      <c r="H1796" s="1" t="s">
        <v>26</v>
      </c>
      <c r="I1796" s="6">
        <v>44800</v>
      </c>
      <c r="J1796" s="7">
        <v>44805</v>
      </c>
      <c r="K1796" s="1">
        <v>5</v>
      </c>
      <c r="L1796" s="1" t="s">
        <v>185</v>
      </c>
      <c r="M1796" s="1" t="s">
        <v>186</v>
      </c>
      <c r="N1796" s="1" t="s">
        <v>116</v>
      </c>
      <c r="O1796" s="1" t="s">
        <v>42</v>
      </c>
      <c r="P1796" s="29">
        <v>58215.3</v>
      </c>
      <c r="Q1796" s="1" t="s">
        <v>279</v>
      </c>
      <c r="R1796" s="1">
        <v>8</v>
      </c>
      <c r="S1796" s="1">
        <v>303</v>
      </c>
      <c r="T1796" s="1">
        <v>30.8</v>
      </c>
      <c r="U1796" s="1" t="s">
        <v>44</v>
      </c>
      <c r="V1796" s="17" t="s">
        <v>45</v>
      </c>
    </row>
    <row r="1797" spans="1:22" ht="15" customHeight="1" x14ac:dyDescent="0.25">
      <c r="A1797" s="16" t="s">
        <v>3241</v>
      </c>
      <c r="B1797" s="3" t="s">
        <v>3242</v>
      </c>
      <c r="C1797">
        <v>53</v>
      </c>
      <c r="D1797" s="3" t="s">
        <v>98</v>
      </c>
      <c r="E1797" s="3" t="s">
        <v>48</v>
      </c>
      <c r="F1797" s="3" t="s">
        <v>37</v>
      </c>
      <c r="G1797" s="3" t="s">
        <v>25</v>
      </c>
      <c r="H1797" s="3" t="s">
        <v>156</v>
      </c>
      <c r="I1797" s="6">
        <v>44522</v>
      </c>
      <c r="J1797" s="8">
        <v>44535</v>
      </c>
      <c r="K1797" s="3">
        <v>13</v>
      </c>
      <c r="L1797" s="3" t="s">
        <v>122</v>
      </c>
      <c r="M1797" s="3" t="s">
        <v>40</v>
      </c>
      <c r="N1797" s="3" t="s">
        <v>248</v>
      </c>
      <c r="O1797" s="3" t="s">
        <v>42</v>
      </c>
      <c r="P1797" s="30">
        <v>45267</v>
      </c>
      <c r="Q1797" s="3" t="s">
        <v>400</v>
      </c>
      <c r="R1797" s="3">
        <v>12</v>
      </c>
      <c r="S1797" s="3">
        <v>447</v>
      </c>
      <c r="T1797" s="3">
        <v>19.5</v>
      </c>
      <c r="U1797" s="3" t="s">
        <v>44</v>
      </c>
      <c r="V1797" s="18" t="s">
        <v>33</v>
      </c>
    </row>
    <row r="1798" spans="1:22" ht="15" customHeight="1" x14ac:dyDescent="0.25">
      <c r="A1798" s="15" t="s">
        <v>3243</v>
      </c>
      <c r="B1798" s="1" t="s">
        <v>3244</v>
      </c>
      <c r="C1798">
        <v>35</v>
      </c>
      <c r="D1798" s="1" t="s">
        <v>98</v>
      </c>
      <c r="E1798" s="1" t="s">
        <v>48</v>
      </c>
      <c r="F1798" s="1" t="s">
        <v>83</v>
      </c>
      <c r="G1798" s="1" t="s">
        <v>77</v>
      </c>
      <c r="H1798" s="1" t="s">
        <v>51</v>
      </c>
      <c r="I1798" s="7">
        <v>43971</v>
      </c>
      <c r="J1798" s="7">
        <v>43980</v>
      </c>
      <c r="K1798" s="1">
        <v>9</v>
      </c>
      <c r="L1798" s="1" t="s">
        <v>185</v>
      </c>
      <c r="M1798" s="1" t="s">
        <v>186</v>
      </c>
      <c r="N1798" s="1" t="s">
        <v>79</v>
      </c>
      <c r="O1798" s="1" t="s">
        <v>30</v>
      </c>
      <c r="P1798" s="29">
        <v>18645.259999999998</v>
      </c>
      <c r="Q1798" s="1" t="s">
        <v>109</v>
      </c>
      <c r="R1798" s="1">
        <v>7</v>
      </c>
      <c r="S1798" s="1">
        <v>159</v>
      </c>
      <c r="T1798" s="4"/>
      <c r="U1798" s="1" t="s">
        <v>44</v>
      </c>
      <c r="V1798" s="17" t="s">
        <v>45</v>
      </c>
    </row>
    <row r="1799" spans="1:22" ht="15" customHeight="1" x14ac:dyDescent="0.25">
      <c r="A1799" s="16" t="s">
        <v>3245</v>
      </c>
      <c r="B1799" s="3" t="s">
        <v>3246</v>
      </c>
      <c r="C1799">
        <v>3</v>
      </c>
      <c r="D1799" s="3" t="s">
        <v>22</v>
      </c>
      <c r="E1799" s="3" t="s">
        <v>48</v>
      </c>
      <c r="F1799" s="3" t="s">
        <v>83</v>
      </c>
      <c r="G1799" s="3" t="s">
        <v>131</v>
      </c>
      <c r="H1799" s="3" t="s">
        <v>26</v>
      </c>
      <c r="I1799" s="8">
        <v>44594</v>
      </c>
      <c r="J1799" s="8">
        <v>44598</v>
      </c>
      <c r="K1799" s="3">
        <v>4</v>
      </c>
      <c r="L1799" s="3" t="s">
        <v>122</v>
      </c>
      <c r="M1799" s="3" t="s">
        <v>40</v>
      </c>
      <c r="N1799" s="3" t="s">
        <v>147</v>
      </c>
      <c r="O1799" s="3" t="s">
        <v>104</v>
      </c>
      <c r="P1799" s="30">
        <v>14746.05</v>
      </c>
      <c r="Q1799" s="3" t="s">
        <v>158</v>
      </c>
      <c r="R1799" s="3">
        <v>5</v>
      </c>
      <c r="S1799" s="3">
        <v>355</v>
      </c>
      <c r="T1799" s="3">
        <v>27.4</v>
      </c>
      <c r="U1799" s="3" t="s">
        <v>32</v>
      </c>
      <c r="V1799" s="18" t="s">
        <v>33</v>
      </c>
    </row>
    <row r="1800" spans="1:22" ht="15" customHeight="1" x14ac:dyDescent="0.25">
      <c r="A1800" s="15" t="s">
        <v>3247</v>
      </c>
      <c r="B1800" s="1" t="s">
        <v>1010</v>
      </c>
      <c r="C1800">
        <v>66</v>
      </c>
      <c r="D1800" s="1" t="s">
        <v>82</v>
      </c>
      <c r="E1800" s="1" t="s">
        <v>23</v>
      </c>
      <c r="F1800" s="1" t="s">
        <v>99</v>
      </c>
      <c r="G1800" s="1" t="s">
        <v>77</v>
      </c>
      <c r="H1800" s="1" t="s">
        <v>26</v>
      </c>
      <c r="I1800" s="7">
        <v>44011</v>
      </c>
      <c r="J1800" s="7">
        <v>44025</v>
      </c>
      <c r="K1800" s="1">
        <v>14</v>
      </c>
      <c r="L1800" s="1" t="s">
        <v>27</v>
      </c>
      <c r="M1800" s="1" t="s">
        <v>28</v>
      </c>
      <c r="N1800" s="1" t="s">
        <v>79</v>
      </c>
      <c r="O1800" s="1" t="s">
        <v>55</v>
      </c>
      <c r="P1800" s="29">
        <v>74634.679999999993</v>
      </c>
      <c r="Q1800" s="1" t="s">
        <v>223</v>
      </c>
      <c r="R1800" s="1">
        <v>10</v>
      </c>
      <c r="S1800" s="1">
        <v>335</v>
      </c>
      <c r="T1800" s="1">
        <v>29.2</v>
      </c>
      <c r="U1800" s="1" t="s">
        <v>44</v>
      </c>
      <c r="V1800" s="17" t="s">
        <v>33</v>
      </c>
    </row>
    <row r="1801" spans="1:22" ht="15" customHeight="1" x14ac:dyDescent="0.25">
      <c r="A1801" s="16" t="s">
        <v>3248</v>
      </c>
      <c r="B1801" s="3" t="s">
        <v>3249</v>
      </c>
      <c r="C1801">
        <v>72</v>
      </c>
      <c r="D1801" s="3" t="s">
        <v>82</v>
      </c>
      <c r="E1801" s="3" t="s">
        <v>48</v>
      </c>
      <c r="F1801" s="3" t="s">
        <v>155</v>
      </c>
      <c r="G1801" s="3" t="s">
        <v>71</v>
      </c>
      <c r="H1801" s="3" t="s">
        <v>78</v>
      </c>
      <c r="I1801" s="6">
        <v>44517</v>
      </c>
      <c r="J1801" s="8">
        <v>44520</v>
      </c>
      <c r="K1801" s="3">
        <v>3</v>
      </c>
      <c r="L1801" s="3" t="s">
        <v>112</v>
      </c>
      <c r="M1801" s="3" t="s">
        <v>40</v>
      </c>
      <c r="N1801" s="3" t="s">
        <v>312</v>
      </c>
      <c r="O1801" s="3" t="s">
        <v>66</v>
      </c>
      <c r="P1801" s="30">
        <v>24809.98</v>
      </c>
      <c r="Q1801" s="3" t="s">
        <v>73</v>
      </c>
      <c r="R1801" s="3">
        <v>4</v>
      </c>
      <c r="S1801" s="3">
        <v>158</v>
      </c>
      <c r="T1801" s="3">
        <v>25</v>
      </c>
      <c r="U1801" s="3" t="s">
        <v>32</v>
      </c>
      <c r="V1801" s="18" t="s">
        <v>33</v>
      </c>
    </row>
    <row r="1802" spans="1:22" ht="15" customHeight="1" x14ac:dyDescent="0.25">
      <c r="A1802" s="15" t="s">
        <v>3250</v>
      </c>
      <c r="B1802" s="1" t="s">
        <v>3251</v>
      </c>
      <c r="C1802">
        <v>76</v>
      </c>
      <c r="D1802" s="1" t="s">
        <v>36</v>
      </c>
      <c r="E1802" s="1" t="s">
        <v>48</v>
      </c>
      <c r="F1802" s="1" t="s">
        <v>99</v>
      </c>
      <c r="G1802" s="1" t="s">
        <v>50</v>
      </c>
      <c r="H1802" s="1" t="s">
        <v>26</v>
      </c>
      <c r="I1802" s="7">
        <v>43534</v>
      </c>
      <c r="J1802" s="7">
        <v>43751</v>
      </c>
      <c r="K1802" s="1">
        <v>10</v>
      </c>
      <c r="L1802" s="1" t="s">
        <v>185</v>
      </c>
      <c r="M1802" s="1" t="s">
        <v>186</v>
      </c>
      <c r="N1802" s="1" t="s">
        <v>54</v>
      </c>
      <c r="O1802" s="1" t="s">
        <v>66</v>
      </c>
      <c r="P1802" s="29">
        <v>73312</v>
      </c>
      <c r="Q1802" s="1" t="s">
        <v>279</v>
      </c>
      <c r="R1802" s="1">
        <v>9</v>
      </c>
      <c r="S1802" s="1">
        <v>399</v>
      </c>
      <c r="T1802" s="1">
        <v>23.2</v>
      </c>
      <c r="U1802" s="1" t="s">
        <v>44</v>
      </c>
      <c r="V1802" s="17" t="s">
        <v>45</v>
      </c>
    </row>
    <row r="1803" spans="1:22" ht="15" customHeight="1" x14ac:dyDescent="0.25">
      <c r="A1803" s="16" t="s">
        <v>3252</v>
      </c>
      <c r="B1803" s="3" t="s">
        <v>3253</v>
      </c>
      <c r="C1803">
        <v>20</v>
      </c>
      <c r="D1803" s="3" t="s">
        <v>47</v>
      </c>
      <c r="E1803" s="3" t="s">
        <v>48</v>
      </c>
      <c r="F1803" s="3" t="s">
        <v>76</v>
      </c>
      <c r="G1803" s="3" t="s">
        <v>38</v>
      </c>
      <c r="H1803" s="3" t="s">
        <v>78</v>
      </c>
      <c r="I1803" s="6">
        <v>44006</v>
      </c>
      <c r="J1803" s="8">
        <v>44009</v>
      </c>
      <c r="K1803" s="3">
        <v>3</v>
      </c>
      <c r="L1803" s="3" t="s">
        <v>185</v>
      </c>
      <c r="M1803" s="3" t="s">
        <v>186</v>
      </c>
      <c r="N1803" s="3" t="s">
        <v>41</v>
      </c>
      <c r="O1803" s="3" t="s">
        <v>30</v>
      </c>
      <c r="P1803" s="30">
        <v>8166.4</v>
      </c>
      <c r="Q1803" s="3" t="s">
        <v>204</v>
      </c>
      <c r="R1803" s="3">
        <v>8</v>
      </c>
      <c r="S1803" s="3">
        <v>481</v>
      </c>
      <c r="T1803" s="3">
        <v>43.7</v>
      </c>
      <c r="U1803" s="3" t="s">
        <v>86</v>
      </c>
      <c r="V1803" s="18" t="s">
        <v>45</v>
      </c>
    </row>
    <row r="1804" spans="1:22" ht="15" customHeight="1" x14ac:dyDescent="0.25">
      <c r="A1804" s="15" t="s">
        <v>3254</v>
      </c>
      <c r="B1804" s="1" t="s">
        <v>3255</v>
      </c>
      <c r="C1804">
        <v>51</v>
      </c>
      <c r="D1804" s="1" t="s">
        <v>98</v>
      </c>
      <c r="E1804" s="1" t="s">
        <v>23</v>
      </c>
      <c r="F1804" s="1" t="s">
        <v>76</v>
      </c>
      <c r="G1804" s="1" t="s">
        <v>38</v>
      </c>
      <c r="H1804" s="1" t="s">
        <v>51</v>
      </c>
      <c r="I1804" s="6">
        <v>44920</v>
      </c>
      <c r="J1804" s="7">
        <v>44924</v>
      </c>
      <c r="K1804" s="1">
        <v>4</v>
      </c>
      <c r="L1804" s="1" t="s">
        <v>231</v>
      </c>
      <c r="M1804" s="1" t="s">
        <v>53</v>
      </c>
      <c r="N1804" s="1" t="s">
        <v>203</v>
      </c>
      <c r="O1804" s="1" t="s">
        <v>30</v>
      </c>
      <c r="P1804" s="29">
        <v>7558.51</v>
      </c>
      <c r="Q1804" s="1" t="s">
        <v>43</v>
      </c>
      <c r="R1804" s="1">
        <v>5</v>
      </c>
      <c r="S1804" s="1">
        <v>101</v>
      </c>
      <c r="T1804" s="1">
        <v>30.5</v>
      </c>
      <c r="U1804" s="1" t="s">
        <v>32</v>
      </c>
      <c r="V1804" s="17" t="s">
        <v>33</v>
      </c>
    </row>
    <row r="1805" spans="1:22" ht="15" customHeight="1" x14ac:dyDescent="0.25">
      <c r="A1805" s="16" t="s">
        <v>3256</v>
      </c>
      <c r="B1805" s="3" t="s">
        <v>3257</v>
      </c>
      <c r="C1805">
        <v>70</v>
      </c>
      <c r="D1805" s="3" t="s">
        <v>82</v>
      </c>
      <c r="E1805" s="3" t="s">
        <v>48</v>
      </c>
      <c r="F1805" s="3" t="s">
        <v>37</v>
      </c>
      <c r="G1805" s="3" t="s">
        <v>50</v>
      </c>
      <c r="H1805" s="3" t="s">
        <v>26</v>
      </c>
      <c r="I1805" s="8">
        <v>43744</v>
      </c>
      <c r="J1805" s="8">
        <v>43758</v>
      </c>
      <c r="K1805" s="3">
        <v>14</v>
      </c>
      <c r="L1805" s="3" t="s">
        <v>27</v>
      </c>
      <c r="M1805" s="3" t="s">
        <v>28</v>
      </c>
      <c r="N1805" s="3" t="s">
        <v>126</v>
      </c>
      <c r="O1805" s="3" t="s">
        <v>30</v>
      </c>
      <c r="P1805" s="30">
        <v>60637.96</v>
      </c>
      <c r="Q1805" s="3" t="s">
        <v>144</v>
      </c>
      <c r="R1805" s="3">
        <v>7</v>
      </c>
      <c r="S1805" s="3">
        <v>396</v>
      </c>
      <c r="T1805" s="3">
        <v>18.5</v>
      </c>
      <c r="U1805" s="3" t="s">
        <v>44</v>
      </c>
      <c r="V1805" s="18" t="s">
        <v>45</v>
      </c>
    </row>
    <row r="1806" spans="1:22" ht="15" customHeight="1" x14ac:dyDescent="0.25">
      <c r="A1806" s="15" t="s">
        <v>3258</v>
      </c>
      <c r="B1806" s="1" t="s">
        <v>838</v>
      </c>
      <c r="C1806">
        <v>64</v>
      </c>
      <c r="D1806" s="1" t="s">
        <v>59</v>
      </c>
      <c r="E1806" s="1" t="s">
        <v>48</v>
      </c>
      <c r="F1806" s="1" t="s">
        <v>76</v>
      </c>
      <c r="G1806" s="1" t="s">
        <v>163</v>
      </c>
      <c r="H1806" s="1" t="s">
        <v>51</v>
      </c>
      <c r="I1806" s="7">
        <v>45260</v>
      </c>
      <c r="J1806" s="7">
        <v>45263</v>
      </c>
      <c r="K1806" s="1">
        <v>3</v>
      </c>
      <c r="L1806" s="1" t="s">
        <v>132</v>
      </c>
      <c r="M1806" s="1" t="s">
        <v>53</v>
      </c>
      <c r="N1806" s="1" t="s">
        <v>213</v>
      </c>
      <c r="O1806" s="1" t="s">
        <v>3565</v>
      </c>
      <c r="P1806" s="29">
        <v>26193.93</v>
      </c>
      <c r="Q1806" s="1" t="s">
        <v>234</v>
      </c>
      <c r="R1806" s="1">
        <v>3</v>
      </c>
      <c r="S1806" s="1">
        <v>116</v>
      </c>
      <c r="T1806" s="1">
        <v>36.200000000000003</v>
      </c>
      <c r="U1806" s="1" t="s">
        <v>32</v>
      </c>
      <c r="V1806" s="17" t="s">
        <v>33</v>
      </c>
    </row>
    <row r="1807" spans="1:22" ht="15" customHeight="1" x14ac:dyDescent="0.25">
      <c r="A1807" s="16" t="s">
        <v>3259</v>
      </c>
      <c r="B1807" s="3" t="s">
        <v>1104</v>
      </c>
      <c r="C1807">
        <v>48</v>
      </c>
      <c r="D1807" s="3" t="s">
        <v>98</v>
      </c>
      <c r="E1807" s="3" t="s">
        <v>23</v>
      </c>
      <c r="F1807" s="3" t="s">
        <v>70</v>
      </c>
      <c r="G1807" s="3" t="s">
        <v>60</v>
      </c>
      <c r="H1807" s="3" t="s">
        <v>51</v>
      </c>
      <c r="I1807" s="8">
        <v>44551</v>
      </c>
      <c r="J1807" s="8">
        <v>44553</v>
      </c>
      <c r="K1807" s="3">
        <v>2</v>
      </c>
      <c r="L1807" s="3" t="s">
        <v>27</v>
      </c>
      <c r="M1807" s="3" t="s">
        <v>28</v>
      </c>
      <c r="N1807" s="3" t="s">
        <v>103</v>
      </c>
      <c r="O1807" s="3" t="s">
        <v>42</v>
      </c>
      <c r="P1807" s="30">
        <v>33349.18</v>
      </c>
      <c r="Q1807" s="3" t="s">
        <v>137</v>
      </c>
      <c r="R1807" s="3">
        <v>6</v>
      </c>
      <c r="S1807" s="3">
        <v>173</v>
      </c>
      <c r="T1807" s="3">
        <v>22.3</v>
      </c>
      <c r="U1807" s="3" t="s">
        <v>86</v>
      </c>
      <c r="V1807" s="18" t="s">
        <v>33</v>
      </c>
    </row>
    <row r="1808" spans="1:22" ht="15" customHeight="1" x14ac:dyDescent="0.25">
      <c r="A1808" s="15" t="s">
        <v>3260</v>
      </c>
      <c r="B1808" s="1" t="s">
        <v>3261</v>
      </c>
      <c r="C1808">
        <v>39</v>
      </c>
      <c r="D1808" s="1" t="s">
        <v>98</v>
      </c>
      <c r="E1808" s="1" t="s">
        <v>23</v>
      </c>
      <c r="F1808" s="1" t="s">
        <v>99</v>
      </c>
      <c r="G1808" s="1" t="s">
        <v>50</v>
      </c>
      <c r="H1808" s="1" t="s">
        <v>26</v>
      </c>
      <c r="I1808" s="7">
        <v>43854</v>
      </c>
      <c r="J1808" s="7">
        <v>43867</v>
      </c>
      <c r="K1808" s="1">
        <v>13</v>
      </c>
      <c r="L1808" s="1" t="s">
        <v>231</v>
      </c>
      <c r="M1808" s="1" t="s">
        <v>53</v>
      </c>
      <c r="N1808" s="1" t="s">
        <v>54</v>
      </c>
      <c r="O1808" s="1" t="s">
        <v>30</v>
      </c>
      <c r="P1808" s="29">
        <v>38855.160000000003</v>
      </c>
      <c r="Q1808" s="1" t="s">
        <v>279</v>
      </c>
      <c r="R1808" s="1">
        <v>9</v>
      </c>
      <c r="S1808" s="1">
        <v>351</v>
      </c>
      <c r="T1808" s="1">
        <v>25.9</v>
      </c>
      <c r="U1808" s="1" t="s">
        <v>44</v>
      </c>
      <c r="V1808" s="17" t="s">
        <v>33</v>
      </c>
    </row>
    <row r="1809" spans="1:22" ht="15" customHeight="1" x14ac:dyDescent="0.25">
      <c r="A1809" s="16" t="s">
        <v>3262</v>
      </c>
      <c r="B1809" s="2" t="s">
        <v>3703</v>
      </c>
      <c r="C1809">
        <v>69</v>
      </c>
      <c r="D1809" s="3" t="s">
        <v>82</v>
      </c>
      <c r="E1809" s="3" t="s">
        <v>48</v>
      </c>
      <c r="F1809" s="3" t="s">
        <v>24</v>
      </c>
      <c r="G1809" s="3" t="s">
        <v>163</v>
      </c>
      <c r="H1809" s="3" t="s">
        <v>26</v>
      </c>
      <c r="I1809" s="8">
        <v>45271</v>
      </c>
      <c r="J1809" s="8">
        <v>45278</v>
      </c>
      <c r="K1809" s="3">
        <v>7</v>
      </c>
      <c r="L1809" s="3" t="s">
        <v>231</v>
      </c>
      <c r="M1809" s="3" t="s">
        <v>53</v>
      </c>
      <c r="N1809" s="3" t="s">
        <v>164</v>
      </c>
      <c r="O1809" s="3" t="s">
        <v>30</v>
      </c>
      <c r="P1809" s="30">
        <v>65929.100000000006</v>
      </c>
      <c r="Q1809" s="3" t="s">
        <v>259</v>
      </c>
      <c r="R1809" s="3">
        <v>4</v>
      </c>
      <c r="S1809" s="3">
        <v>485</v>
      </c>
      <c r="T1809" s="3">
        <v>30</v>
      </c>
      <c r="U1809" s="3" t="s">
        <v>32</v>
      </c>
      <c r="V1809" s="18" t="s">
        <v>45</v>
      </c>
    </row>
    <row r="1810" spans="1:22" ht="15" customHeight="1" x14ac:dyDescent="0.25">
      <c r="A1810" s="15" t="s">
        <v>3263</v>
      </c>
      <c r="B1810" s="1" t="s">
        <v>3264</v>
      </c>
      <c r="C1810">
        <v>34</v>
      </c>
      <c r="D1810" s="1" t="s">
        <v>47</v>
      </c>
      <c r="E1810" s="1" t="s">
        <v>48</v>
      </c>
      <c r="F1810" s="2" t="s">
        <v>37</v>
      </c>
      <c r="G1810" s="1" t="s">
        <v>25</v>
      </c>
      <c r="H1810" s="1" t="s">
        <v>156</v>
      </c>
      <c r="I1810" s="6">
        <v>45287</v>
      </c>
      <c r="J1810" s="7">
        <v>45597</v>
      </c>
      <c r="K1810" s="1">
        <v>15</v>
      </c>
      <c r="L1810" s="1" t="s">
        <v>122</v>
      </c>
      <c r="M1810" s="1" t="s">
        <v>40</v>
      </c>
      <c r="N1810" s="1" t="s">
        <v>248</v>
      </c>
      <c r="O1810" s="1" t="s">
        <v>104</v>
      </c>
      <c r="P1810" s="29">
        <v>16608.18</v>
      </c>
      <c r="Q1810" s="1" t="s">
        <v>198</v>
      </c>
      <c r="R1810" s="1">
        <v>12</v>
      </c>
      <c r="S1810" s="1">
        <v>265</v>
      </c>
      <c r="T1810" s="1">
        <v>25.2</v>
      </c>
      <c r="U1810" s="1" t="s">
        <v>32</v>
      </c>
      <c r="V1810" s="17" t="s">
        <v>33</v>
      </c>
    </row>
    <row r="1811" spans="1:22" ht="15" customHeight="1" x14ac:dyDescent="0.25">
      <c r="A1811" s="16" t="s">
        <v>3265</v>
      </c>
      <c r="B1811" s="3" t="s">
        <v>3266</v>
      </c>
      <c r="C1811">
        <v>61</v>
      </c>
      <c r="D1811" s="3" t="s">
        <v>59</v>
      </c>
      <c r="E1811" s="3" t="s">
        <v>48</v>
      </c>
      <c r="F1811" s="3" t="s">
        <v>24</v>
      </c>
      <c r="G1811" s="3" t="s">
        <v>163</v>
      </c>
      <c r="H1811" s="3" t="s">
        <v>51</v>
      </c>
      <c r="I1811" s="8">
        <v>45128</v>
      </c>
      <c r="J1811" s="8">
        <v>45130</v>
      </c>
      <c r="K1811" s="3">
        <v>2</v>
      </c>
      <c r="L1811" s="3" t="s">
        <v>185</v>
      </c>
      <c r="M1811" s="3" t="s">
        <v>186</v>
      </c>
      <c r="N1811" s="3" t="s">
        <v>213</v>
      </c>
      <c r="O1811" s="3" t="s">
        <v>42</v>
      </c>
      <c r="P1811" s="30">
        <v>28707.15</v>
      </c>
      <c r="Q1811" s="3" t="s">
        <v>382</v>
      </c>
      <c r="R1811" s="3">
        <v>5</v>
      </c>
      <c r="S1811" s="3">
        <v>110</v>
      </c>
      <c r="T1811" s="3">
        <v>24.7</v>
      </c>
      <c r="U1811" s="3" t="s">
        <v>86</v>
      </c>
      <c r="V1811" s="18" t="s">
        <v>33</v>
      </c>
    </row>
    <row r="1812" spans="1:22" ht="15" customHeight="1" x14ac:dyDescent="0.25">
      <c r="A1812" s="15" t="s">
        <v>3267</v>
      </c>
      <c r="B1812" s="2" t="s">
        <v>3627</v>
      </c>
      <c r="C1812">
        <v>71</v>
      </c>
      <c r="D1812" s="1" t="s">
        <v>82</v>
      </c>
      <c r="E1812" s="1" t="s">
        <v>23</v>
      </c>
      <c r="F1812" s="2" t="s">
        <v>99</v>
      </c>
      <c r="G1812" s="1" t="s">
        <v>77</v>
      </c>
      <c r="H1812" s="1" t="s">
        <v>26</v>
      </c>
      <c r="I1812" s="7">
        <v>44054</v>
      </c>
      <c r="J1812" s="7">
        <v>44066</v>
      </c>
      <c r="K1812" s="1">
        <v>12</v>
      </c>
      <c r="L1812" s="1" t="s">
        <v>122</v>
      </c>
      <c r="M1812" s="1" t="s">
        <v>40</v>
      </c>
      <c r="N1812" s="1" t="s">
        <v>79</v>
      </c>
      <c r="O1812" s="1" t="s">
        <v>30</v>
      </c>
      <c r="P1812" s="29">
        <v>98844</v>
      </c>
      <c r="Q1812" s="1" t="s">
        <v>109</v>
      </c>
      <c r="R1812" s="1">
        <v>10</v>
      </c>
      <c r="S1812" s="1">
        <v>308</v>
      </c>
      <c r="T1812" s="1">
        <v>20.6</v>
      </c>
      <c r="U1812" s="1" t="s">
        <v>32</v>
      </c>
      <c r="V1812" s="17" t="s">
        <v>45</v>
      </c>
    </row>
    <row r="1813" spans="1:22" ht="15" customHeight="1" x14ac:dyDescent="0.25">
      <c r="A1813" s="16" t="s">
        <v>3268</v>
      </c>
      <c r="B1813" s="3" t="s">
        <v>3269</v>
      </c>
      <c r="C1813">
        <v>73</v>
      </c>
      <c r="D1813" s="3" t="s">
        <v>82</v>
      </c>
      <c r="E1813" s="3" t="s">
        <v>48</v>
      </c>
      <c r="F1813" s="3" t="s">
        <v>76</v>
      </c>
      <c r="G1813" s="3" t="s">
        <v>163</v>
      </c>
      <c r="H1813" s="3" t="s">
        <v>51</v>
      </c>
      <c r="I1813" s="8">
        <v>44794</v>
      </c>
      <c r="J1813" s="8">
        <v>44796</v>
      </c>
      <c r="K1813" s="3">
        <v>2</v>
      </c>
      <c r="L1813" s="3" t="s">
        <v>231</v>
      </c>
      <c r="M1813" s="3" t="s">
        <v>53</v>
      </c>
      <c r="N1813" s="3" t="s">
        <v>346</v>
      </c>
      <c r="O1813" s="3" t="s">
        <v>42</v>
      </c>
      <c r="P1813" s="30">
        <v>24346.38</v>
      </c>
      <c r="Q1813" s="3" t="s">
        <v>165</v>
      </c>
      <c r="R1813" s="3">
        <v>3</v>
      </c>
      <c r="S1813" s="3">
        <v>125</v>
      </c>
      <c r="T1813" s="3">
        <v>24.4</v>
      </c>
      <c r="U1813" s="3" t="s">
        <v>32</v>
      </c>
      <c r="V1813" s="18" t="s">
        <v>45</v>
      </c>
    </row>
    <row r="1814" spans="1:22" ht="15" customHeight="1" x14ac:dyDescent="0.25">
      <c r="A1814" s="15" t="s">
        <v>3270</v>
      </c>
      <c r="B1814" s="1" t="s">
        <v>3271</v>
      </c>
      <c r="C1814">
        <v>71</v>
      </c>
      <c r="D1814" s="1" t="s">
        <v>82</v>
      </c>
      <c r="E1814" s="1" t="s">
        <v>48</v>
      </c>
      <c r="F1814" s="1" t="s">
        <v>24</v>
      </c>
      <c r="G1814" s="1" t="s">
        <v>131</v>
      </c>
      <c r="H1814" s="1" t="s">
        <v>51</v>
      </c>
      <c r="I1814" s="6">
        <v>45591</v>
      </c>
      <c r="J1814" s="7">
        <v>45597</v>
      </c>
      <c r="K1814" s="1">
        <v>6</v>
      </c>
      <c r="L1814" s="1" t="s">
        <v>112</v>
      </c>
      <c r="M1814" s="1" t="s">
        <v>40</v>
      </c>
      <c r="N1814" s="1" t="s">
        <v>133</v>
      </c>
      <c r="O1814" s="1" t="s">
        <v>30</v>
      </c>
      <c r="P1814" s="29">
        <v>11099.49</v>
      </c>
      <c r="Q1814" s="1" t="s">
        <v>291</v>
      </c>
      <c r="R1814" s="1">
        <v>5</v>
      </c>
      <c r="S1814" s="1">
        <v>159</v>
      </c>
      <c r="T1814" s="1">
        <v>21.1</v>
      </c>
      <c r="U1814" s="1" t="s">
        <v>44</v>
      </c>
      <c r="V1814" s="17" t="s">
        <v>33</v>
      </c>
    </row>
    <row r="1815" spans="1:22" ht="15" customHeight="1" x14ac:dyDescent="0.25">
      <c r="A1815" s="16" t="s">
        <v>3272</v>
      </c>
      <c r="B1815" s="3" t="s">
        <v>747</v>
      </c>
      <c r="C1815">
        <v>69</v>
      </c>
      <c r="D1815" s="3" t="s">
        <v>82</v>
      </c>
      <c r="E1815" s="3" t="s">
        <v>48</v>
      </c>
      <c r="F1815" s="3" t="s">
        <v>99</v>
      </c>
      <c r="G1815" s="3" t="s">
        <v>163</v>
      </c>
      <c r="H1815" s="3" t="s">
        <v>156</v>
      </c>
      <c r="I1815" s="6">
        <v>44848</v>
      </c>
      <c r="J1815" s="10"/>
      <c r="K1815" s="3"/>
      <c r="L1815" s="3" t="s">
        <v>89</v>
      </c>
      <c r="M1815" s="3" t="s">
        <v>90</v>
      </c>
      <c r="N1815" s="3" t="s">
        <v>213</v>
      </c>
      <c r="O1815" s="3" t="s">
        <v>104</v>
      </c>
      <c r="P1815" s="30">
        <v>25982.05</v>
      </c>
      <c r="Q1815" s="3" t="s">
        <v>382</v>
      </c>
      <c r="R1815" s="3">
        <v>6</v>
      </c>
      <c r="S1815" s="3">
        <v>179</v>
      </c>
      <c r="T1815" s="3">
        <v>34.1</v>
      </c>
      <c r="U1815" s="3" t="s">
        <v>86</v>
      </c>
      <c r="V1815" s="18" t="s">
        <v>33</v>
      </c>
    </row>
    <row r="1816" spans="1:22" ht="15" customHeight="1" x14ac:dyDescent="0.25">
      <c r="A1816" s="15" t="s">
        <v>3273</v>
      </c>
      <c r="B1816" s="1" t="s">
        <v>1755</v>
      </c>
      <c r="C1816">
        <v>64</v>
      </c>
      <c r="D1816" s="1" t="s">
        <v>59</v>
      </c>
      <c r="E1816" s="1" t="s">
        <v>48</v>
      </c>
      <c r="F1816" s="1" t="s">
        <v>37</v>
      </c>
      <c r="G1816" s="1" t="s">
        <v>870</v>
      </c>
      <c r="H1816" s="1" t="s">
        <v>51</v>
      </c>
      <c r="I1816" s="7">
        <v>44071</v>
      </c>
      <c r="J1816" s="7">
        <v>43870</v>
      </c>
      <c r="K1816" s="1">
        <v>5</v>
      </c>
      <c r="L1816" s="1" t="s">
        <v>185</v>
      </c>
      <c r="M1816" s="1" t="s">
        <v>186</v>
      </c>
      <c r="N1816" s="1" t="s">
        <v>157</v>
      </c>
      <c r="O1816" s="1" t="s">
        <v>30</v>
      </c>
      <c r="P1816" s="29">
        <v>11480</v>
      </c>
      <c r="Q1816" s="1" t="s">
        <v>291</v>
      </c>
      <c r="R1816" s="1">
        <v>3</v>
      </c>
      <c r="S1816" s="1">
        <v>153</v>
      </c>
      <c r="T1816" s="1">
        <v>34.200000000000003</v>
      </c>
      <c r="U1816" s="1" t="s">
        <v>86</v>
      </c>
      <c r="V1816" s="17" t="s">
        <v>45</v>
      </c>
    </row>
    <row r="1817" spans="1:22" ht="15" customHeight="1" x14ac:dyDescent="0.25">
      <c r="A1817" s="16" t="s">
        <v>3274</v>
      </c>
      <c r="B1817" s="3" t="s">
        <v>3275</v>
      </c>
      <c r="C1817">
        <v>81</v>
      </c>
      <c r="D1817" s="3" t="s">
        <v>36</v>
      </c>
      <c r="E1817" s="3" t="s">
        <v>48</v>
      </c>
      <c r="F1817" s="3" t="s">
        <v>70</v>
      </c>
      <c r="G1817" s="3" t="s">
        <v>77</v>
      </c>
      <c r="H1817" s="3" t="s">
        <v>26</v>
      </c>
      <c r="I1817" s="6">
        <v>44350</v>
      </c>
      <c r="J1817" s="8">
        <v>44366</v>
      </c>
      <c r="K1817" s="3">
        <v>16</v>
      </c>
      <c r="L1817" s="3" t="s">
        <v>112</v>
      </c>
      <c r="M1817" s="3" t="s">
        <v>40</v>
      </c>
      <c r="N1817" s="3" t="s">
        <v>84</v>
      </c>
      <c r="O1817" s="3" t="s">
        <v>30</v>
      </c>
      <c r="P1817" s="30">
        <v>133320.81</v>
      </c>
      <c r="Q1817" s="3" t="s">
        <v>592</v>
      </c>
      <c r="R1817" s="3">
        <v>7</v>
      </c>
      <c r="S1817" s="3">
        <v>397</v>
      </c>
      <c r="T1817" s="3">
        <v>23</v>
      </c>
      <c r="U1817" s="3" t="s">
        <v>44</v>
      </c>
      <c r="V1817" s="18" t="s">
        <v>33</v>
      </c>
    </row>
    <row r="1818" spans="1:22" ht="15" customHeight="1" x14ac:dyDescent="0.25">
      <c r="A1818" s="15" t="s">
        <v>3276</v>
      </c>
      <c r="B1818" s="1" t="s">
        <v>820</v>
      </c>
      <c r="C1818">
        <v>91</v>
      </c>
      <c r="D1818" s="1" t="s">
        <v>36</v>
      </c>
      <c r="E1818" s="1" t="s">
        <v>48</v>
      </c>
      <c r="F1818" s="1" t="s">
        <v>99</v>
      </c>
      <c r="G1818" s="1" t="s">
        <v>38</v>
      </c>
      <c r="H1818" s="1" t="s">
        <v>51</v>
      </c>
      <c r="I1818" s="7">
        <v>45593</v>
      </c>
      <c r="J1818" s="7">
        <v>45595</v>
      </c>
      <c r="K1818" s="1">
        <v>2</v>
      </c>
      <c r="L1818" s="1" t="s">
        <v>231</v>
      </c>
      <c r="M1818" s="1" t="s">
        <v>53</v>
      </c>
      <c r="N1818" s="1" t="s">
        <v>41</v>
      </c>
      <c r="O1818" s="1" t="s">
        <v>42</v>
      </c>
      <c r="P1818" s="29">
        <v>19887.099999999999</v>
      </c>
      <c r="Q1818" s="1" t="s">
        <v>437</v>
      </c>
      <c r="R1818" s="1">
        <v>8</v>
      </c>
      <c r="S1818" s="1">
        <v>120</v>
      </c>
      <c r="T1818" s="1">
        <v>22.2</v>
      </c>
      <c r="U1818" s="1" t="s">
        <v>44</v>
      </c>
      <c r="V1818" s="17" t="s">
        <v>33</v>
      </c>
    </row>
    <row r="1819" spans="1:22" ht="15" customHeight="1" x14ac:dyDescent="0.25">
      <c r="A1819" s="16" t="s">
        <v>3277</v>
      </c>
      <c r="B1819" s="3" t="s">
        <v>3278</v>
      </c>
      <c r="C1819">
        <v>87</v>
      </c>
      <c r="D1819" s="3" t="s">
        <v>36</v>
      </c>
      <c r="E1819" s="3" t="s">
        <v>23</v>
      </c>
      <c r="F1819" s="3" t="s">
        <v>76</v>
      </c>
      <c r="G1819" s="3" t="s">
        <v>38</v>
      </c>
      <c r="H1819" s="3" t="s">
        <v>26</v>
      </c>
      <c r="I1819" s="6">
        <v>44060</v>
      </c>
      <c r="J1819" s="8">
        <v>44069</v>
      </c>
      <c r="K1819" s="3">
        <v>9</v>
      </c>
      <c r="L1819" s="3" t="s">
        <v>52</v>
      </c>
      <c r="M1819" s="3" t="s">
        <v>53</v>
      </c>
      <c r="N1819" s="3" t="s">
        <v>173</v>
      </c>
      <c r="O1819" s="3" t="s">
        <v>30</v>
      </c>
      <c r="P1819" s="30">
        <v>25520.25</v>
      </c>
      <c r="Q1819" s="3" t="s">
        <v>305</v>
      </c>
      <c r="R1819" s="3">
        <v>8</v>
      </c>
      <c r="S1819" s="3">
        <v>381</v>
      </c>
      <c r="T1819" s="3">
        <v>42.3</v>
      </c>
      <c r="U1819" s="3" t="s">
        <v>44</v>
      </c>
      <c r="V1819" s="18" t="s">
        <v>33</v>
      </c>
    </row>
    <row r="1820" spans="1:22" ht="15" customHeight="1" x14ac:dyDescent="0.25">
      <c r="A1820" s="15" t="s">
        <v>3279</v>
      </c>
      <c r="B1820" s="1" t="s">
        <v>2542</v>
      </c>
      <c r="C1820">
        <v>66</v>
      </c>
      <c r="D1820" s="1" t="s">
        <v>82</v>
      </c>
      <c r="E1820" s="1" t="s">
        <v>23</v>
      </c>
      <c r="F1820" s="1" t="s">
        <v>76</v>
      </c>
      <c r="G1820" s="1" t="s">
        <v>77</v>
      </c>
      <c r="H1820" s="1" t="s">
        <v>78</v>
      </c>
      <c r="I1820" s="7">
        <v>44487</v>
      </c>
      <c r="J1820" s="7">
        <v>44500</v>
      </c>
      <c r="K1820" s="1">
        <v>13</v>
      </c>
      <c r="L1820" s="1" t="s">
        <v>102</v>
      </c>
      <c r="M1820" s="1" t="s">
        <v>28</v>
      </c>
      <c r="N1820" s="1" t="s">
        <v>94</v>
      </c>
      <c r="O1820" s="1" t="s">
        <v>104</v>
      </c>
      <c r="P1820" s="29">
        <v>18630.32</v>
      </c>
      <c r="Q1820" s="1" t="s">
        <v>592</v>
      </c>
      <c r="R1820" s="1">
        <v>10</v>
      </c>
      <c r="S1820" s="1">
        <v>144</v>
      </c>
      <c r="T1820" s="4"/>
      <c r="U1820" s="1" t="s">
        <v>44</v>
      </c>
      <c r="V1820" s="17" t="s">
        <v>33</v>
      </c>
    </row>
    <row r="1821" spans="1:22" ht="15" customHeight="1" x14ac:dyDescent="0.25">
      <c r="A1821" s="16" t="s">
        <v>3280</v>
      </c>
      <c r="B1821" s="3" t="s">
        <v>2281</v>
      </c>
      <c r="C1821">
        <v>59</v>
      </c>
      <c r="D1821" s="3" t="s">
        <v>59</v>
      </c>
      <c r="E1821" s="3" t="s">
        <v>48</v>
      </c>
      <c r="F1821" s="2" t="s">
        <v>3714</v>
      </c>
      <c r="G1821" s="3" t="s">
        <v>131</v>
      </c>
      <c r="H1821" s="3" t="s">
        <v>26</v>
      </c>
      <c r="I1821" s="8">
        <v>44110</v>
      </c>
      <c r="J1821" s="8">
        <v>44123</v>
      </c>
      <c r="K1821" s="3">
        <v>13</v>
      </c>
      <c r="L1821" s="3" t="s">
        <v>39</v>
      </c>
      <c r="M1821" s="3" t="s">
        <v>40</v>
      </c>
      <c r="N1821" s="3" t="s">
        <v>147</v>
      </c>
      <c r="O1821" s="3" t="s">
        <v>104</v>
      </c>
      <c r="P1821" s="30">
        <v>41855</v>
      </c>
      <c r="Q1821" s="3" t="s">
        <v>158</v>
      </c>
      <c r="R1821" s="3">
        <v>7</v>
      </c>
      <c r="S1821" s="3">
        <v>336</v>
      </c>
      <c r="T1821" s="3">
        <v>24.9</v>
      </c>
      <c r="U1821" s="3" t="s">
        <v>44</v>
      </c>
      <c r="V1821" s="18" t="s">
        <v>45</v>
      </c>
    </row>
    <row r="1822" spans="1:22" ht="15" customHeight="1" x14ac:dyDescent="0.25">
      <c r="A1822" s="15" t="s">
        <v>3281</v>
      </c>
      <c r="B1822" s="1" t="s">
        <v>3282</v>
      </c>
      <c r="C1822">
        <v>84</v>
      </c>
      <c r="D1822" s="1" t="s">
        <v>36</v>
      </c>
      <c r="E1822" s="1" t="s">
        <v>23</v>
      </c>
      <c r="F1822" s="1" t="s">
        <v>155</v>
      </c>
      <c r="G1822" s="1" t="s">
        <v>38</v>
      </c>
      <c r="H1822" s="1" t="s">
        <v>51</v>
      </c>
      <c r="I1822" s="7">
        <v>45115</v>
      </c>
      <c r="J1822" s="7">
        <v>45267</v>
      </c>
      <c r="K1822" s="1">
        <v>4</v>
      </c>
      <c r="L1822" s="1" t="s">
        <v>132</v>
      </c>
      <c r="M1822" s="1" t="s">
        <v>53</v>
      </c>
      <c r="N1822" s="1" t="s">
        <v>41</v>
      </c>
      <c r="O1822" s="1" t="s">
        <v>30</v>
      </c>
      <c r="P1822" s="29">
        <v>21857.22</v>
      </c>
      <c r="Q1822" s="1" t="s">
        <v>119</v>
      </c>
      <c r="R1822" s="1">
        <v>5</v>
      </c>
      <c r="S1822" s="1">
        <v>154</v>
      </c>
      <c r="T1822" s="1">
        <v>29.2</v>
      </c>
      <c r="U1822" s="1" t="s">
        <v>86</v>
      </c>
      <c r="V1822" s="17" t="s">
        <v>33</v>
      </c>
    </row>
    <row r="1823" spans="1:22" ht="15" customHeight="1" x14ac:dyDescent="0.25">
      <c r="A1823" s="16" t="s">
        <v>3283</v>
      </c>
      <c r="B1823" s="3" t="s">
        <v>3284</v>
      </c>
      <c r="C1823">
        <v>16</v>
      </c>
      <c r="D1823" s="3" t="s">
        <v>22</v>
      </c>
      <c r="E1823" s="3" t="s">
        <v>23</v>
      </c>
      <c r="F1823" s="3" t="s">
        <v>155</v>
      </c>
      <c r="G1823" s="3" t="s">
        <v>131</v>
      </c>
      <c r="H1823" s="3" t="s">
        <v>26</v>
      </c>
      <c r="I1823" s="6">
        <v>44159</v>
      </c>
      <c r="J1823" s="8">
        <v>44164</v>
      </c>
      <c r="K1823" s="3">
        <v>5</v>
      </c>
      <c r="L1823" s="3" t="s">
        <v>185</v>
      </c>
      <c r="M1823" s="3" t="s">
        <v>186</v>
      </c>
      <c r="N1823" s="3" t="s">
        <v>157</v>
      </c>
      <c r="O1823" s="3" t="s">
        <v>42</v>
      </c>
      <c r="P1823" s="30">
        <v>25593.57</v>
      </c>
      <c r="Q1823" s="3" t="s">
        <v>148</v>
      </c>
      <c r="R1823" s="3">
        <v>5</v>
      </c>
      <c r="S1823" s="3">
        <v>366</v>
      </c>
      <c r="T1823" s="3">
        <v>35.700000000000003</v>
      </c>
      <c r="U1823" s="3" t="s">
        <v>32</v>
      </c>
      <c r="V1823" s="18" t="s">
        <v>33</v>
      </c>
    </row>
    <row r="1824" spans="1:22" ht="15" customHeight="1" x14ac:dyDescent="0.25">
      <c r="A1824" s="15" t="s">
        <v>3285</v>
      </c>
      <c r="B1824" s="1" t="s">
        <v>3286</v>
      </c>
      <c r="C1824">
        <v>37</v>
      </c>
      <c r="D1824" s="1" t="s">
        <v>98</v>
      </c>
      <c r="E1824" s="1" t="s">
        <v>23</v>
      </c>
      <c r="F1824" s="1" t="s">
        <v>99</v>
      </c>
      <c r="G1824" s="1" t="s">
        <v>77</v>
      </c>
      <c r="H1824" s="1" t="s">
        <v>26</v>
      </c>
      <c r="I1824" s="7">
        <v>43597</v>
      </c>
      <c r="J1824" s="7">
        <v>43608</v>
      </c>
      <c r="K1824" s="1">
        <v>11</v>
      </c>
      <c r="L1824" s="1" t="s">
        <v>39</v>
      </c>
      <c r="M1824" s="1" t="s">
        <v>40</v>
      </c>
      <c r="N1824" s="1" t="s">
        <v>94</v>
      </c>
      <c r="O1824" s="1" t="s">
        <v>104</v>
      </c>
      <c r="P1824" s="29">
        <v>33021.39</v>
      </c>
      <c r="Q1824" s="1" t="s">
        <v>91</v>
      </c>
      <c r="R1824" s="1">
        <v>10</v>
      </c>
      <c r="S1824" s="1">
        <v>332</v>
      </c>
      <c r="T1824" s="1">
        <v>41.1</v>
      </c>
      <c r="U1824" s="1" t="s">
        <v>44</v>
      </c>
      <c r="V1824" s="17" t="s">
        <v>33</v>
      </c>
    </row>
    <row r="1825" spans="1:22" ht="15" customHeight="1" x14ac:dyDescent="0.25">
      <c r="A1825" s="16" t="s">
        <v>3287</v>
      </c>
      <c r="B1825" s="3" t="s">
        <v>3117</v>
      </c>
      <c r="C1825">
        <v>37</v>
      </c>
      <c r="D1825" s="3" t="s">
        <v>98</v>
      </c>
      <c r="E1825" s="3" t="s">
        <v>48</v>
      </c>
      <c r="F1825" s="3" t="s">
        <v>83</v>
      </c>
      <c r="G1825" s="3" t="s">
        <v>163</v>
      </c>
      <c r="H1825" s="3" t="s">
        <v>51</v>
      </c>
      <c r="I1825" s="8">
        <v>44040</v>
      </c>
      <c r="J1825" s="8">
        <v>44044</v>
      </c>
      <c r="K1825" s="3">
        <v>4</v>
      </c>
      <c r="L1825" s="3" t="s">
        <v>52</v>
      </c>
      <c r="M1825" s="3" t="s">
        <v>53</v>
      </c>
      <c r="N1825" s="3" t="s">
        <v>213</v>
      </c>
      <c r="O1825" s="3" t="s">
        <v>30</v>
      </c>
      <c r="P1825" s="30">
        <v>22216.58</v>
      </c>
      <c r="Q1825" s="3" t="s">
        <v>259</v>
      </c>
      <c r="R1825" s="3">
        <v>4</v>
      </c>
      <c r="S1825" s="3">
        <v>160</v>
      </c>
      <c r="T1825" s="3">
        <v>28.4</v>
      </c>
      <c r="U1825" s="3" t="s">
        <v>32</v>
      </c>
      <c r="V1825" s="18" t="s">
        <v>33</v>
      </c>
    </row>
    <row r="1826" spans="1:22" ht="15" customHeight="1" x14ac:dyDescent="0.25">
      <c r="A1826" s="15" t="s">
        <v>3288</v>
      </c>
      <c r="B1826" s="1" t="s">
        <v>3080</v>
      </c>
      <c r="C1826">
        <v>62</v>
      </c>
      <c r="D1826" s="1" t="s">
        <v>59</v>
      </c>
      <c r="E1826" s="1" t="s">
        <v>23</v>
      </c>
      <c r="F1826" s="1" t="s">
        <v>24</v>
      </c>
      <c r="G1826" s="1" t="s">
        <v>38</v>
      </c>
      <c r="H1826" s="1" t="s">
        <v>51</v>
      </c>
      <c r="I1826" s="6">
        <v>43571</v>
      </c>
      <c r="J1826" s="7">
        <v>43574</v>
      </c>
      <c r="K1826" s="1">
        <v>3</v>
      </c>
      <c r="L1826" s="1" t="s">
        <v>52</v>
      </c>
      <c r="M1826" s="1" t="s">
        <v>53</v>
      </c>
      <c r="N1826" s="1" t="s">
        <v>173</v>
      </c>
      <c r="O1826" s="1" t="s">
        <v>66</v>
      </c>
      <c r="P1826" s="29">
        <v>19213.009999999998</v>
      </c>
      <c r="Q1826" s="1" t="s">
        <v>119</v>
      </c>
      <c r="R1826" s="1">
        <v>8</v>
      </c>
      <c r="S1826" s="1">
        <v>168</v>
      </c>
      <c r="T1826" s="1">
        <v>31</v>
      </c>
      <c r="U1826" s="1" t="s">
        <v>32</v>
      </c>
      <c r="V1826" s="17" t="s">
        <v>33</v>
      </c>
    </row>
    <row r="1827" spans="1:22" ht="15" customHeight="1" x14ac:dyDescent="0.25">
      <c r="A1827" s="16" t="s">
        <v>3289</v>
      </c>
      <c r="B1827" s="3" t="s">
        <v>3290</v>
      </c>
      <c r="C1827">
        <v>53</v>
      </c>
      <c r="D1827" s="3" t="s">
        <v>98</v>
      </c>
      <c r="E1827" s="3" t="s">
        <v>48</v>
      </c>
      <c r="F1827" s="3" t="s">
        <v>70</v>
      </c>
      <c r="G1827" s="3" t="s">
        <v>77</v>
      </c>
      <c r="H1827" s="3" t="s">
        <v>26</v>
      </c>
      <c r="I1827" s="8">
        <v>44532</v>
      </c>
      <c r="J1827" s="8">
        <v>44548</v>
      </c>
      <c r="K1827" s="3">
        <v>16</v>
      </c>
      <c r="L1827" s="3" t="s">
        <v>27</v>
      </c>
      <c r="M1827" s="3" t="s">
        <v>28</v>
      </c>
      <c r="N1827" s="3" t="s">
        <v>79</v>
      </c>
      <c r="O1827" s="3" t="s">
        <v>104</v>
      </c>
      <c r="P1827" s="30">
        <v>69700.850000000006</v>
      </c>
      <c r="Q1827" s="3" t="s">
        <v>181</v>
      </c>
      <c r="R1827" s="3">
        <v>8</v>
      </c>
      <c r="S1827" s="3">
        <v>373</v>
      </c>
      <c r="T1827" s="3">
        <v>30.1</v>
      </c>
      <c r="U1827" s="3" t="s">
        <v>32</v>
      </c>
      <c r="V1827" s="18" t="s">
        <v>45</v>
      </c>
    </row>
    <row r="1828" spans="1:22" ht="15" customHeight="1" x14ac:dyDescent="0.25">
      <c r="A1828" s="15" t="s">
        <v>3291</v>
      </c>
      <c r="B1828" s="1" t="s">
        <v>3292</v>
      </c>
      <c r="C1828">
        <v>58</v>
      </c>
      <c r="D1828" s="1" t="s">
        <v>59</v>
      </c>
      <c r="E1828" s="1" t="s">
        <v>23</v>
      </c>
      <c r="F1828" s="1" t="s">
        <v>24</v>
      </c>
      <c r="G1828" s="1" t="s">
        <v>38</v>
      </c>
      <c r="H1828" s="1" t="s">
        <v>51</v>
      </c>
      <c r="I1828" s="7">
        <v>45460</v>
      </c>
      <c r="J1828" s="7">
        <v>45465</v>
      </c>
      <c r="K1828" s="1">
        <v>5</v>
      </c>
      <c r="L1828" s="1" t="s">
        <v>132</v>
      </c>
      <c r="M1828" s="1" t="s">
        <v>53</v>
      </c>
      <c r="N1828" s="1" t="s">
        <v>203</v>
      </c>
      <c r="O1828" s="1" t="s">
        <v>42</v>
      </c>
      <c r="P1828" s="29">
        <v>18499</v>
      </c>
      <c r="Q1828" s="1" t="s">
        <v>236</v>
      </c>
      <c r="R1828" s="1">
        <v>7</v>
      </c>
      <c r="S1828" s="1">
        <v>191</v>
      </c>
      <c r="T1828" s="1">
        <v>42.6</v>
      </c>
      <c r="U1828" s="1" t="s">
        <v>44</v>
      </c>
      <c r="V1828" s="17" t="s">
        <v>45</v>
      </c>
    </row>
    <row r="1829" spans="1:22" ht="15" customHeight="1" x14ac:dyDescent="0.25">
      <c r="A1829" s="16" t="s">
        <v>3293</v>
      </c>
      <c r="B1829" s="3" t="s">
        <v>3294</v>
      </c>
      <c r="C1829">
        <v>85</v>
      </c>
      <c r="D1829" s="3" t="s">
        <v>36</v>
      </c>
      <c r="E1829" s="3" t="s">
        <v>23</v>
      </c>
      <c r="F1829" s="3" t="s">
        <v>37</v>
      </c>
      <c r="G1829" s="3" t="s">
        <v>38</v>
      </c>
      <c r="H1829" s="3" t="s">
        <v>51</v>
      </c>
      <c r="I1829" s="8">
        <v>45605</v>
      </c>
      <c r="J1829" s="8">
        <v>45607</v>
      </c>
      <c r="K1829" s="3">
        <v>2</v>
      </c>
      <c r="L1829" s="3" t="s">
        <v>39</v>
      </c>
      <c r="M1829" s="3" t="s">
        <v>40</v>
      </c>
      <c r="N1829" s="3" t="s">
        <v>203</v>
      </c>
      <c r="O1829" s="3" t="s">
        <v>30</v>
      </c>
      <c r="P1829" s="30">
        <v>35196.839999999997</v>
      </c>
      <c r="Q1829" s="3" t="s">
        <v>305</v>
      </c>
      <c r="R1829" s="3">
        <v>7</v>
      </c>
      <c r="S1829" s="3">
        <v>184</v>
      </c>
      <c r="T1829" s="3">
        <v>28</v>
      </c>
      <c r="U1829" s="3" t="s">
        <v>44</v>
      </c>
      <c r="V1829" s="18" t="s">
        <v>45</v>
      </c>
    </row>
    <row r="1830" spans="1:22" ht="15" customHeight="1" x14ac:dyDescent="0.25">
      <c r="A1830" s="15" t="s">
        <v>3295</v>
      </c>
      <c r="B1830" s="1" t="s">
        <v>3296</v>
      </c>
      <c r="C1830">
        <v>84</v>
      </c>
      <c r="D1830" s="1" t="s">
        <v>36</v>
      </c>
      <c r="E1830" s="1" t="s">
        <v>23</v>
      </c>
      <c r="F1830" s="1" t="s">
        <v>24</v>
      </c>
      <c r="G1830" s="1" t="s">
        <v>71</v>
      </c>
      <c r="H1830" s="1" t="s">
        <v>78</v>
      </c>
      <c r="I1830" s="7">
        <v>44195</v>
      </c>
      <c r="J1830" s="7">
        <v>44199</v>
      </c>
      <c r="K1830" s="1">
        <v>4</v>
      </c>
      <c r="L1830" s="1" t="s">
        <v>185</v>
      </c>
      <c r="M1830" s="1" t="s">
        <v>186</v>
      </c>
      <c r="N1830" s="1" t="s">
        <v>72</v>
      </c>
      <c r="O1830" s="1" t="s">
        <v>30</v>
      </c>
      <c r="P1830" s="29">
        <v>33896.339999999997</v>
      </c>
      <c r="Q1830" s="1" t="s">
        <v>178</v>
      </c>
      <c r="R1830" s="1">
        <v>4</v>
      </c>
      <c r="S1830" s="1">
        <v>190</v>
      </c>
      <c r="T1830" s="1">
        <v>23.2</v>
      </c>
      <c r="U1830" s="1" t="s">
        <v>44</v>
      </c>
      <c r="V1830" s="17" t="s">
        <v>45</v>
      </c>
    </row>
    <row r="1831" spans="1:22" ht="15" customHeight="1" x14ac:dyDescent="0.25">
      <c r="A1831" s="16" t="s">
        <v>3297</v>
      </c>
      <c r="B1831" s="3" t="s">
        <v>3298</v>
      </c>
      <c r="C1831">
        <v>64</v>
      </c>
      <c r="D1831" s="3" t="s">
        <v>59</v>
      </c>
      <c r="E1831" s="3" t="s">
        <v>48</v>
      </c>
      <c r="F1831" s="3" t="s">
        <v>37</v>
      </c>
      <c r="G1831" s="3" t="s">
        <v>50</v>
      </c>
      <c r="H1831" s="3" t="s">
        <v>26</v>
      </c>
      <c r="I1831" s="8">
        <v>43611</v>
      </c>
      <c r="J1831" s="8">
        <v>43615</v>
      </c>
      <c r="K1831" s="3">
        <v>4</v>
      </c>
      <c r="L1831" s="3" t="s">
        <v>112</v>
      </c>
      <c r="M1831" s="3" t="s">
        <v>40</v>
      </c>
      <c r="N1831" s="3" t="s">
        <v>54</v>
      </c>
      <c r="O1831" s="3" t="s">
        <v>66</v>
      </c>
      <c r="P1831" s="30">
        <v>107281.37</v>
      </c>
      <c r="Q1831" s="3" t="s">
        <v>144</v>
      </c>
      <c r="R1831" s="3">
        <v>9</v>
      </c>
      <c r="S1831" s="3">
        <v>371</v>
      </c>
      <c r="T1831" s="3">
        <v>25.2</v>
      </c>
      <c r="U1831" s="3" t="s">
        <v>44</v>
      </c>
      <c r="V1831" s="18" t="s">
        <v>33</v>
      </c>
    </row>
    <row r="1832" spans="1:22" ht="15" customHeight="1" x14ac:dyDescent="0.25">
      <c r="A1832" s="15" t="s">
        <v>3299</v>
      </c>
      <c r="B1832" s="1" t="s">
        <v>3002</v>
      </c>
      <c r="C1832">
        <v>67</v>
      </c>
      <c r="D1832" s="1" t="s">
        <v>82</v>
      </c>
      <c r="E1832" s="1" t="s">
        <v>48</v>
      </c>
      <c r="F1832" s="1" t="s">
        <v>70</v>
      </c>
      <c r="G1832" s="1" t="s">
        <v>38</v>
      </c>
      <c r="H1832" s="1" t="s">
        <v>78</v>
      </c>
      <c r="I1832" s="6">
        <v>44561</v>
      </c>
      <c r="J1832" s="7">
        <v>44774</v>
      </c>
      <c r="K1832" s="1">
        <v>8</v>
      </c>
      <c r="L1832" s="1" t="s">
        <v>27</v>
      </c>
      <c r="M1832" s="1" t="s">
        <v>28</v>
      </c>
      <c r="N1832" s="1" t="s">
        <v>203</v>
      </c>
      <c r="O1832" s="1" t="s">
        <v>30</v>
      </c>
      <c r="P1832" s="29">
        <v>10756.31</v>
      </c>
      <c r="Q1832" s="1" t="s">
        <v>119</v>
      </c>
      <c r="R1832" s="1">
        <v>8</v>
      </c>
      <c r="S1832" s="1">
        <v>291</v>
      </c>
      <c r="T1832" s="1">
        <v>32.4</v>
      </c>
      <c r="U1832" s="1" t="s">
        <v>44</v>
      </c>
      <c r="V1832" s="17" t="s">
        <v>45</v>
      </c>
    </row>
    <row r="1833" spans="1:22" ht="15" customHeight="1" x14ac:dyDescent="0.25">
      <c r="A1833" s="16" t="s">
        <v>3300</v>
      </c>
      <c r="B1833" s="3" t="s">
        <v>1294</v>
      </c>
      <c r="C1833">
        <v>38</v>
      </c>
      <c r="D1833" s="3" t="s">
        <v>98</v>
      </c>
      <c r="E1833" s="3" t="s">
        <v>23</v>
      </c>
      <c r="F1833" s="3" t="s">
        <v>37</v>
      </c>
      <c r="G1833" s="3" t="s">
        <v>226</v>
      </c>
      <c r="H1833" s="3" t="s">
        <v>26</v>
      </c>
      <c r="I1833" s="8">
        <v>43961</v>
      </c>
      <c r="J1833" s="8">
        <v>43970</v>
      </c>
      <c r="K1833" s="3">
        <v>9</v>
      </c>
      <c r="L1833" s="3" t="s">
        <v>185</v>
      </c>
      <c r="M1833" s="3" t="s">
        <v>186</v>
      </c>
      <c r="N1833" s="3" t="s">
        <v>94</v>
      </c>
      <c r="O1833" s="3" t="s">
        <v>30</v>
      </c>
      <c r="P1833" s="30">
        <v>109314.08</v>
      </c>
      <c r="Q1833" s="3" t="s">
        <v>100</v>
      </c>
      <c r="R1833" s="3">
        <v>10</v>
      </c>
      <c r="S1833" s="3">
        <v>379</v>
      </c>
      <c r="T1833" s="3">
        <v>19.600000000000001</v>
      </c>
      <c r="U1833" s="3" t="s">
        <v>86</v>
      </c>
      <c r="V1833" s="18" t="s">
        <v>33</v>
      </c>
    </row>
    <row r="1834" spans="1:22" ht="15" customHeight="1" x14ac:dyDescent="0.25">
      <c r="A1834" s="15" t="s">
        <v>3301</v>
      </c>
      <c r="B1834" s="2" t="s">
        <v>2757</v>
      </c>
      <c r="C1834">
        <v>74</v>
      </c>
      <c r="D1834" s="1" t="s">
        <v>82</v>
      </c>
      <c r="E1834" s="1" t="s">
        <v>23</v>
      </c>
      <c r="F1834" s="1" t="s">
        <v>49</v>
      </c>
      <c r="G1834" s="1" t="s">
        <v>50</v>
      </c>
      <c r="H1834" s="1" t="s">
        <v>78</v>
      </c>
      <c r="I1834" s="6">
        <v>44256</v>
      </c>
      <c r="J1834" s="7">
        <v>44501</v>
      </c>
      <c r="K1834" s="1">
        <v>8</v>
      </c>
      <c r="L1834" s="1" t="s">
        <v>52</v>
      </c>
      <c r="M1834" s="1" t="s">
        <v>53</v>
      </c>
      <c r="N1834" s="1" t="s">
        <v>54</v>
      </c>
      <c r="O1834" s="1" t="s">
        <v>104</v>
      </c>
      <c r="P1834" s="29">
        <v>30471.68</v>
      </c>
      <c r="Q1834" s="1" t="s">
        <v>127</v>
      </c>
      <c r="R1834" s="1">
        <v>9</v>
      </c>
      <c r="S1834" s="1">
        <v>111</v>
      </c>
      <c r="T1834" s="1">
        <v>29.4</v>
      </c>
      <c r="U1834" s="1" t="s">
        <v>32</v>
      </c>
      <c r="V1834" s="17" t="s">
        <v>45</v>
      </c>
    </row>
    <row r="1835" spans="1:22" ht="15" customHeight="1" x14ac:dyDescent="0.25">
      <c r="A1835" s="16" t="s">
        <v>3302</v>
      </c>
      <c r="B1835" s="3" t="s">
        <v>751</v>
      </c>
      <c r="C1835">
        <v>66</v>
      </c>
      <c r="D1835" s="3" t="s">
        <v>82</v>
      </c>
      <c r="E1835" s="3" t="s">
        <v>23</v>
      </c>
      <c r="F1835" s="3" t="s">
        <v>76</v>
      </c>
      <c r="G1835" s="3" t="s">
        <v>71</v>
      </c>
      <c r="H1835" s="3" t="s">
        <v>26</v>
      </c>
      <c r="I1835" s="6">
        <v>43617</v>
      </c>
      <c r="J1835" s="10"/>
      <c r="K1835" s="3"/>
      <c r="L1835" s="3" t="s">
        <v>132</v>
      </c>
      <c r="M1835" s="3" t="s">
        <v>53</v>
      </c>
      <c r="N1835" s="3" t="s">
        <v>312</v>
      </c>
      <c r="O1835" s="3" t="s">
        <v>66</v>
      </c>
      <c r="P1835" s="30">
        <v>30695.32</v>
      </c>
      <c r="Q1835" s="3" t="s">
        <v>73</v>
      </c>
      <c r="R1835" s="3">
        <v>5</v>
      </c>
      <c r="S1835" s="3">
        <v>174</v>
      </c>
      <c r="T1835" s="3">
        <v>24</v>
      </c>
      <c r="U1835" s="3" t="s">
        <v>32</v>
      </c>
      <c r="V1835" s="18" t="s">
        <v>45</v>
      </c>
    </row>
    <row r="1836" spans="1:22" ht="15" customHeight="1" x14ac:dyDescent="0.25">
      <c r="A1836" s="15" t="s">
        <v>3303</v>
      </c>
      <c r="B1836" s="1" t="s">
        <v>1841</v>
      </c>
      <c r="C1836">
        <v>67</v>
      </c>
      <c r="D1836" s="1" t="s">
        <v>82</v>
      </c>
      <c r="E1836" s="1" t="s">
        <v>23</v>
      </c>
      <c r="F1836" s="1" t="s">
        <v>76</v>
      </c>
      <c r="G1836" s="1" t="s">
        <v>60</v>
      </c>
      <c r="H1836" s="1" t="s">
        <v>78</v>
      </c>
      <c r="I1836" s="6">
        <v>43853</v>
      </c>
      <c r="J1836" s="7">
        <v>43861</v>
      </c>
      <c r="K1836" s="1">
        <v>8</v>
      </c>
      <c r="L1836" s="1" t="s">
        <v>39</v>
      </c>
      <c r="M1836" s="1" t="s">
        <v>40</v>
      </c>
      <c r="N1836" s="1" t="s">
        <v>61</v>
      </c>
      <c r="O1836" s="1" t="s">
        <v>104</v>
      </c>
      <c r="P1836" s="29">
        <v>26040.48</v>
      </c>
      <c r="Q1836" s="1" t="s">
        <v>349</v>
      </c>
      <c r="R1836" s="1">
        <v>6</v>
      </c>
      <c r="S1836" s="1">
        <v>227</v>
      </c>
      <c r="T1836" s="1">
        <v>27.1</v>
      </c>
      <c r="U1836" s="1" t="s">
        <v>32</v>
      </c>
      <c r="V1836" s="17" t="s">
        <v>33</v>
      </c>
    </row>
    <row r="1837" spans="1:22" ht="15" customHeight="1" x14ac:dyDescent="0.25">
      <c r="A1837" s="16" t="s">
        <v>3304</v>
      </c>
      <c r="B1837" s="3" t="s">
        <v>3305</v>
      </c>
      <c r="C1837">
        <v>72</v>
      </c>
      <c r="D1837" s="3" t="s">
        <v>82</v>
      </c>
      <c r="E1837" s="3" t="s">
        <v>48</v>
      </c>
      <c r="F1837" s="3" t="s">
        <v>70</v>
      </c>
      <c r="G1837" s="3" t="s">
        <v>25</v>
      </c>
      <c r="H1837" s="3" t="s">
        <v>78</v>
      </c>
      <c r="I1837" s="8">
        <v>43940</v>
      </c>
      <c r="J1837" s="8">
        <v>43968</v>
      </c>
      <c r="K1837" s="3">
        <v>28</v>
      </c>
      <c r="L1837" s="3" t="s">
        <v>27</v>
      </c>
      <c r="M1837" s="3" t="s">
        <v>28</v>
      </c>
      <c r="N1837" s="3" t="s">
        <v>248</v>
      </c>
      <c r="O1837" s="3" t="s">
        <v>104</v>
      </c>
      <c r="P1837" s="30">
        <v>21751.17</v>
      </c>
      <c r="Q1837" s="3" t="s">
        <v>31</v>
      </c>
      <c r="R1837" s="3">
        <v>12</v>
      </c>
      <c r="S1837" s="3">
        <v>436</v>
      </c>
      <c r="T1837" s="3">
        <v>23.6</v>
      </c>
      <c r="U1837" s="3" t="s">
        <v>44</v>
      </c>
      <c r="V1837" s="18" t="s">
        <v>33</v>
      </c>
    </row>
    <row r="1838" spans="1:22" ht="15" customHeight="1" x14ac:dyDescent="0.25">
      <c r="A1838" s="15" t="s">
        <v>3306</v>
      </c>
      <c r="B1838" s="1" t="s">
        <v>3307</v>
      </c>
      <c r="C1838">
        <v>67</v>
      </c>
      <c r="D1838" s="1" t="s">
        <v>82</v>
      </c>
      <c r="E1838" s="1" t="s">
        <v>23</v>
      </c>
      <c r="F1838" s="1" t="s">
        <v>49</v>
      </c>
      <c r="G1838" s="1" t="s">
        <v>50</v>
      </c>
      <c r="H1838" s="1" t="s">
        <v>78</v>
      </c>
      <c r="I1838" s="7">
        <v>44227</v>
      </c>
      <c r="J1838" s="7">
        <v>44471</v>
      </c>
      <c r="K1838" s="1">
        <v>10</v>
      </c>
      <c r="L1838" s="1" t="s">
        <v>122</v>
      </c>
      <c r="M1838" s="1" t="s">
        <v>40</v>
      </c>
      <c r="N1838" s="1" t="s">
        <v>54</v>
      </c>
      <c r="O1838" s="1" t="s">
        <v>104</v>
      </c>
      <c r="P1838" s="29">
        <v>43400.800000000003</v>
      </c>
      <c r="Q1838" s="1" t="s">
        <v>552</v>
      </c>
      <c r="R1838" s="1">
        <v>9</v>
      </c>
      <c r="S1838" s="1">
        <v>214</v>
      </c>
      <c r="T1838" s="1">
        <v>27.3</v>
      </c>
      <c r="U1838" s="1" t="s">
        <v>32</v>
      </c>
      <c r="V1838" s="17" t="s">
        <v>33</v>
      </c>
    </row>
    <row r="1839" spans="1:22" ht="15" customHeight="1" x14ac:dyDescent="0.25">
      <c r="A1839" s="16" t="s">
        <v>3308</v>
      </c>
      <c r="B1839" s="3" t="s">
        <v>3309</v>
      </c>
      <c r="C1839">
        <v>75</v>
      </c>
      <c r="D1839" s="3" t="s">
        <v>36</v>
      </c>
      <c r="E1839" s="3" t="s">
        <v>48</v>
      </c>
      <c r="F1839" s="3" t="s">
        <v>24</v>
      </c>
      <c r="G1839" s="3" t="s">
        <v>25</v>
      </c>
      <c r="H1839" s="3" t="s">
        <v>26</v>
      </c>
      <c r="I1839" s="6">
        <v>44188</v>
      </c>
      <c r="J1839" s="8">
        <v>44378</v>
      </c>
      <c r="K1839" s="3">
        <v>15</v>
      </c>
      <c r="L1839" s="3" t="s">
        <v>27</v>
      </c>
      <c r="M1839" s="3" t="s">
        <v>28</v>
      </c>
      <c r="N1839" s="3" t="s">
        <v>29</v>
      </c>
      <c r="O1839" s="3" t="s">
        <v>104</v>
      </c>
      <c r="P1839" s="30">
        <v>85530.58</v>
      </c>
      <c r="Q1839" s="3" t="s">
        <v>249</v>
      </c>
      <c r="R1839" s="3">
        <v>12</v>
      </c>
      <c r="S1839" s="3">
        <v>341</v>
      </c>
      <c r="T1839" s="3">
        <v>22.6</v>
      </c>
      <c r="U1839" s="3" t="s">
        <v>44</v>
      </c>
      <c r="V1839" s="18" t="s">
        <v>33</v>
      </c>
    </row>
    <row r="1840" spans="1:22" ht="15" customHeight="1" x14ac:dyDescent="0.25">
      <c r="A1840" s="15" t="s">
        <v>3310</v>
      </c>
      <c r="B1840" s="1" t="s">
        <v>3311</v>
      </c>
      <c r="C1840">
        <v>83</v>
      </c>
      <c r="D1840" s="1" t="s">
        <v>36</v>
      </c>
      <c r="E1840" s="1" t="s">
        <v>48</v>
      </c>
      <c r="F1840" s="1" t="s">
        <v>99</v>
      </c>
      <c r="G1840" s="1" t="s">
        <v>50</v>
      </c>
      <c r="H1840" s="1" t="s">
        <v>51</v>
      </c>
      <c r="I1840" s="7">
        <v>44039</v>
      </c>
      <c r="J1840" s="7">
        <v>43838</v>
      </c>
      <c r="K1840" s="1">
        <v>5</v>
      </c>
      <c r="L1840" s="1" t="s">
        <v>89</v>
      </c>
      <c r="M1840" s="1" t="s">
        <v>90</v>
      </c>
      <c r="N1840" s="1" t="s">
        <v>54</v>
      </c>
      <c r="O1840" s="1" t="s">
        <v>55</v>
      </c>
      <c r="P1840" s="29">
        <v>48068</v>
      </c>
      <c r="Q1840" s="1" t="s">
        <v>552</v>
      </c>
      <c r="R1840" s="1">
        <v>9</v>
      </c>
      <c r="S1840" s="1">
        <v>165</v>
      </c>
      <c r="T1840" s="1">
        <v>23.1</v>
      </c>
      <c r="U1840" s="1" t="s">
        <v>86</v>
      </c>
      <c r="V1840" s="17" t="s">
        <v>33</v>
      </c>
    </row>
    <row r="1841" spans="1:22" ht="15" customHeight="1" x14ac:dyDescent="0.25">
      <c r="A1841" s="16" t="s">
        <v>3312</v>
      </c>
      <c r="B1841" s="2" t="s">
        <v>297</v>
      </c>
      <c r="C1841">
        <v>84</v>
      </c>
      <c r="D1841" s="3" t="s">
        <v>36</v>
      </c>
      <c r="E1841" s="3" t="s">
        <v>23</v>
      </c>
      <c r="F1841" s="2" t="s">
        <v>3714</v>
      </c>
      <c r="G1841" s="3" t="s">
        <v>163</v>
      </c>
      <c r="H1841" s="3" t="s">
        <v>51</v>
      </c>
      <c r="I1841" s="6">
        <v>43561</v>
      </c>
      <c r="J1841" s="8">
        <v>43742</v>
      </c>
      <c r="K1841" s="3">
        <v>4</v>
      </c>
      <c r="L1841" s="3" t="s">
        <v>89</v>
      </c>
      <c r="M1841" s="3" t="s">
        <v>90</v>
      </c>
      <c r="N1841" s="3" t="s">
        <v>213</v>
      </c>
      <c r="O1841" s="3" t="s">
        <v>42</v>
      </c>
      <c r="P1841" s="30">
        <v>33359.129999999997</v>
      </c>
      <c r="Q1841" s="3" t="s">
        <v>257</v>
      </c>
      <c r="R1841" s="3">
        <v>4</v>
      </c>
      <c r="S1841" s="3">
        <v>192</v>
      </c>
      <c r="T1841" s="3">
        <v>37.9</v>
      </c>
      <c r="U1841" s="3" t="s">
        <v>32</v>
      </c>
      <c r="V1841" s="18" t="s">
        <v>33</v>
      </c>
    </row>
    <row r="1842" spans="1:22" ht="15" customHeight="1" x14ac:dyDescent="0.25">
      <c r="A1842" s="15" t="s">
        <v>3313</v>
      </c>
      <c r="B1842" s="1" t="s">
        <v>2127</v>
      </c>
      <c r="C1842">
        <v>51</v>
      </c>
      <c r="D1842" s="1" t="s">
        <v>98</v>
      </c>
      <c r="E1842" s="1" t="s">
        <v>23</v>
      </c>
      <c r="F1842" s="1" t="s">
        <v>155</v>
      </c>
      <c r="G1842" s="1" t="s">
        <v>77</v>
      </c>
      <c r="H1842" s="1" t="s">
        <v>78</v>
      </c>
      <c r="I1842" s="7">
        <v>44976</v>
      </c>
      <c r="J1842" s="7">
        <v>44979</v>
      </c>
      <c r="K1842" s="1">
        <v>3</v>
      </c>
      <c r="L1842" s="1" t="s">
        <v>185</v>
      </c>
      <c r="M1842" s="1" t="s">
        <v>186</v>
      </c>
      <c r="N1842" s="1" t="s">
        <v>94</v>
      </c>
      <c r="O1842" s="1" t="s">
        <v>66</v>
      </c>
      <c r="P1842" s="29">
        <v>119850.85</v>
      </c>
      <c r="Q1842" s="1" t="s">
        <v>592</v>
      </c>
      <c r="R1842" s="1">
        <v>10</v>
      </c>
      <c r="S1842" s="1">
        <v>487</v>
      </c>
      <c r="T1842" s="1">
        <v>36.4</v>
      </c>
      <c r="U1842" s="1" t="s">
        <v>44</v>
      </c>
      <c r="V1842" s="17" t="s">
        <v>33</v>
      </c>
    </row>
    <row r="1843" spans="1:22" ht="15" customHeight="1" x14ac:dyDescent="0.25">
      <c r="A1843" s="16" t="s">
        <v>3314</v>
      </c>
      <c r="B1843" s="3" t="s">
        <v>1134</v>
      </c>
      <c r="C1843">
        <v>89</v>
      </c>
      <c r="D1843" s="3" t="s">
        <v>36</v>
      </c>
      <c r="E1843" s="3" t="s">
        <v>48</v>
      </c>
      <c r="F1843" s="3" t="s">
        <v>76</v>
      </c>
      <c r="G1843" s="3" t="s">
        <v>77</v>
      </c>
      <c r="H1843" s="3" t="s">
        <v>51</v>
      </c>
      <c r="I1843" s="8">
        <v>44074</v>
      </c>
      <c r="J1843" s="8">
        <v>44080</v>
      </c>
      <c r="K1843" s="3">
        <v>6</v>
      </c>
      <c r="L1843" s="3" t="s">
        <v>112</v>
      </c>
      <c r="M1843" s="3" t="s">
        <v>40</v>
      </c>
      <c r="N1843" s="3" t="s">
        <v>84</v>
      </c>
      <c r="O1843" s="3" t="s">
        <v>42</v>
      </c>
      <c r="P1843" s="30">
        <v>93783</v>
      </c>
      <c r="Q1843" s="3" t="s">
        <v>85</v>
      </c>
      <c r="R1843" s="3">
        <v>10</v>
      </c>
      <c r="S1843" s="3">
        <v>131</v>
      </c>
      <c r="T1843" s="3">
        <v>24</v>
      </c>
      <c r="U1843" s="3" t="s">
        <v>44</v>
      </c>
      <c r="V1843" s="18" t="s">
        <v>33</v>
      </c>
    </row>
    <row r="1844" spans="1:22" ht="15" customHeight="1" x14ac:dyDescent="0.25">
      <c r="A1844" s="15" t="s">
        <v>3315</v>
      </c>
      <c r="B1844" s="1" t="s">
        <v>3316</v>
      </c>
      <c r="C1844">
        <v>31</v>
      </c>
      <c r="D1844" s="1" t="s">
        <v>47</v>
      </c>
      <c r="E1844" s="1" t="s">
        <v>48</v>
      </c>
      <c r="F1844" s="1" t="s">
        <v>99</v>
      </c>
      <c r="G1844" s="1" t="s">
        <v>38</v>
      </c>
      <c r="H1844" s="1" t="s">
        <v>26</v>
      </c>
      <c r="I1844" s="7">
        <v>45131</v>
      </c>
      <c r="J1844" s="7">
        <v>45141</v>
      </c>
      <c r="K1844" s="1">
        <v>10</v>
      </c>
      <c r="L1844" s="1" t="s">
        <v>52</v>
      </c>
      <c r="M1844" s="1" t="s">
        <v>53</v>
      </c>
      <c r="N1844" s="1" t="s">
        <v>173</v>
      </c>
      <c r="O1844" s="1" t="s">
        <v>30</v>
      </c>
      <c r="P1844" s="29">
        <v>14320.18</v>
      </c>
      <c r="Q1844" s="1" t="s">
        <v>567</v>
      </c>
      <c r="R1844" s="1">
        <v>8</v>
      </c>
      <c r="S1844" s="1">
        <v>210</v>
      </c>
      <c r="T1844" s="1">
        <v>19.7</v>
      </c>
      <c r="U1844" s="1" t="s">
        <v>32</v>
      </c>
      <c r="V1844" s="17" t="s">
        <v>33</v>
      </c>
    </row>
    <row r="1845" spans="1:22" ht="15" customHeight="1" x14ac:dyDescent="0.25">
      <c r="A1845" s="16" t="s">
        <v>3317</v>
      </c>
      <c r="B1845" s="3" t="s">
        <v>3318</v>
      </c>
      <c r="C1845">
        <v>33</v>
      </c>
      <c r="D1845" s="3" t="s">
        <v>47</v>
      </c>
      <c r="E1845" s="3" t="s">
        <v>48</v>
      </c>
      <c r="F1845" s="3" t="s">
        <v>99</v>
      </c>
      <c r="G1845" s="3" t="s">
        <v>77</v>
      </c>
      <c r="H1845" s="3" t="s">
        <v>156</v>
      </c>
      <c r="I1845" s="8">
        <v>45257</v>
      </c>
      <c r="J1845" s="8">
        <v>45058</v>
      </c>
      <c r="K1845" s="3">
        <v>8</v>
      </c>
      <c r="L1845" s="3" t="s">
        <v>122</v>
      </c>
      <c r="M1845" s="3" t="s">
        <v>40</v>
      </c>
      <c r="N1845" s="3" t="s">
        <v>94</v>
      </c>
      <c r="O1845" s="3" t="s">
        <v>104</v>
      </c>
      <c r="P1845" s="30">
        <v>20455.07</v>
      </c>
      <c r="Q1845" s="3" t="s">
        <v>95</v>
      </c>
      <c r="R1845" s="3">
        <v>6</v>
      </c>
      <c r="S1845" s="3">
        <v>352</v>
      </c>
      <c r="T1845" s="3">
        <v>27.4</v>
      </c>
      <c r="U1845" s="3" t="s">
        <v>44</v>
      </c>
      <c r="V1845" s="18" t="s">
        <v>33</v>
      </c>
    </row>
    <row r="1846" spans="1:22" ht="15" customHeight="1" x14ac:dyDescent="0.25">
      <c r="A1846" s="15" t="s">
        <v>3319</v>
      </c>
      <c r="B1846" s="1" t="s">
        <v>1581</v>
      </c>
      <c r="C1846">
        <v>61</v>
      </c>
      <c r="D1846" s="1" t="s">
        <v>59</v>
      </c>
      <c r="E1846" s="1" t="s">
        <v>23</v>
      </c>
      <c r="F1846" s="1" t="s">
        <v>155</v>
      </c>
      <c r="G1846" s="1" t="s">
        <v>131</v>
      </c>
      <c r="H1846" s="1" t="s">
        <v>26</v>
      </c>
      <c r="I1846" s="6">
        <v>45123</v>
      </c>
      <c r="J1846" s="7">
        <v>45128</v>
      </c>
      <c r="K1846" s="1">
        <v>5</v>
      </c>
      <c r="L1846" s="1" t="s">
        <v>231</v>
      </c>
      <c r="M1846" s="1" t="s">
        <v>53</v>
      </c>
      <c r="N1846" s="1" t="s">
        <v>133</v>
      </c>
      <c r="O1846" s="1" t="s">
        <v>42</v>
      </c>
      <c r="P1846" s="29">
        <v>34947.879999999997</v>
      </c>
      <c r="Q1846" s="1" t="s">
        <v>134</v>
      </c>
      <c r="R1846" s="1">
        <v>5</v>
      </c>
      <c r="S1846" s="1">
        <v>363</v>
      </c>
      <c r="T1846" s="1">
        <v>29.1</v>
      </c>
      <c r="U1846" s="1" t="s">
        <v>86</v>
      </c>
      <c r="V1846" s="17" t="s">
        <v>33</v>
      </c>
    </row>
    <row r="1847" spans="1:22" ht="15" customHeight="1" x14ac:dyDescent="0.25">
      <c r="A1847" s="16" t="s">
        <v>3320</v>
      </c>
      <c r="B1847" s="3" t="s">
        <v>3321</v>
      </c>
      <c r="C1847">
        <v>62</v>
      </c>
      <c r="D1847" s="3" t="s">
        <v>59</v>
      </c>
      <c r="E1847" s="3" t="s">
        <v>23</v>
      </c>
      <c r="F1847" s="3" t="s">
        <v>24</v>
      </c>
      <c r="G1847" s="3" t="s">
        <v>163</v>
      </c>
      <c r="H1847" s="3" t="s">
        <v>78</v>
      </c>
      <c r="I1847" s="6">
        <v>45477</v>
      </c>
      <c r="J1847" s="10"/>
      <c r="K1847" s="3"/>
      <c r="L1847" s="3" t="s">
        <v>102</v>
      </c>
      <c r="M1847" s="3" t="s">
        <v>28</v>
      </c>
      <c r="N1847" s="3" t="s">
        <v>164</v>
      </c>
      <c r="O1847" s="3" t="s">
        <v>104</v>
      </c>
      <c r="P1847" s="30">
        <v>16744.68</v>
      </c>
      <c r="Q1847" s="3" t="s">
        <v>257</v>
      </c>
      <c r="R1847" s="3">
        <v>2</v>
      </c>
      <c r="S1847" s="3">
        <v>236</v>
      </c>
      <c r="T1847" s="3">
        <v>15.6</v>
      </c>
      <c r="U1847" s="3" t="s">
        <v>32</v>
      </c>
      <c r="V1847" s="18" t="s">
        <v>33</v>
      </c>
    </row>
    <row r="1848" spans="1:22" ht="15" customHeight="1" x14ac:dyDescent="0.25">
      <c r="A1848" s="15" t="s">
        <v>3322</v>
      </c>
      <c r="B1848" s="2" t="s">
        <v>676</v>
      </c>
      <c r="C1848">
        <v>63</v>
      </c>
      <c r="D1848" s="1" t="s">
        <v>59</v>
      </c>
      <c r="E1848" s="1" t="s">
        <v>48</v>
      </c>
      <c r="F1848" s="1" t="s">
        <v>155</v>
      </c>
      <c r="G1848" s="1" t="s">
        <v>226</v>
      </c>
      <c r="H1848" s="1" t="s">
        <v>78</v>
      </c>
      <c r="I1848" s="7">
        <v>45425</v>
      </c>
      <c r="J1848" s="7">
        <v>45432</v>
      </c>
      <c r="K1848" s="1">
        <v>7</v>
      </c>
      <c r="L1848" s="1" t="s">
        <v>27</v>
      </c>
      <c r="M1848" s="1" t="s">
        <v>28</v>
      </c>
      <c r="N1848" s="1" t="s">
        <v>79</v>
      </c>
      <c r="O1848" s="1" t="s">
        <v>42</v>
      </c>
      <c r="P1848" s="29">
        <v>43908</v>
      </c>
      <c r="Q1848" s="1" t="s">
        <v>181</v>
      </c>
      <c r="R1848" s="1">
        <v>10</v>
      </c>
      <c r="S1848" s="1">
        <v>374</v>
      </c>
      <c r="T1848" s="1">
        <v>34.9</v>
      </c>
      <c r="U1848" s="1" t="s">
        <v>32</v>
      </c>
      <c r="V1848" s="17" t="s">
        <v>33</v>
      </c>
    </row>
    <row r="1849" spans="1:22" ht="15" customHeight="1" x14ac:dyDescent="0.25">
      <c r="A1849" s="16" t="s">
        <v>3323</v>
      </c>
      <c r="B1849" s="3" t="s">
        <v>3324</v>
      </c>
      <c r="C1849">
        <v>69</v>
      </c>
      <c r="D1849" s="3" t="s">
        <v>82</v>
      </c>
      <c r="E1849" s="3" t="s">
        <v>48</v>
      </c>
      <c r="F1849" s="3" t="s">
        <v>49</v>
      </c>
      <c r="G1849" s="3" t="s">
        <v>25</v>
      </c>
      <c r="H1849" s="3" t="s">
        <v>26</v>
      </c>
      <c r="I1849" s="8">
        <v>45271</v>
      </c>
      <c r="J1849" s="8">
        <v>45303</v>
      </c>
      <c r="K1849" s="3">
        <v>32</v>
      </c>
      <c r="L1849" s="3" t="s">
        <v>185</v>
      </c>
      <c r="M1849" s="3" t="s">
        <v>186</v>
      </c>
      <c r="N1849" s="3" t="s">
        <v>65</v>
      </c>
      <c r="O1849" s="3" t="s">
        <v>30</v>
      </c>
      <c r="P1849" s="30">
        <v>195316.74</v>
      </c>
      <c r="Q1849" s="3" t="s">
        <v>249</v>
      </c>
      <c r="R1849" s="3">
        <v>12</v>
      </c>
      <c r="S1849" s="3">
        <v>267</v>
      </c>
      <c r="T1849" s="3">
        <v>23.8</v>
      </c>
      <c r="U1849" s="3" t="s">
        <v>44</v>
      </c>
      <c r="V1849" s="18" t="s">
        <v>33</v>
      </c>
    </row>
    <row r="1850" spans="1:22" ht="15" customHeight="1" x14ac:dyDescent="0.25">
      <c r="A1850" s="15" t="s">
        <v>3325</v>
      </c>
      <c r="B1850" s="1" t="s">
        <v>3225</v>
      </c>
      <c r="C1850">
        <v>65</v>
      </c>
      <c r="D1850" s="1" t="s">
        <v>82</v>
      </c>
      <c r="E1850" s="1" t="s">
        <v>23</v>
      </c>
      <c r="F1850" s="1" t="s">
        <v>76</v>
      </c>
      <c r="G1850" s="1" t="s">
        <v>38</v>
      </c>
      <c r="H1850" s="1" t="s">
        <v>78</v>
      </c>
      <c r="I1850" s="6">
        <v>45607</v>
      </c>
      <c r="J1850" s="7">
        <v>45612</v>
      </c>
      <c r="K1850" s="1">
        <v>5</v>
      </c>
      <c r="L1850" s="1" t="s">
        <v>122</v>
      </c>
      <c r="M1850" s="1" t="s">
        <v>40</v>
      </c>
      <c r="N1850" s="1" t="s">
        <v>203</v>
      </c>
      <c r="O1850" s="1" t="s">
        <v>30</v>
      </c>
      <c r="P1850" s="29">
        <v>22142.13</v>
      </c>
      <c r="Q1850" s="1" t="s">
        <v>236</v>
      </c>
      <c r="R1850" s="1">
        <v>7</v>
      </c>
      <c r="S1850" s="1">
        <v>273</v>
      </c>
      <c r="T1850" s="1">
        <v>33.4</v>
      </c>
      <c r="U1850" s="1" t="s">
        <v>44</v>
      </c>
      <c r="V1850" s="17" t="s">
        <v>45</v>
      </c>
    </row>
    <row r="1851" spans="1:22" ht="15" customHeight="1" x14ac:dyDescent="0.25">
      <c r="A1851" s="16" t="s">
        <v>3326</v>
      </c>
      <c r="B1851" s="3" t="s">
        <v>3327</v>
      </c>
      <c r="C1851">
        <v>63</v>
      </c>
      <c r="D1851" s="3" t="s">
        <v>59</v>
      </c>
      <c r="E1851" s="3" t="s">
        <v>48</v>
      </c>
      <c r="F1851" s="3" t="s">
        <v>70</v>
      </c>
      <c r="G1851" s="3" t="s">
        <v>163</v>
      </c>
      <c r="H1851" s="3" t="s">
        <v>26</v>
      </c>
      <c r="I1851" s="8">
        <v>43977</v>
      </c>
      <c r="J1851" s="8">
        <v>43983</v>
      </c>
      <c r="K1851" s="3">
        <v>6</v>
      </c>
      <c r="L1851" s="3" t="s">
        <v>132</v>
      </c>
      <c r="M1851" s="3" t="s">
        <v>53</v>
      </c>
      <c r="N1851" s="3" t="s">
        <v>164</v>
      </c>
      <c r="O1851" s="3" t="s">
        <v>55</v>
      </c>
      <c r="P1851" s="30">
        <v>36971.39</v>
      </c>
      <c r="Q1851" s="3" t="s">
        <v>257</v>
      </c>
      <c r="R1851" s="3">
        <v>4</v>
      </c>
      <c r="S1851" s="3">
        <v>124</v>
      </c>
      <c r="T1851" s="3">
        <v>20.5</v>
      </c>
      <c r="U1851" s="3" t="s">
        <v>86</v>
      </c>
      <c r="V1851" s="18" t="s">
        <v>33</v>
      </c>
    </row>
    <row r="1852" spans="1:22" ht="15" customHeight="1" x14ac:dyDescent="0.25">
      <c r="A1852" s="15" t="s">
        <v>3328</v>
      </c>
      <c r="B1852" s="1" t="s">
        <v>3329</v>
      </c>
      <c r="C1852">
        <v>88</v>
      </c>
      <c r="D1852" s="1" t="s">
        <v>36</v>
      </c>
      <c r="E1852" s="1" t="s">
        <v>23</v>
      </c>
      <c r="F1852" s="1" t="s">
        <v>24</v>
      </c>
      <c r="G1852" s="1" t="s">
        <v>38</v>
      </c>
      <c r="H1852" s="1" t="s">
        <v>51</v>
      </c>
      <c r="I1852" s="7">
        <v>44489</v>
      </c>
      <c r="J1852" s="7">
        <v>44491</v>
      </c>
      <c r="K1852" s="1">
        <v>2</v>
      </c>
      <c r="L1852" s="1" t="s">
        <v>231</v>
      </c>
      <c r="M1852" s="1" t="s">
        <v>53</v>
      </c>
      <c r="N1852" s="1" t="s">
        <v>203</v>
      </c>
      <c r="O1852" s="1" t="s">
        <v>66</v>
      </c>
      <c r="P1852" s="29">
        <v>24346.400000000001</v>
      </c>
      <c r="Q1852" s="1" t="s">
        <v>305</v>
      </c>
      <c r="R1852" s="1">
        <v>8</v>
      </c>
      <c r="S1852" s="1">
        <v>130</v>
      </c>
      <c r="T1852" s="1">
        <v>22.1</v>
      </c>
      <c r="U1852" s="1" t="s">
        <v>44</v>
      </c>
      <c r="V1852" s="17" t="s">
        <v>33</v>
      </c>
    </row>
    <row r="1853" spans="1:22" ht="15" customHeight="1" x14ac:dyDescent="0.25">
      <c r="A1853" s="16" t="s">
        <v>3330</v>
      </c>
      <c r="B1853" s="3" t="s">
        <v>2152</v>
      </c>
      <c r="C1853">
        <v>67</v>
      </c>
      <c r="D1853" s="3" t="s">
        <v>82</v>
      </c>
      <c r="E1853" s="3" t="s">
        <v>23</v>
      </c>
      <c r="F1853" s="3" t="s">
        <v>83</v>
      </c>
      <c r="G1853" s="3" t="s">
        <v>38</v>
      </c>
      <c r="H1853" s="3" t="s">
        <v>51</v>
      </c>
      <c r="I1853" s="8">
        <v>43476</v>
      </c>
      <c r="J1853" s="8">
        <v>43479</v>
      </c>
      <c r="K1853" s="3">
        <v>3</v>
      </c>
      <c r="L1853" s="3" t="s">
        <v>112</v>
      </c>
      <c r="M1853" s="3" t="s">
        <v>40</v>
      </c>
      <c r="N1853" s="3" t="s">
        <v>173</v>
      </c>
      <c r="O1853" s="3" t="s">
        <v>55</v>
      </c>
      <c r="P1853" s="30">
        <v>39171.800000000003</v>
      </c>
      <c r="Q1853" s="3" t="s">
        <v>305</v>
      </c>
      <c r="R1853" s="3">
        <v>7</v>
      </c>
      <c r="S1853" s="3">
        <v>106</v>
      </c>
      <c r="T1853" s="3">
        <v>31.6</v>
      </c>
      <c r="U1853" s="3" t="s">
        <v>44</v>
      </c>
      <c r="V1853" s="18" t="s">
        <v>33</v>
      </c>
    </row>
    <row r="1854" spans="1:22" ht="15" customHeight="1" x14ac:dyDescent="0.25">
      <c r="A1854" s="15" t="s">
        <v>3331</v>
      </c>
      <c r="B1854" s="1" t="s">
        <v>2144</v>
      </c>
      <c r="C1854">
        <v>14</v>
      </c>
      <c r="D1854" s="1" t="s">
        <v>22</v>
      </c>
      <c r="E1854" s="1" t="s">
        <v>23</v>
      </c>
      <c r="F1854" s="1" t="s">
        <v>37</v>
      </c>
      <c r="G1854" s="1" t="s">
        <v>38</v>
      </c>
      <c r="H1854" s="1" t="s">
        <v>78</v>
      </c>
      <c r="I1854" s="7">
        <v>44391</v>
      </c>
      <c r="J1854" s="7">
        <v>44394</v>
      </c>
      <c r="K1854" s="1">
        <v>3</v>
      </c>
      <c r="L1854" s="1" t="s">
        <v>231</v>
      </c>
      <c r="M1854" s="1" t="s">
        <v>53</v>
      </c>
      <c r="N1854" s="1" t="s">
        <v>203</v>
      </c>
      <c r="O1854" s="1" t="s">
        <v>42</v>
      </c>
      <c r="P1854" s="29">
        <v>15258</v>
      </c>
      <c r="Q1854" s="1" t="s">
        <v>437</v>
      </c>
      <c r="R1854" s="1">
        <v>7</v>
      </c>
      <c r="S1854" s="1">
        <v>197</v>
      </c>
      <c r="T1854" s="1">
        <v>31.4</v>
      </c>
      <c r="U1854" s="1" t="s">
        <v>32</v>
      </c>
      <c r="V1854" s="17" t="s">
        <v>33</v>
      </c>
    </row>
    <row r="1855" spans="1:22" ht="15" customHeight="1" x14ac:dyDescent="0.25">
      <c r="A1855" s="16" t="s">
        <v>3332</v>
      </c>
      <c r="B1855" s="2" t="s">
        <v>3704</v>
      </c>
      <c r="C1855">
        <v>58</v>
      </c>
      <c r="D1855" s="3" t="s">
        <v>59</v>
      </c>
      <c r="E1855" s="3" t="s">
        <v>48</v>
      </c>
      <c r="F1855" s="3" t="s">
        <v>83</v>
      </c>
      <c r="G1855" s="3" t="s">
        <v>38</v>
      </c>
      <c r="H1855" s="3" t="s">
        <v>26</v>
      </c>
      <c r="I1855" s="6">
        <v>44579</v>
      </c>
      <c r="J1855" s="8">
        <v>44580</v>
      </c>
      <c r="K1855" s="3">
        <v>1</v>
      </c>
      <c r="L1855" s="3" t="s">
        <v>52</v>
      </c>
      <c r="M1855" s="3" t="s">
        <v>53</v>
      </c>
      <c r="N1855" s="3" t="s">
        <v>203</v>
      </c>
      <c r="O1855" s="3" t="s">
        <v>66</v>
      </c>
      <c r="P1855" s="30">
        <v>39116</v>
      </c>
      <c r="Q1855" s="3" t="s">
        <v>43</v>
      </c>
      <c r="R1855" s="3">
        <v>8</v>
      </c>
      <c r="S1855" s="3">
        <v>133</v>
      </c>
      <c r="T1855" s="3">
        <v>26</v>
      </c>
      <c r="U1855" s="3" t="s">
        <v>32</v>
      </c>
      <c r="V1855" s="18" t="s">
        <v>33</v>
      </c>
    </row>
    <row r="1856" spans="1:22" ht="15" customHeight="1" x14ac:dyDescent="0.25">
      <c r="A1856" s="15" t="s">
        <v>3333</v>
      </c>
      <c r="B1856" s="1" t="s">
        <v>3334</v>
      </c>
      <c r="C1856">
        <v>62</v>
      </c>
      <c r="D1856" s="1" t="s">
        <v>59</v>
      </c>
      <c r="E1856" s="1" t="s">
        <v>23</v>
      </c>
      <c r="F1856" s="2" t="s">
        <v>37</v>
      </c>
      <c r="G1856" s="1" t="s">
        <v>38</v>
      </c>
      <c r="H1856" s="1" t="s">
        <v>51</v>
      </c>
      <c r="I1856" s="7">
        <v>44316</v>
      </c>
      <c r="J1856" s="7">
        <v>44320</v>
      </c>
      <c r="K1856" s="1">
        <v>4</v>
      </c>
      <c r="L1856" s="1" t="s">
        <v>132</v>
      </c>
      <c r="M1856" s="1" t="s">
        <v>53</v>
      </c>
      <c r="N1856" s="1" t="s">
        <v>173</v>
      </c>
      <c r="O1856" s="1" t="s">
        <v>104</v>
      </c>
      <c r="P1856" s="29">
        <v>11145.01</v>
      </c>
      <c r="Q1856" s="1" t="s">
        <v>305</v>
      </c>
      <c r="R1856" s="1">
        <v>8</v>
      </c>
      <c r="S1856" s="1">
        <v>196</v>
      </c>
      <c r="T1856" s="1">
        <v>39.6</v>
      </c>
      <c r="U1856" s="1" t="s">
        <v>44</v>
      </c>
      <c r="V1856" s="17" t="s">
        <v>33</v>
      </c>
    </row>
    <row r="1857" spans="1:22" ht="15" customHeight="1" x14ac:dyDescent="0.25">
      <c r="A1857" s="16" t="s">
        <v>3335</v>
      </c>
      <c r="B1857" s="2" t="s">
        <v>3705</v>
      </c>
      <c r="C1857">
        <v>73</v>
      </c>
      <c r="D1857" s="3" t="s">
        <v>82</v>
      </c>
      <c r="E1857" s="3" t="s">
        <v>48</v>
      </c>
      <c r="F1857" s="3" t="s">
        <v>76</v>
      </c>
      <c r="G1857" s="3" t="s">
        <v>131</v>
      </c>
      <c r="H1857" s="3" t="s">
        <v>26</v>
      </c>
      <c r="I1857" s="8">
        <v>45506</v>
      </c>
      <c r="J1857" s="8">
        <v>45345</v>
      </c>
      <c r="K1857" s="3">
        <v>15</v>
      </c>
      <c r="L1857" s="3" t="s">
        <v>52</v>
      </c>
      <c r="M1857" s="3" t="s">
        <v>53</v>
      </c>
      <c r="N1857" s="3" t="s">
        <v>157</v>
      </c>
      <c r="O1857" s="3" t="s">
        <v>30</v>
      </c>
      <c r="P1857" s="30">
        <v>47398.35</v>
      </c>
      <c r="Q1857" s="3" t="s">
        <v>158</v>
      </c>
      <c r="R1857" s="3">
        <v>7</v>
      </c>
      <c r="S1857" s="3">
        <v>328</v>
      </c>
      <c r="T1857" s="3">
        <v>22.4</v>
      </c>
      <c r="U1857" s="3" t="s">
        <v>44</v>
      </c>
      <c r="V1857" s="18" t="s">
        <v>45</v>
      </c>
    </row>
    <row r="1858" spans="1:22" ht="15" customHeight="1" x14ac:dyDescent="0.25">
      <c r="A1858" s="15" t="s">
        <v>3336</v>
      </c>
      <c r="B1858" s="1" t="s">
        <v>1424</v>
      </c>
      <c r="C1858">
        <v>87</v>
      </c>
      <c r="D1858" s="1" t="s">
        <v>36</v>
      </c>
      <c r="E1858" s="1" t="s">
        <v>48</v>
      </c>
      <c r="F1858" s="1" t="s">
        <v>24</v>
      </c>
      <c r="G1858" s="1" t="s">
        <v>25</v>
      </c>
      <c r="H1858" s="1" t="s">
        <v>51</v>
      </c>
      <c r="I1858" s="6">
        <v>45268</v>
      </c>
      <c r="J1858" s="7">
        <v>45165</v>
      </c>
      <c r="K1858" s="1">
        <v>15</v>
      </c>
      <c r="L1858" s="1" t="s">
        <v>89</v>
      </c>
      <c r="M1858" s="1" t="s">
        <v>90</v>
      </c>
      <c r="N1858" s="1" t="s">
        <v>29</v>
      </c>
      <c r="O1858" s="1" t="s">
        <v>30</v>
      </c>
      <c r="P1858" s="29">
        <v>152821.72</v>
      </c>
      <c r="Q1858" s="1" t="s">
        <v>67</v>
      </c>
      <c r="R1858" s="1">
        <v>8</v>
      </c>
      <c r="S1858" s="1">
        <v>156</v>
      </c>
      <c r="T1858" s="1">
        <v>14</v>
      </c>
      <c r="U1858" s="1" t="s">
        <v>32</v>
      </c>
      <c r="V1858" s="17" t="s">
        <v>33</v>
      </c>
    </row>
    <row r="1859" spans="1:22" ht="15" customHeight="1" x14ac:dyDescent="0.25">
      <c r="A1859" s="16" t="s">
        <v>3337</v>
      </c>
      <c r="B1859" s="3" t="s">
        <v>3338</v>
      </c>
      <c r="C1859">
        <v>55</v>
      </c>
      <c r="D1859" s="3" t="s">
        <v>59</v>
      </c>
      <c r="E1859" s="3" t="s">
        <v>23</v>
      </c>
      <c r="F1859" s="3" t="s">
        <v>83</v>
      </c>
      <c r="G1859" s="3" t="s">
        <v>163</v>
      </c>
      <c r="H1859" s="3" t="s">
        <v>78</v>
      </c>
      <c r="I1859" s="8">
        <v>44735</v>
      </c>
      <c r="J1859" s="8">
        <v>44738</v>
      </c>
      <c r="K1859" s="3">
        <v>3</v>
      </c>
      <c r="L1859" s="3" t="s">
        <v>27</v>
      </c>
      <c r="M1859" s="3" t="s">
        <v>28</v>
      </c>
      <c r="N1859" s="3" t="s">
        <v>346</v>
      </c>
      <c r="O1859" s="3" t="s">
        <v>30</v>
      </c>
      <c r="P1859" s="30">
        <v>22993.5</v>
      </c>
      <c r="Q1859" s="3" t="s">
        <v>165</v>
      </c>
      <c r="R1859" s="3">
        <v>6</v>
      </c>
      <c r="S1859" s="3">
        <v>120</v>
      </c>
      <c r="T1859" s="3">
        <v>31.9</v>
      </c>
      <c r="U1859" s="3" t="s">
        <v>32</v>
      </c>
      <c r="V1859" s="18" t="s">
        <v>33</v>
      </c>
    </row>
    <row r="1860" spans="1:22" ht="15" customHeight="1" x14ac:dyDescent="0.25">
      <c r="A1860" s="15" t="s">
        <v>3339</v>
      </c>
      <c r="B1860" s="1" t="s">
        <v>3340</v>
      </c>
      <c r="C1860">
        <v>69</v>
      </c>
      <c r="D1860" s="1" t="s">
        <v>82</v>
      </c>
      <c r="E1860" s="1" t="s">
        <v>48</v>
      </c>
      <c r="F1860" s="1" t="s">
        <v>83</v>
      </c>
      <c r="G1860" s="1" t="s">
        <v>38</v>
      </c>
      <c r="H1860" s="1" t="s">
        <v>26</v>
      </c>
      <c r="I1860" s="7">
        <v>43890</v>
      </c>
      <c r="J1860" s="7">
        <v>43905</v>
      </c>
      <c r="K1860" s="1">
        <v>15</v>
      </c>
      <c r="L1860" s="1" t="s">
        <v>185</v>
      </c>
      <c r="M1860" s="1" t="s">
        <v>186</v>
      </c>
      <c r="N1860" s="1" t="s">
        <v>203</v>
      </c>
      <c r="O1860" s="1" t="s">
        <v>104</v>
      </c>
      <c r="P1860" s="29">
        <v>42800</v>
      </c>
      <c r="Q1860" s="1" t="s">
        <v>437</v>
      </c>
      <c r="R1860" s="1">
        <v>5</v>
      </c>
      <c r="S1860" s="1">
        <v>192</v>
      </c>
      <c r="T1860" s="1">
        <v>26.8</v>
      </c>
      <c r="U1860" s="1" t="s">
        <v>44</v>
      </c>
      <c r="V1860" s="17" t="s">
        <v>33</v>
      </c>
    </row>
    <row r="1861" spans="1:22" ht="15" customHeight="1" x14ac:dyDescent="0.25">
      <c r="A1861" s="16" t="s">
        <v>3341</v>
      </c>
      <c r="B1861" s="3" t="s">
        <v>3042</v>
      </c>
      <c r="C1861">
        <v>92</v>
      </c>
      <c r="D1861" s="3" t="s">
        <v>36</v>
      </c>
      <c r="E1861" s="3" t="s">
        <v>48</v>
      </c>
      <c r="F1861" s="3" t="s">
        <v>49</v>
      </c>
      <c r="G1861" s="3" t="s">
        <v>163</v>
      </c>
      <c r="H1861" s="3" t="s">
        <v>78</v>
      </c>
      <c r="I1861" s="6">
        <v>45213</v>
      </c>
      <c r="J1861" s="8">
        <v>45215</v>
      </c>
      <c r="K1861" s="3">
        <v>2</v>
      </c>
      <c r="L1861" s="3" t="s">
        <v>27</v>
      </c>
      <c r="M1861" s="3" t="s">
        <v>28</v>
      </c>
      <c r="N1861" s="3" t="s">
        <v>213</v>
      </c>
      <c r="O1861" s="3" t="s">
        <v>104</v>
      </c>
      <c r="P1861" s="30">
        <v>24525.67</v>
      </c>
      <c r="Q1861" s="3" t="s">
        <v>165</v>
      </c>
      <c r="R1861" s="3">
        <v>5</v>
      </c>
      <c r="S1861" s="3">
        <v>133</v>
      </c>
      <c r="T1861" s="3">
        <v>34.200000000000003</v>
      </c>
      <c r="U1861" s="3" t="s">
        <v>86</v>
      </c>
      <c r="V1861" s="18" t="s">
        <v>33</v>
      </c>
    </row>
    <row r="1862" spans="1:22" ht="15" customHeight="1" x14ac:dyDescent="0.25">
      <c r="A1862" s="15" t="s">
        <v>3342</v>
      </c>
      <c r="B1862" s="1" t="s">
        <v>3343</v>
      </c>
      <c r="C1862">
        <v>67</v>
      </c>
      <c r="D1862" s="1" t="s">
        <v>82</v>
      </c>
      <c r="E1862" s="1" t="s">
        <v>48</v>
      </c>
      <c r="F1862" s="1" t="s">
        <v>49</v>
      </c>
      <c r="G1862" s="1" t="s">
        <v>77</v>
      </c>
      <c r="H1862" s="1" t="s">
        <v>26</v>
      </c>
      <c r="I1862" s="7">
        <v>45269</v>
      </c>
      <c r="J1862" s="7">
        <v>45190</v>
      </c>
      <c r="K1862" s="1">
        <v>9</v>
      </c>
      <c r="L1862" s="1" t="s">
        <v>27</v>
      </c>
      <c r="M1862" s="1" t="s">
        <v>28</v>
      </c>
      <c r="N1862" s="1" t="s">
        <v>84</v>
      </c>
      <c r="O1862" s="1" t="s">
        <v>30</v>
      </c>
      <c r="P1862" s="29">
        <v>49552.91</v>
      </c>
      <c r="Q1862" s="1" t="s">
        <v>91</v>
      </c>
      <c r="R1862" s="1">
        <v>10</v>
      </c>
      <c r="S1862" s="1">
        <v>349</v>
      </c>
      <c r="T1862" s="1">
        <v>30.4</v>
      </c>
      <c r="U1862" s="1" t="s">
        <v>44</v>
      </c>
      <c r="V1862" s="17" t="s">
        <v>33</v>
      </c>
    </row>
    <row r="1863" spans="1:22" ht="15" customHeight="1" x14ac:dyDescent="0.25">
      <c r="A1863" s="16" t="s">
        <v>3344</v>
      </c>
      <c r="B1863" s="3" t="s">
        <v>3345</v>
      </c>
      <c r="C1863">
        <v>91</v>
      </c>
      <c r="D1863" s="3" t="s">
        <v>36</v>
      </c>
      <c r="E1863" s="3" t="s">
        <v>23</v>
      </c>
      <c r="F1863" s="3" t="s">
        <v>99</v>
      </c>
      <c r="G1863" s="3" t="s">
        <v>60</v>
      </c>
      <c r="H1863" s="3" t="s">
        <v>51</v>
      </c>
      <c r="I1863" s="8">
        <v>43942</v>
      </c>
      <c r="J1863" s="8">
        <v>43947</v>
      </c>
      <c r="K1863" s="3">
        <v>5</v>
      </c>
      <c r="L1863" s="3" t="s">
        <v>132</v>
      </c>
      <c r="M1863" s="3" t="s">
        <v>53</v>
      </c>
      <c r="N1863" s="3" t="s">
        <v>103</v>
      </c>
      <c r="O1863" s="3" t="s">
        <v>104</v>
      </c>
      <c r="P1863" s="30">
        <v>25348.69</v>
      </c>
      <c r="Q1863" s="3" t="s">
        <v>105</v>
      </c>
      <c r="R1863" s="3">
        <v>6</v>
      </c>
      <c r="S1863" s="3">
        <v>187</v>
      </c>
      <c r="T1863" s="3">
        <v>30.5</v>
      </c>
      <c r="U1863" s="3" t="s">
        <v>44</v>
      </c>
      <c r="V1863" s="18" t="s">
        <v>45</v>
      </c>
    </row>
    <row r="1864" spans="1:22" ht="15" customHeight="1" x14ac:dyDescent="0.25">
      <c r="A1864" s="15" t="s">
        <v>3346</v>
      </c>
      <c r="B1864" s="1" t="s">
        <v>3347</v>
      </c>
      <c r="C1864">
        <v>34</v>
      </c>
      <c r="D1864" s="1" t="s">
        <v>47</v>
      </c>
      <c r="E1864" s="1" t="s">
        <v>48</v>
      </c>
      <c r="F1864" s="1" t="s">
        <v>24</v>
      </c>
      <c r="G1864" s="1" t="s">
        <v>163</v>
      </c>
      <c r="H1864" s="1" t="s">
        <v>51</v>
      </c>
      <c r="I1864" s="6">
        <v>44335</v>
      </c>
      <c r="J1864" s="7">
        <v>44338</v>
      </c>
      <c r="K1864" s="1">
        <v>3</v>
      </c>
      <c r="L1864" s="1" t="s">
        <v>27</v>
      </c>
      <c r="M1864" s="1" t="s">
        <v>28</v>
      </c>
      <c r="N1864" s="1" t="s">
        <v>213</v>
      </c>
      <c r="O1864" s="1" t="s">
        <v>42</v>
      </c>
      <c r="P1864" s="29">
        <v>8613</v>
      </c>
      <c r="Q1864" s="1" t="s">
        <v>62</v>
      </c>
      <c r="R1864" s="1">
        <v>2</v>
      </c>
      <c r="S1864" s="1">
        <v>129</v>
      </c>
      <c r="T1864" s="1">
        <v>30.4</v>
      </c>
      <c r="U1864" s="1" t="s">
        <v>32</v>
      </c>
      <c r="V1864" s="17" t="s">
        <v>33</v>
      </c>
    </row>
    <row r="1865" spans="1:22" ht="15" customHeight="1" x14ac:dyDescent="0.25">
      <c r="A1865" s="16" t="s">
        <v>3348</v>
      </c>
      <c r="B1865" s="3" t="s">
        <v>2852</v>
      </c>
      <c r="C1865">
        <v>81</v>
      </c>
      <c r="D1865" s="3" t="s">
        <v>36</v>
      </c>
      <c r="E1865" s="3" t="s">
        <v>48</v>
      </c>
      <c r="F1865" s="3" t="s">
        <v>24</v>
      </c>
      <c r="G1865" s="3" t="s">
        <v>77</v>
      </c>
      <c r="H1865" s="3" t="s">
        <v>26</v>
      </c>
      <c r="I1865" s="8">
        <v>45466</v>
      </c>
      <c r="J1865" s="8">
        <v>45477</v>
      </c>
      <c r="K1865" s="3">
        <v>11</v>
      </c>
      <c r="L1865" s="3" t="s">
        <v>185</v>
      </c>
      <c r="M1865" s="3" t="s">
        <v>186</v>
      </c>
      <c r="N1865" s="3" t="s">
        <v>84</v>
      </c>
      <c r="O1865" s="3" t="s">
        <v>66</v>
      </c>
      <c r="P1865" s="30">
        <v>118474.75</v>
      </c>
      <c r="Q1865" s="3" t="s">
        <v>95</v>
      </c>
      <c r="R1865" s="3">
        <v>10</v>
      </c>
      <c r="S1865" s="3">
        <v>316</v>
      </c>
      <c r="T1865" s="3">
        <v>35.799999999999997</v>
      </c>
      <c r="U1865" s="3" t="s">
        <v>44</v>
      </c>
      <c r="V1865" s="18" t="s">
        <v>45</v>
      </c>
    </row>
    <row r="1866" spans="1:22" ht="15" customHeight="1" x14ac:dyDescent="0.25">
      <c r="A1866" s="15" t="s">
        <v>3349</v>
      </c>
      <c r="B1866" s="1" t="s">
        <v>3350</v>
      </c>
      <c r="C1866">
        <v>83</v>
      </c>
      <c r="D1866" s="1" t="s">
        <v>36</v>
      </c>
      <c r="E1866" s="1" t="s">
        <v>48</v>
      </c>
      <c r="F1866" s="1" t="s">
        <v>99</v>
      </c>
      <c r="G1866" s="1" t="s">
        <v>38</v>
      </c>
      <c r="H1866" s="1" t="s">
        <v>26</v>
      </c>
      <c r="I1866" s="6">
        <v>45557</v>
      </c>
      <c r="J1866" s="7">
        <v>45561</v>
      </c>
      <c r="K1866" s="1">
        <v>4</v>
      </c>
      <c r="L1866" s="1" t="s">
        <v>185</v>
      </c>
      <c r="M1866" s="1" t="s">
        <v>186</v>
      </c>
      <c r="N1866" s="1" t="s">
        <v>41</v>
      </c>
      <c r="O1866" s="1" t="s">
        <v>55</v>
      </c>
      <c r="P1866" s="29">
        <v>32033.35</v>
      </c>
      <c r="Q1866" s="1" t="s">
        <v>43</v>
      </c>
      <c r="R1866" s="1">
        <v>7</v>
      </c>
      <c r="S1866" s="1">
        <v>178</v>
      </c>
      <c r="T1866" s="1">
        <v>34.799999999999997</v>
      </c>
      <c r="U1866" s="1" t="s">
        <v>44</v>
      </c>
      <c r="V1866" s="17" t="s">
        <v>33</v>
      </c>
    </row>
    <row r="1867" spans="1:22" ht="15" customHeight="1" x14ac:dyDescent="0.25">
      <c r="A1867" s="16" t="s">
        <v>3351</v>
      </c>
      <c r="B1867" s="3" t="s">
        <v>759</v>
      </c>
      <c r="C1867">
        <v>60</v>
      </c>
      <c r="D1867" s="3" t="s">
        <v>59</v>
      </c>
      <c r="E1867" s="3" t="s">
        <v>23</v>
      </c>
      <c r="F1867" s="3" t="s">
        <v>76</v>
      </c>
      <c r="G1867" s="3" t="s">
        <v>71</v>
      </c>
      <c r="H1867" s="3" t="s">
        <v>51</v>
      </c>
      <c r="I1867" s="8">
        <v>43662</v>
      </c>
      <c r="J1867" s="8">
        <v>43664</v>
      </c>
      <c r="K1867" s="3">
        <v>2</v>
      </c>
      <c r="L1867" s="3" t="s">
        <v>102</v>
      </c>
      <c r="M1867" s="3" t="s">
        <v>28</v>
      </c>
      <c r="N1867" s="3" t="s">
        <v>177</v>
      </c>
      <c r="O1867" s="3" t="s">
        <v>55</v>
      </c>
      <c r="P1867" s="30">
        <v>20114.53</v>
      </c>
      <c r="Q1867" s="3" t="s">
        <v>503</v>
      </c>
      <c r="R1867" s="3">
        <v>5</v>
      </c>
      <c r="S1867" s="3">
        <v>126</v>
      </c>
      <c r="T1867" s="3">
        <v>31.8</v>
      </c>
      <c r="U1867" s="3" t="s">
        <v>86</v>
      </c>
      <c r="V1867" s="18" t="s">
        <v>33</v>
      </c>
    </row>
    <row r="1868" spans="1:22" ht="15" customHeight="1" x14ac:dyDescent="0.25">
      <c r="A1868" s="15" t="s">
        <v>3352</v>
      </c>
      <c r="B1868" s="2" t="s">
        <v>865</v>
      </c>
      <c r="C1868">
        <v>92</v>
      </c>
      <c r="D1868" s="1" t="s">
        <v>36</v>
      </c>
      <c r="E1868" s="1" t="s">
        <v>23</v>
      </c>
      <c r="F1868" s="1" t="s">
        <v>76</v>
      </c>
      <c r="G1868" s="1" t="s">
        <v>50</v>
      </c>
      <c r="H1868" s="1" t="s">
        <v>78</v>
      </c>
      <c r="I1868" s="7">
        <v>43797</v>
      </c>
      <c r="J1868" s="7">
        <v>43803</v>
      </c>
      <c r="K1868" s="1">
        <v>6</v>
      </c>
      <c r="L1868" s="1" t="s">
        <v>185</v>
      </c>
      <c r="M1868" s="1" t="s">
        <v>186</v>
      </c>
      <c r="N1868" s="1" t="s">
        <v>116</v>
      </c>
      <c r="O1868" s="1" t="s">
        <v>42</v>
      </c>
      <c r="P1868" s="29">
        <v>44549</v>
      </c>
      <c r="Q1868" s="1" t="s">
        <v>56</v>
      </c>
      <c r="R1868" s="1">
        <v>9</v>
      </c>
      <c r="S1868" s="1">
        <v>344</v>
      </c>
      <c r="T1868" s="1">
        <v>21.4</v>
      </c>
      <c r="U1868" s="1" t="s">
        <v>44</v>
      </c>
      <c r="V1868" s="17" t="s">
        <v>33</v>
      </c>
    </row>
    <row r="1869" spans="1:22" ht="15" customHeight="1" x14ac:dyDescent="0.25">
      <c r="A1869" s="16" t="s">
        <v>3353</v>
      </c>
      <c r="B1869" s="3" t="s">
        <v>3354</v>
      </c>
      <c r="C1869">
        <v>65</v>
      </c>
      <c r="D1869" s="3" t="s">
        <v>82</v>
      </c>
      <c r="E1869" s="3" t="s">
        <v>48</v>
      </c>
      <c r="F1869" s="3" t="s">
        <v>83</v>
      </c>
      <c r="G1869" s="3" t="s">
        <v>71</v>
      </c>
      <c r="H1869" s="3" t="s">
        <v>26</v>
      </c>
      <c r="I1869" s="8">
        <v>44811</v>
      </c>
      <c r="J1869" s="8">
        <v>44817</v>
      </c>
      <c r="K1869" s="3">
        <v>6</v>
      </c>
      <c r="L1869" s="3" t="s">
        <v>185</v>
      </c>
      <c r="M1869" s="3" t="s">
        <v>186</v>
      </c>
      <c r="N1869" s="3" t="s">
        <v>177</v>
      </c>
      <c r="O1869" s="3" t="s">
        <v>55</v>
      </c>
      <c r="P1869" s="30">
        <v>40376.74</v>
      </c>
      <c r="Q1869" s="3" t="s">
        <v>178</v>
      </c>
      <c r="R1869" s="3">
        <v>4</v>
      </c>
      <c r="S1869" s="3">
        <v>316</v>
      </c>
      <c r="T1869" s="3">
        <v>24.9</v>
      </c>
      <c r="U1869" s="3" t="s">
        <v>32</v>
      </c>
      <c r="V1869" s="18" t="s">
        <v>33</v>
      </c>
    </row>
    <row r="1870" spans="1:22" ht="15" customHeight="1" x14ac:dyDescent="0.25">
      <c r="A1870" s="15" t="s">
        <v>3355</v>
      </c>
      <c r="B1870" s="2" t="s">
        <v>1331</v>
      </c>
      <c r="C1870">
        <v>56</v>
      </c>
      <c r="D1870" s="1" t="s">
        <v>59</v>
      </c>
      <c r="E1870" s="1" t="s">
        <v>48</v>
      </c>
      <c r="F1870" s="1" t="s">
        <v>49</v>
      </c>
      <c r="G1870" s="1" t="s">
        <v>71</v>
      </c>
      <c r="H1870" s="1" t="s">
        <v>51</v>
      </c>
      <c r="I1870" s="6">
        <v>43931</v>
      </c>
      <c r="J1870" s="7">
        <v>43992</v>
      </c>
      <c r="K1870" s="1">
        <v>2</v>
      </c>
      <c r="L1870" s="1" t="s">
        <v>39</v>
      </c>
      <c r="M1870" s="1" t="s">
        <v>40</v>
      </c>
      <c r="N1870" s="1" t="s">
        <v>72</v>
      </c>
      <c r="O1870" s="1" t="s">
        <v>55</v>
      </c>
      <c r="P1870" s="29">
        <v>25875.7</v>
      </c>
      <c r="Q1870" s="1" t="s">
        <v>73</v>
      </c>
      <c r="R1870" s="1">
        <v>5</v>
      </c>
      <c r="S1870" s="1">
        <v>115</v>
      </c>
      <c r="T1870" s="1">
        <v>23.7</v>
      </c>
      <c r="U1870" s="1" t="s">
        <v>44</v>
      </c>
      <c r="V1870" s="17" t="s">
        <v>33</v>
      </c>
    </row>
    <row r="1871" spans="1:22" ht="15" customHeight="1" x14ac:dyDescent="0.25">
      <c r="A1871" s="16" t="s">
        <v>3356</v>
      </c>
      <c r="B1871" s="3" t="s">
        <v>3357</v>
      </c>
      <c r="C1871">
        <v>68</v>
      </c>
      <c r="D1871" s="3" t="s">
        <v>82</v>
      </c>
      <c r="E1871" s="3" t="s">
        <v>48</v>
      </c>
      <c r="F1871" s="3" t="s">
        <v>83</v>
      </c>
      <c r="G1871" s="3" t="s">
        <v>77</v>
      </c>
      <c r="H1871" s="3" t="s">
        <v>26</v>
      </c>
      <c r="I1871" s="6">
        <v>45609</v>
      </c>
      <c r="J1871" s="8">
        <v>45334</v>
      </c>
      <c r="K1871" s="3">
        <v>19</v>
      </c>
      <c r="L1871" s="3" t="s">
        <v>231</v>
      </c>
      <c r="M1871" s="3" t="s">
        <v>53</v>
      </c>
      <c r="N1871" s="3" t="s">
        <v>94</v>
      </c>
      <c r="O1871" s="3" t="s">
        <v>104</v>
      </c>
      <c r="P1871" s="30">
        <v>52306</v>
      </c>
      <c r="Q1871" s="3" t="s">
        <v>592</v>
      </c>
      <c r="R1871" s="3">
        <v>8</v>
      </c>
      <c r="S1871" s="3">
        <v>382</v>
      </c>
      <c r="T1871" s="3">
        <v>28.9</v>
      </c>
      <c r="U1871" s="3" t="s">
        <v>44</v>
      </c>
      <c r="V1871" s="18" t="s">
        <v>45</v>
      </c>
    </row>
    <row r="1872" spans="1:22" ht="15" customHeight="1" x14ac:dyDescent="0.25">
      <c r="A1872" s="15" t="s">
        <v>3358</v>
      </c>
      <c r="B1872" s="2" t="s">
        <v>362</v>
      </c>
      <c r="C1872">
        <v>56</v>
      </c>
      <c r="D1872" s="1" t="s">
        <v>59</v>
      </c>
      <c r="E1872" s="1" t="s">
        <v>48</v>
      </c>
      <c r="F1872" s="1" t="s">
        <v>49</v>
      </c>
      <c r="G1872" s="1" t="s">
        <v>50</v>
      </c>
      <c r="H1872" s="1" t="s">
        <v>51</v>
      </c>
      <c r="I1872" s="6">
        <v>44722</v>
      </c>
      <c r="J1872" s="7">
        <v>44850</v>
      </c>
      <c r="K1872" s="1">
        <v>10</v>
      </c>
      <c r="L1872" s="1" t="s">
        <v>39</v>
      </c>
      <c r="M1872" s="1" t="s">
        <v>40</v>
      </c>
      <c r="N1872" s="1" t="s">
        <v>54</v>
      </c>
      <c r="O1872" s="1" t="s">
        <v>30</v>
      </c>
      <c r="P1872" s="29">
        <v>48914.15</v>
      </c>
      <c r="Q1872" s="1" t="s">
        <v>279</v>
      </c>
      <c r="R1872" s="1">
        <v>9</v>
      </c>
      <c r="S1872" s="1">
        <v>101</v>
      </c>
      <c r="T1872" s="1">
        <v>31.5</v>
      </c>
      <c r="U1872" s="1" t="s">
        <v>32</v>
      </c>
      <c r="V1872" s="17" t="s">
        <v>45</v>
      </c>
    </row>
    <row r="1873" spans="1:22" ht="15" customHeight="1" x14ac:dyDescent="0.25">
      <c r="A1873" s="16" t="s">
        <v>3359</v>
      </c>
      <c r="B1873" s="3" t="s">
        <v>3360</v>
      </c>
      <c r="C1873">
        <v>61</v>
      </c>
      <c r="D1873" s="3" t="s">
        <v>59</v>
      </c>
      <c r="E1873" s="3" t="s">
        <v>48</v>
      </c>
      <c r="F1873" s="3" t="s">
        <v>99</v>
      </c>
      <c r="G1873" s="3" t="s">
        <v>25</v>
      </c>
      <c r="H1873" s="3" t="s">
        <v>156</v>
      </c>
      <c r="I1873" s="6">
        <v>44710</v>
      </c>
      <c r="J1873" s="8">
        <v>44720</v>
      </c>
      <c r="K1873" s="3">
        <v>10</v>
      </c>
      <c r="L1873" s="3" t="s">
        <v>122</v>
      </c>
      <c r="M1873" s="3" t="s">
        <v>40</v>
      </c>
      <c r="N1873" s="3" t="s">
        <v>248</v>
      </c>
      <c r="O1873" s="3" t="s">
        <v>30</v>
      </c>
      <c r="P1873" s="30">
        <v>79808.740000000005</v>
      </c>
      <c r="Q1873" s="3" t="s">
        <v>322</v>
      </c>
      <c r="R1873" s="3">
        <v>12</v>
      </c>
      <c r="S1873" s="3">
        <v>343</v>
      </c>
      <c r="T1873" s="3">
        <v>33.299999999999997</v>
      </c>
      <c r="U1873" s="3" t="s">
        <v>44</v>
      </c>
      <c r="V1873" s="18" t="s">
        <v>33</v>
      </c>
    </row>
    <row r="1874" spans="1:22" ht="15" customHeight="1" x14ac:dyDescent="0.25">
      <c r="A1874" s="15" t="s">
        <v>3361</v>
      </c>
      <c r="B1874" s="1" t="s">
        <v>1139</v>
      </c>
      <c r="C1874">
        <v>66</v>
      </c>
      <c r="D1874" s="1" t="s">
        <v>82</v>
      </c>
      <c r="E1874" s="1" t="s">
        <v>23</v>
      </c>
      <c r="F1874" s="2" t="s">
        <v>155</v>
      </c>
      <c r="G1874" s="1" t="s">
        <v>131</v>
      </c>
      <c r="H1874" s="1" t="s">
        <v>26</v>
      </c>
      <c r="I1874" s="6">
        <v>45558</v>
      </c>
      <c r="J1874" s="7">
        <v>45563</v>
      </c>
      <c r="K1874" s="1">
        <v>5</v>
      </c>
      <c r="L1874" s="1" t="s">
        <v>122</v>
      </c>
      <c r="M1874" s="1" t="s">
        <v>40</v>
      </c>
      <c r="N1874" s="1" t="s">
        <v>147</v>
      </c>
      <c r="O1874" s="1" t="s">
        <v>30</v>
      </c>
      <c r="P1874" s="29">
        <v>55077.85</v>
      </c>
      <c r="Q1874" s="1" t="s">
        <v>266</v>
      </c>
      <c r="R1874" s="1">
        <v>6</v>
      </c>
      <c r="S1874" s="1">
        <v>334</v>
      </c>
      <c r="T1874" s="1">
        <v>26.4</v>
      </c>
      <c r="U1874" s="1" t="s">
        <v>44</v>
      </c>
      <c r="V1874" s="17" t="s">
        <v>33</v>
      </c>
    </row>
    <row r="1875" spans="1:22" ht="15" customHeight="1" x14ac:dyDescent="0.25">
      <c r="A1875" s="16" t="s">
        <v>3362</v>
      </c>
      <c r="B1875" s="3" t="s">
        <v>3363</v>
      </c>
      <c r="C1875">
        <v>58</v>
      </c>
      <c r="D1875" s="3" t="s">
        <v>59</v>
      </c>
      <c r="E1875" s="3" t="s">
        <v>48</v>
      </c>
      <c r="F1875" s="3" t="s">
        <v>37</v>
      </c>
      <c r="G1875" s="3" t="s">
        <v>1502</v>
      </c>
      <c r="H1875" s="3" t="s">
        <v>78</v>
      </c>
      <c r="I1875" s="8">
        <v>44464</v>
      </c>
      <c r="J1875" s="8">
        <v>44237</v>
      </c>
      <c r="K1875" s="3">
        <v>7</v>
      </c>
      <c r="L1875" s="3" t="s">
        <v>102</v>
      </c>
      <c r="M1875" s="3" t="s">
        <v>28</v>
      </c>
      <c r="N1875" s="3" t="s">
        <v>54</v>
      </c>
      <c r="O1875" s="3" t="s">
        <v>30</v>
      </c>
      <c r="P1875" s="30">
        <v>63362.13</v>
      </c>
      <c r="Q1875" s="3" t="s">
        <v>279</v>
      </c>
      <c r="R1875" s="3">
        <v>9</v>
      </c>
      <c r="S1875" s="3">
        <v>297</v>
      </c>
      <c r="T1875" s="3">
        <v>27.3</v>
      </c>
      <c r="U1875" s="3" t="s">
        <v>44</v>
      </c>
      <c r="V1875" s="18" t="s">
        <v>33</v>
      </c>
    </row>
    <row r="1876" spans="1:22" ht="15" customHeight="1" x14ac:dyDescent="0.25">
      <c r="A1876" s="15" t="s">
        <v>3364</v>
      </c>
      <c r="B1876" s="1" t="s">
        <v>388</v>
      </c>
      <c r="C1876">
        <v>72</v>
      </c>
      <c r="D1876" s="1" t="s">
        <v>82</v>
      </c>
      <c r="E1876" s="1" t="s">
        <v>48</v>
      </c>
      <c r="F1876" s="1" t="s">
        <v>37</v>
      </c>
      <c r="G1876" s="1" t="s">
        <v>60</v>
      </c>
      <c r="H1876" s="1" t="s">
        <v>156</v>
      </c>
      <c r="I1876" s="6">
        <v>44539</v>
      </c>
      <c r="J1876" s="7">
        <v>44543</v>
      </c>
      <c r="K1876" s="1">
        <v>4</v>
      </c>
      <c r="L1876" s="1" t="s">
        <v>27</v>
      </c>
      <c r="M1876" s="1" t="s">
        <v>28</v>
      </c>
      <c r="N1876" s="1" t="s">
        <v>61</v>
      </c>
      <c r="O1876" s="1" t="s">
        <v>55</v>
      </c>
      <c r="P1876" s="29">
        <v>46495.08</v>
      </c>
      <c r="Q1876" s="1" t="s">
        <v>349</v>
      </c>
      <c r="R1876" s="1">
        <v>6</v>
      </c>
      <c r="S1876" s="1">
        <v>297</v>
      </c>
      <c r="T1876" s="1">
        <v>30.4</v>
      </c>
      <c r="U1876" s="1" t="s">
        <v>44</v>
      </c>
      <c r="V1876" s="17" t="s">
        <v>33</v>
      </c>
    </row>
    <row r="1877" spans="1:22" ht="15" customHeight="1" x14ac:dyDescent="0.25">
      <c r="A1877" s="16" t="s">
        <v>3365</v>
      </c>
      <c r="B1877" s="3" t="s">
        <v>1558</v>
      </c>
      <c r="C1877">
        <v>56</v>
      </c>
      <c r="D1877" s="3" t="s">
        <v>59</v>
      </c>
      <c r="E1877" s="3" t="s">
        <v>48</v>
      </c>
      <c r="F1877" s="3" t="s">
        <v>70</v>
      </c>
      <c r="G1877" s="3" t="s">
        <v>77</v>
      </c>
      <c r="H1877" s="3" t="s">
        <v>78</v>
      </c>
      <c r="I1877" s="8">
        <v>45471</v>
      </c>
      <c r="J1877" s="8">
        <v>45633</v>
      </c>
      <c r="K1877" s="3">
        <v>14</v>
      </c>
      <c r="L1877" s="3" t="s">
        <v>27</v>
      </c>
      <c r="M1877" s="3" t="s">
        <v>28</v>
      </c>
      <c r="N1877" s="3" t="s">
        <v>84</v>
      </c>
      <c r="O1877" s="3" t="s">
        <v>42</v>
      </c>
      <c r="P1877" s="30">
        <v>67929.100000000006</v>
      </c>
      <c r="Q1877" s="3" t="s">
        <v>80</v>
      </c>
      <c r="R1877" s="3">
        <v>10</v>
      </c>
      <c r="S1877" s="3">
        <v>383</v>
      </c>
      <c r="T1877" s="3">
        <v>28.9</v>
      </c>
      <c r="U1877" s="3" t="s">
        <v>44</v>
      </c>
      <c r="V1877" s="18" t="s">
        <v>33</v>
      </c>
    </row>
    <row r="1878" spans="1:22" ht="15" customHeight="1" x14ac:dyDescent="0.25">
      <c r="A1878" s="15" t="s">
        <v>3366</v>
      </c>
      <c r="B1878" s="2" t="s">
        <v>1196</v>
      </c>
      <c r="C1878">
        <v>74</v>
      </c>
      <c r="D1878" s="1" t="s">
        <v>82</v>
      </c>
      <c r="E1878" s="1" t="s">
        <v>23</v>
      </c>
      <c r="F1878" s="1" t="s">
        <v>99</v>
      </c>
      <c r="G1878" s="1" t="s">
        <v>77</v>
      </c>
      <c r="H1878" s="1" t="s">
        <v>26</v>
      </c>
      <c r="I1878" s="6">
        <v>45519</v>
      </c>
      <c r="J1878" s="7">
        <v>45524</v>
      </c>
      <c r="K1878" s="1">
        <v>5</v>
      </c>
      <c r="L1878" s="1" t="s">
        <v>89</v>
      </c>
      <c r="M1878" s="1" t="s">
        <v>90</v>
      </c>
      <c r="N1878" s="1" t="s">
        <v>94</v>
      </c>
      <c r="O1878" s="1" t="s">
        <v>104</v>
      </c>
      <c r="P1878" s="29">
        <v>96389.27</v>
      </c>
      <c r="Q1878" s="1" t="s">
        <v>91</v>
      </c>
      <c r="R1878" s="1">
        <v>9</v>
      </c>
      <c r="S1878" s="1">
        <v>398</v>
      </c>
      <c r="T1878" s="1">
        <v>29.9</v>
      </c>
      <c r="U1878" s="1" t="s">
        <v>44</v>
      </c>
      <c r="V1878" s="17" t="s">
        <v>45</v>
      </c>
    </row>
    <row r="1879" spans="1:22" ht="15" customHeight="1" x14ac:dyDescent="0.25">
      <c r="A1879" s="16" t="s">
        <v>3367</v>
      </c>
      <c r="B1879" s="3" t="s">
        <v>3368</v>
      </c>
      <c r="C1879">
        <v>48</v>
      </c>
      <c r="D1879" s="3" t="s">
        <v>98</v>
      </c>
      <c r="E1879" s="3" t="s">
        <v>23</v>
      </c>
      <c r="F1879" s="3" t="s">
        <v>83</v>
      </c>
      <c r="G1879" s="3" t="s">
        <v>25</v>
      </c>
      <c r="H1879" s="3" t="s">
        <v>51</v>
      </c>
      <c r="I1879" s="8">
        <v>44221</v>
      </c>
      <c r="J1879" s="8">
        <v>44198</v>
      </c>
      <c r="K1879" s="3">
        <v>7</v>
      </c>
      <c r="L1879" s="3" t="s">
        <v>132</v>
      </c>
      <c r="M1879" s="3" t="s">
        <v>53</v>
      </c>
      <c r="N1879" s="3" t="s">
        <v>29</v>
      </c>
      <c r="O1879" s="3" t="s">
        <v>104</v>
      </c>
      <c r="P1879" s="30">
        <v>42642.91</v>
      </c>
      <c r="Q1879" s="3" t="s">
        <v>67</v>
      </c>
      <c r="R1879" s="3">
        <v>12</v>
      </c>
      <c r="S1879" s="3">
        <v>167</v>
      </c>
      <c r="T1879" s="3">
        <v>23.7</v>
      </c>
      <c r="U1879" s="3" t="s">
        <v>44</v>
      </c>
      <c r="V1879" s="18" t="s">
        <v>33</v>
      </c>
    </row>
    <row r="1880" spans="1:22" ht="15" customHeight="1" x14ac:dyDescent="0.25">
      <c r="A1880" s="15" t="s">
        <v>3369</v>
      </c>
      <c r="B1880" s="1" t="s">
        <v>3370</v>
      </c>
      <c r="C1880">
        <v>22</v>
      </c>
      <c r="D1880" s="1" t="s">
        <v>47</v>
      </c>
      <c r="E1880" s="1" t="s">
        <v>23</v>
      </c>
      <c r="F1880" s="1" t="s">
        <v>155</v>
      </c>
      <c r="G1880" s="1" t="s">
        <v>209</v>
      </c>
      <c r="H1880" s="1" t="s">
        <v>78</v>
      </c>
      <c r="I1880" s="7">
        <v>43712</v>
      </c>
      <c r="J1880" s="7">
        <v>43655</v>
      </c>
      <c r="K1880" s="1">
        <v>3</v>
      </c>
      <c r="L1880" s="1" t="s">
        <v>102</v>
      </c>
      <c r="M1880" s="1" t="s">
        <v>28</v>
      </c>
      <c r="N1880" s="1" t="s">
        <v>210</v>
      </c>
      <c r="O1880" s="1" t="s">
        <v>104</v>
      </c>
      <c r="P1880" s="29">
        <v>10028</v>
      </c>
      <c r="Q1880" s="1" t="s">
        <v>105</v>
      </c>
      <c r="R1880" s="1">
        <v>5</v>
      </c>
      <c r="S1880" s="1">
        <v>421</v>
      </c>
      <c r="T1880" s="1">
        <v>19.899999999999999</v>
      </c>
      <c r="U1880" s="1" t="s">
        <v>86</v>
      </c>
      <c r="V1880" s="17" t="s">
        <v>33</v>
      </c>
    </row>
    <row r="1881" spans="1:22" ht="15" customHeight="1" x14ac:dyDescent="0.25">
      <c r="A1881" s="16" t="s">
        <v>3371</v>
      </c>
      <c r="B1881" s="3" t="s">
        <v>3372</v>
      </c>
      <c r="C1881">
        <v>85</v>
      </c>
      <c r="D1881" s="3" t="s">
        <v>36</v>
      </c>
      <c r="E1881" s="3" t="s">
        <v>23</v>
      </c>
      <c r="F1881" s="3" t="s">
        <v>83</v>
      </c>
      <c r="G1881" s="3" t="s">
        <v>71</v>
      </c>
      <c r="H1881" s="3" t="s">
        <v>78</v>
      </c>
      <c r="I1881" s="8">
        <v>43931</v>
      </c>
      <c r="J1881" s="8">
        <v>43932</v>
      </c>
      <c r="K1881" s="3">
        <v>1</v>
      </c>
      <c r="L1881" s="3" t="s">
        <v>112</v>
      </c>
      <c r="M1881" s="3" t="s">
        <v>40</v>
      </c>
      <c r="N1881" s="3" t="s">
        <v>72</v>
      </c>
      <c r="O1881" s="3" t="s">
        <v>42</v>
      </c>
      <c r="P1881" s="30">
        <v>20542.32</v>
      </c>
      <c r="Q1881" s="3" t="s">
        <v>73</v>
      </c>
      <c r="R1881" s="3">
        <v>4</v>
      </c>
      <c r="S1881" s="3">
        <v>407</v>
      </c>
      <c r="T1881" s="3">
        <v>23</v>
      </c>
      <c r="U1881" s="3" t="s">
        <v>32</v>
      </c>
      <c r="V1881" s="18" t="s">
        <v>33</v>
      </c>
    </row>
    <row r="1882" spans="1:22" ht="15" customHeight="1" x14ac:dyDescent="0.25">
      <c r="A1882" s="15" t="s">
        <v>3373</v>
      </c>
      <c r="B1882" s="1" t="s">
        <v>3374</v>
      </c>
      <c r="C1882">
        <v>63</v>
      </c>
      <c r="D1882" s="1" t="s">
        <v>59</v>
      </c>
      <c r="E1882" s="1" t="s">
        <v>23</v>
      </c>
      <c r="F1882" s="1" t="s">
        <v>37</v>
      </c>
      <c r="G1882" s="1" t="s">
        <v>77</v>
      </c>
      <c r="H1882" s="1" t="s">
        <v>26</v>
      </c>
      <c r="I1882" s="6">
        <v>44677</v>
      </c>
      <c r="J1882" s="7">
        <v>44692</v>
      </c>
      <c r="K1882" s="1">
        <v>15</v>
      </c>
      <c r="L1882" s="1" t="s">
        <v>102</v>
      </c>
      <c r="M1882" s="1" t="s">
        <v>28</v>
      </c>
      <c r="N1882" s="1" t="s">
        <v>94</v>
      </c>
      <c r="O1882" s="1" t="s">
        <v>30</v>
      </c>
      <c r="P1882" s="29">
        <v>58637.59</v>
      </c>
      <c r="Q1882" s="1" t="s">
        <v>91</v>
      </c>
      <c r="R1882" s="1">
        <v>10</v>
      </c>
      <c r="S1882" s="1">
        <v>393</v>
      </c>
      <c r="T1882" s="4"/>
      <c r="U1882" s="1" t="s">
        <v>44</v>
      </c>
      <c r="V1882" s="17" t="s">
        <v>33</v>
      </c>
    </row>
    <row r="1883" spans="1:22" ht="15" customHeight="1" x14ac:dyDescent="0.25">
      <c r="A1883" s="16" t="s">
        <v>3375</v>
      </c>
      <c r="B1883" s="3" t="s">
        <v>3376</v>
      </c>
      <c r="C1883">
        <v>74</v>
      </c>
      <c r="D1883" s="3" t="s">
        <v>82</v>
      </c>
      <c r="E1883" s="3" t="s">
        <v>48</v>
      </c>
      <c r="F1883" s="3" t="s">
        <v>70</v>
      </c>
      <c r="G1883" s="3" t="s">
        <v>50</v>
      </c>
      <c r="H1883" s="3" t="s">
        <v>78</v>
      </c>
      <c r="I1883" s="8">
        <v>44572</v>
      </c>
      <c r="J1883" s="8">
        <v>44581</v>
      </c>
      <c r="K1883" s="3">
        <v>9</v>
      </c>
      <c r="L1883" s="3" t="s">
        <v>102</v>
      </c>
      <c r="M1883" s="3" t="s">
        <v>28</v>
      </c>
      <c r="N1883" s="3" t="s">
        <v>116</v>
      </c>
      <c r="O1883" s="3" t="s">
        <v>30</v>
      </c>
      <c r="P1883" s="30">
        <v>24881.33</v>
      </c>
      <c r="Q1883" s="3" t="s">
        <v>552</v>
      </c>
      <c r="R1883" s="3">
        <v>9</v>
      </c>
      <c r="S1883" s="3">
        <v>136</v>
      </c>
      <c r="T1883" s="3">
        <v>33.4</v>
      </c>
      <c r="U1883" s="3" t="s">
        <v>86</v>
      </c>
      <c r="V1883" s="18" t="s">
        <v>33</v>
      </c>
    </row>
    <row r="1884" spans="1:22" ht="15" customHeight="1" x14ac:dyDescent="0.25">
      <c r="A1884" s="15" t="s">
        <v>3377</v>
      </c>
      <c r="B1884" s="1" t="s">
        <v>3378</v>
      </c>
      <c r="C1884">
        <v>55</v>
      </c>
      <c r="D1884" s="1" t="s">
        <v>59</v>
      </c>
      <c r="E1884" s="1" t="s">
        <v>23</v>
      </c>
      <c r="F1884" s="1" t="s">
        <v>24</v>
      </c>
      <c r="G1884" s="1" t="s">
        <v>60</v>
      </c>
      <c r="H1884" s="1" t="s">
        <v>26</v>
      </c>
      <c r="I1884" s="7">
        <v>45516</v>
      </c>
      <c r="J1884" s="7">
        <v>45533</v>
      </c>
      <c r="K1884" s="1">
        <v>17</v>
      </c>
      <c r="L1884" s="1" t="s">
        <v>39</v>
      </c>
      <c r="M1884" s="1" t="s">
        <v>40</v>
      </c>
      <c r="N1884" s="1" t="s">
        <v>103</v>
      </c>
      <c r="O1884" s="1" t="s">
        <v>30</v>
      </c>
      <c r="P1884" s="29">
        <v>61972</v>
      </c>
      <c r="Q1884" s="1" t="s">
        <v>137</v>
      </c>
      <c r="R1884" s="1">
        <v>6</v>
      </c>
      <c r="S1884" s="1">
        <v>324</v>
      </c>
      <c r="T1884" s="1">
        <v>22.7</v>
      </c>
      <c r="U1884" s="1" t="s">
        <v>32</v>
      </c>
      <c r="V1884" s="17" t="s">
        <v>45</v>
      </c>
    </row>
    <row r="1885" spans="1:22" ht="15" customHeight="1" x14ac:dyDescent="0.25">
      <c r="A1885" s="16" t="s">
        <v>3379</v>
      </c>
      <c r="B1885" s="3" t="s">
        <v>533</v>
      </c>
      <c r="C1885">
        <v>53</v>
      </c>
      <c r="D1885" s="3" t="s">
        <v>98</v>
      </c>
      <c r="E1885" s="3" t="s">
        <v>23</v>
      </c>
      <c r="F1885" s="3" t="s">
        <v>37</v>
      </c>
      <c r="G1885" s="3" t="s">
        <v>71</v>
      </c>
      <c r="H1885" s="3" t="s">
        <v>51</v>
      </c>
      <c r="I1885" s="8">
        <v>44874</v>
      </c>
      <c r="J1885" s="8">
        <v>44877</v>
      </c>
      <c r="K1885" s="3">
        <v>3</v>
      </c>
      <c r="L1885" s="3" t="s">
        <v>102</v>
      </c>
      <c r="M1885" s="3" t="s">
        <v>28</v>
      </c>
      <c r="N1885" s="3" t="s">
        <v>177</v>
      </c>
      <c r="O1885" s="3" t="s">
        <v>30</v>
      </c>
      <c r="P1885" s="30">
        <v>11830.39</v>
      </c>
      <c r="Q1885" s="3" t="s">
        <v>374</v>
      </c>
      <c r="R1885" s="3">
        <v>4</v>
      </c>
      <c r="S1885" s="3">
        <v>120</v>
      </c>
      <c r="T1885" s="3">
        <v>19.100000000000001</v>
      </c>
      <c r="U1885" s="3" t="s">
        <v>86</v>
      </c>
      <c r="V1885" s="18" t="s">
        <v>33</v>
      </c>
    </row>
    <row r="1886" spans="1:22" ht="15" customHeight="1" x14ac:dyDescent="0.25">
      <c r="A1886" s="15" t="s">
        <v>3380</v>
      </c>
      <c r="B1886" s="1" t="s">
        <v>3381</v>
      </c>
      <c r="C1886">
        <v>64</v>
      </c>
      <c r="D1886" s="1" t="s">
        <v>59</v>
      </c>
      <c r="E1886" s="1" t="s">
        <v>23</v>
      </c>
      <c r="F1886" s="1" t="s">
        <v>76</v>
      </c>
      <c r="G1886" s="1" t="s">
        <v>77</v>
      </c>
      <c r="H1886" s="1" t="s">
        <v>26</v>
      </c>
      <c r="I1886" s="6">
        <v>45642</v>
      </c>
      <c r="J1886" s="7">
        <v>45656</v>
      </c>
      <c r="K1886" s="1">
        <v>14</v>
      </c>
      <c r="L1886" s="1" t="s">
        <v>102</v>
      </c>
      <c r="M1886" s="1" t="s">
        <v>28</v>
      </c>
      <c r="N1886" s="1" t="s">
        <v>79</v>
      </c>
      <c r="O1886" s="1" t="s">
        <v>30</v>
      </c>
      <c r="P1886" s="29">
        <v>61964.52</v>
      </c>
      <c r="Q1886" s="1" t="s">
        <v>223</v>
      </c>
      <c r="R1886" s="1">
        <v>9</v>
      </c>
      <c r="S1886" s="1">
        <v>306</v>
      </c>
      <c r="T1886" s="1">
        <v>32.799999999999997</v>
      </c>
      <c r="U1886" s="1" t="s">
        <v>44</v>
      </c>
      <c r="V1886" s="17" t="s">
        <v>33</v>
      </c>
    </row>
    <row r="1887" spans="1:22" ht="15" customHeight="1" x14ac:dyDescent="0.25">
      <c r="A1887" s="16" t="s">
        <v>3382</v>
      </c>
      <c r="B1887" s="3" t="s">
        <v>1664</v>
      </c>
      <c r="C1887">
        <v>85</v>
      </c>
      <c r="D1887" s="3" t="s">
        <v>36</v>
      </c>
      <c r="E1887" s="3" t="s">
        <v>23</v>
      </c>
      <c r="F1887" s="3" t="s">
        <v>155</v>
      </c>
      <c r="G1887" s="3" t="s">
        <v>71</v>
      </c>
      <c r="H1887" s="3" t="s">
        <v>78</v>
      </c>
      <c r="I1887" s="6">
        <v>45171</v>
      </c>
      <c r="J1887" s="8">
        <v>45086</v>
      </c>
      <c r="K1887" s="3">
        <v>4</v>
      </c>
      <c r="L1887" s="3" t="s">
        <v>102</v>
      </c>
      <c r="M1887" s="3" t="s">
        <v>28</v>
      </c>
      <c r="N1887" s="3" t="s">
        <v>72</v>
      </c>
      <c r="O1887" s="3" t="s">
        <v>30</v>
      </c>
      <c r="P1887" s="30">
        <v>12082.29</v>
      </c>
      <c r="Q1887" s="3" t="s">
        <v>503</v>
      </c>
      <c r="R1887" s="3">
        <v>5</v>
      </c>
      <c r="S1887" s="3">
        <v>234</v>
      </c>
      <c r="T1887" s="3">
        <v>30.1</v>
      </c>
      <c r="U1887" s="3" t="s">
        <v>32</v>
      </c>
      <c r="V1887" s="18" t="s">
        <v>33</v>
      </c>
    </row>
    <row r="1888" spans="1:22" ht="15" customHeight="1" x14ac:dyDescent="0.25">
      <c r="A1888" s="15" t="s">
        <v>3383</v>
      </c>
      <c r="B1888" s="1" t="s">
        <v>3384</v>
      </c>
      <c r="C1888">
        <v>38</v>
      </c>
      <c r="D1888" s="1" t="s">
        <v>98</v>
      </c>
      <c r="E1888" s="1" t="s">
        <v>23</v>
      </c>
      <c r="F1888" s="1" t="s">
        <v>99</v>
      </c>
      <c r="G1888" s="1" t="s">
        <v>131</v>
      </c>
      <c r="H1888" s="1" t="s">
        <v>26</v>
      </c>
      <c r="I1888" s="6">
        <v>44812</v>
      </c>
      <c r="J1888" s="7">
        <v>44819</v>
      </c>
      <c r="K1888" s="1">
        <v>7</v>
      </c>
      <c r="L1888" s="1" t="s">
        <v>52</v>
      </c>
      <c r="M1888" s="1" t="s">
        <v>53</v>
      </c>
      <c r="N1888" s="1" t="s">
        <v>147</v>
      </c>
      <c r="O1888" s="1" t="s">
        <v>42</v>
      </c>
      <c r="P1888" s="29">
        <v>33219.949999999997</v>
      </c>
      <c r="Q1888" s="1" t="s">
        <v>266</v>
      </c>
      <c r="R1888" s="1">
        <v>7</v>
      </c>
      <c r="S1888" s="1">
        <v>315</v>
      </c>
      <c r="T1888" s="1">
        <v>16</v>
      </c>
      <c r="U1888" s="1" t="s">
        <v>44</v>
      </c>
      <c r="V1888" s="17" t="s">
        <v>33</v>
      </c>
    </row>
    <row r="1889" spans="1:22" ht="15" customHeight="1" x14ac:dyDescent="0.25">
      <c r="A1889" s="16" t="s">
        <v>3385</v>
      </c>
      <c r="B1889" s="3" t="s">
        <v>3386</v>
      </c>
      <c r="C1889">
        <v>60</v>
      </c>
      <c r="D1889" s="3" t="s">
        <v>59</v>
      </c>
      <c r="E1889" s="3" t="s">
        <v>48</v>
      </c>
      <c r="F1889" s="3" t="s">
        <v>76</v>
      </c>
      <c r="G1889" s="3" t="s">
        <v>77</v>
      </c>
      <c r="H1889" s="3" t="s">
        <v>26</v>
      </c>
      <c r="I1889" s="8">
        <v>43692</v>
      </c>
      <c r="J1889" s="8">
        <v>43711</v>
      </c>
      <c r="K1889" s="3">
        <v>19</v>
      </c>
      <c r="L1889" s="3" t="s">
        <v>27</v>
      </c>
      <c r="M1889" s="3" t="s">
        <v>28</v>
      </c>
      <c r="N1889" s="3" t="s">
        <v>79</v>
      </c>
      <c r="O1889" s="3" t="s">
        <v>42</v>
      </c>
      <c r="P1889" s="30">
        <v>77217.94</v>
      </c>
      <c r="Q1889" s="3" t="s">
        <v>181</v>
      </c>
      <c r="R1889" s="3">
        <v>10</v>
      </c>
      <c r="S1889" s="3">
        <v>396</v>
      </c>
      <c r="T1889" s="3">
        <v>37.1</v>
      </c>
      <c r="U1889" s="3" t="s">
        <v>32</v>
      </c>
      <c r="V1889" s="18" t="s">
        <v>33</v>
      </c>
    </row>
    <row r="1890" spans="1:22" ht="15" customHeight="1" x14ac:dyDescent="0.25">
      <c r="A1890" s="15" t="s">
        <v>3387</v>
      </c>
      <c r="B1890" s="1" t="s">
        <v>3388</v>
      </c>
      <c r="C1890">
        <v>55</v>
      </c>
      <c r="D1890" s="1" t="s">
        <v>59</v>
      </c>
      <c r="E1890" s="1" t="s">
        <v>23</v>
      </c>
      <c r="F1890" s="1" t="s">
        <v>155</v>
      </c>
      <c r="G1890" s="1" t="s">
        <v>38</v>
      </c>
      <c r="H1890" s="1" t="s">
        <v>51</v>
      </c>
      <c r="I1890" s="6">
        <v>44298</v>
      </c>
      <c r="J1890" s="7">
        <v>44538</v>
      </c>
      <c r="K1890" s="1">
        <v>4</v>
      </c>
      <c r="L1890" s="1" t="s">
        <v>27</v>
      </c>
      <c r="M1890" s="1" t="s">
        <v>28</v>
      </c>
      <c r="N1890" s="1" t="s">
        <v>203</v>
      </c>
      <c r="O1890" s="1" t="s">
        <v>104</v>
      </c>
      <c r="P1890" s="29">
        <v>22357</v>
      </c>
      <c r="Q1890" s="1" t="s">
        <v>119</v>
      </c>
      <c r="R1890" s="1">
        <v>7</v>
      </c>
      <c r="S1890" s="1">
        <v>188</v>
      </c>
      <c r="T1890" s="4"/>
      <c r="U1890" s="1" t="s">
        <v>44</v>
      </c>
      <c r="V1890" s="17" t="s">
        <v>45</v>
      </c>
    </row>
    <row r="1891" spans="1:22" ht="15" customHeight="1" x14ac:dyDescent="0.25">
      <c r="A1891" s="16" t="s">
        <v>3389</v>
      </c>
      <c r="B1891" s="3" t="s">
        <v>3390</v>
      </c>
      <c r="C1891">
        <v>63</v>
      </c>
      <c r="D1891" s="3" t="s">
        <v>59</v>
      </c>
      <c r="E1891" s="3" t="s">
        <v>23</v>
      </c>
      <c r="F1891" s="3" t="s">
        <v>155</v>
      </c>
      <c r="G1891" s="3" t="s">
        <v>60</v>
      </c>
      <c r="H1891" s="3" t="s">
        <v>51</v>
      </c>
      <c r="I1891" s="8">
        <v>45311</v>
      </c>
      <c r="J1891" s="8">
        <v>45314</v>
      </c>
      <c r="K1891" s="3">
        <v>3</v>
      </c>
      <c r="L1891" s="3" t="s">
        <v>102</v>
      </c>
      <c r="M1891" s="3" t="s">
        <v>28</v>
      </c>
      <c r="N1891" s="3" t="s">
        <v>61</v>
      </c>
      <c r="O1891" s="3" t="s">
        <v>66</v>
      </c>
      <c r="P1891" s="30">
        <v>41711.67</v>
      </c>
      <c r="Q1891" s="3" t="s">
        <v>105</v>
      </c>
      <c r="R1891" s="3">
        <v>6</v>
      </c>
      <c r="S1891" s="3">
        <v>134</v>
      </c>
      <c r="T1891" s="3">
        <v>20.9</v>
      </c>
      <c r="U1891" s="3" t="s">
        <v>44</v>
      </c>
      <c r="V1891" s="18" t="s">
        <v>33</v>
      </c>
    </row>
    <row r="1892" spans="1:22" ht="15" customHeight="1" x14ac:dyDescent="0.25">
      <c r="A1892" s="15" t="s">
        <v>3391</v>
      </c>
      <c r="B1892" s="1" t="s">
        <v>740</v>
      </c>
      <c r="C1892">
        <v>91</v>
      </c>
      <c r="D1892" s="1" t="s">
        <v>36</v>
      </c>
      <c r="E1892" s="1" t="s">
        <v>23</v>
      </c>
      <c r="F1892" s="1" t="s">
        <v>70</v>
      </c>
      <c r="G1892" s="1" t="s">
        <v>77</v>
      </c>
      <c r="H1892" s="1" t="s">
        <v>26</v>
      </c>
      <c r="I1892" s="7">
        <v>45254</v>
      </c>
      <c r="J1892" s="7">
        <v>45264</v>
      </c>
      <c r="K1892" s="1">
        <v>10</v>
      </c>
      <c r="L1892" s="1" t="s">
        <v>185</v>
      </c>
      <c r="M1892" s="1" t="s">
        <v>186</v>
      </c>
      <c r="N1892" s="1" t="s">
        <v>79</v>
      </c>
      <c r="O1892" s="1" t="s">
        <v>30</v>
      </c>
      <c r="P1892" s="29">
        <v>138721.17000000001</v>
      </c>
      <c r="Q1892" s="1" t="s">
        <v>109</v>
      </c>
      <c r="R1892" s="1">
        <v>10</v>
      </c>
      <c r="S1892" s="1">
        <v>300</v>
      </c>
      <c r="T1892" s="1">
        <v>20</v>
      </c>
      <c r="U1892" s="1" t="s">
        <v>44</v>
      </c>
      <c r="V1892" s="17" t="s">
        <v>45</v>
      </c>
    </row>
    <row r="1893" spans="1:22" ht="15" customHeight="1" x14ac:dyDescent="0.25">
      <c r="A1893" s="16" t="s">
        <v>3392</v>
      </c>
      <c r="B1893" s="3" t="s">
        <v>3393</v>
      </c>
      <c r="C1893">
        <v>54</v>
      </c>
      <c r="D1893" s="3" t="s">
        <v>98</v>
      </c>
      <c r="E1893" s="3" t="s">
        <v>48</v>
      </c>
      <c r="F1893" s="3" t="s">
        <v>49</v>
      </c>
      <c r="G1893" s="3" t="s">
        <v>25</v>
      </c>
      <c r="H1893" s="3" t="s">
        <v>78</v>
      </c>
      <c r="I1893" s="6">
        <v>44363</v>
      </c>
      <c r="J1893" s="8">
        <v>44372</v>
      </c>
      <c r="K1893" s="3">
        <v>9</v>
      </c>
      <c r="L1893" s="3" t="s">
        <v>132</v>
      </c>
      <c r="M1893" s="3" t="s">
        <v>53</v>
      </c>
      <c r="N1893" s="3" t="s">
        <v>29</v>
      </c>
      <c r="O1893" s="3" t="s">
        <v>104</v>
      </c>
      <c r="P1893" s="30">
        <v>48211.91</v>
      </c>
      <c r="Q1893" s="3" t="s">
        <v>706</v>
      </c>
      <c r="R1893" s="3">
        <v>12</v>
      </c>
      <c r="S1893" s="3">
        <v>171</v>
      </c>
      <c r="T1893" s="4"/>
      <c r="U1893" s="3" t="s">
        <v>44</v>
      </c>
      <c r="V1893" s="18" t="s">
        <v>33</v>
      </c>
    </row>
    <row r="1894" spans="1:22" ht="15" customHeight="1" x14ac:dyDescent="0.25">
      <c r="A1894" s="15" t="s">
        <v>3394</v>
      </c>
      <c r="B1894" s="1" t="s">
        <v>3395</v>
      </c>
      <c r="C1894">
        <v>71</v>
      </c>
      <c r="D1894" s="1" t="s">
        <v>82</v>
      </c>
      <c r="E1894" s="1" t="s">
        <v>23</v>
      </c>
      <c r="F1894" s="1" t="s">
        <v>49</v>
      </c>
      <c r="G1894" s="1" t="s">
        <v>38</v>
      </c>
      <c r="H1894" s="1" t="s">
        <v>51</v>
      </c>
      <c r="I1894" s="6">
        <v>43599</v>
      </c>
      <c r="J1894" s="7">
        <v>43602</v>
      </c>
      <c r="K1894" s="1">
        <v>3</v>
      </c>
      <c r="L1894" s="1" t="s">
        <v>102</v>
      </c>
      <c r="M1894" s="1" t="s">
        <v>28</v>
      </c>
      <c r="N1894" s="1" t="s">
        <v>41</v>
      </c>
      <c r="O1894" s="1" t="s">
        <v>104</v>
      </c>
      <c r="P1894" s="29">
        <v>9893.76</v>
      </c>
      <c r="Q1894" s="1" t="s">
        <v>119</v>
      </c>
      <c r="R1894" s="1">
        <v>6</v>
      </c>
      <c r="S1894" s="1">
        <v>177</v>
      </c>
      <c r="T1894" s="1">
        <v>14.5</v>
      </c>
      <c r="U1894" s="1" t="s">
        <v>44</v>
      </c>
      <c r="V1894" s="17" t="s">
        <v>33</v>
      </c>
    </row>
    <row r="1895" spans="1:22" ht="15" customHeight="1" x14ac:dyDescent="0.25">
      <c r="A1895" s="16" t="s">
        <v>3396</v>
      </c>
      <c r="B1895" s="3" t="s">
        <v>2658</v>
      </c>
      <c r="C1895">
        <v>29</v>
      </c>
      <c r="D1895" s="3" t="s">
        <v>47</v>
      </c>
      <c r="E1895" s="3" t="s">
        <v>23</v>
      </c>
      <c r="F1895" s="3" t="s">
        <v>76</v>
      </c>
      <c r="G1895" s="3" t="s">
        <v>71</v>
      </c>
      <c r="H1895" s="3" t="s">
        <v>26</v>
      </c>
      <c r="I1895" s="8">
        <v>45016</v>
      </c>
      <c r="J1895" s="8">
        <v>45020</v>
      </c>
      <c r="K1895" s="3">
        <v>4</v>
      </c>
      <c r="L1895" s="3" t="s">
        <v>185</v>
      </c>
      <c r="M1895" s="3" t="s">
        <v>186</v>
      </c>
      <c r="N1895" s="3" t="s">
        <v>72</v>
      </c>
      <c r="O1895" s="3" t="s">
        <v>42</v>
      </c>
      <c r="P1895" s="30">
        <v>17601.310000000001</v>
      </c>
      <c r="Q1895" s="3" t="s">
        <v>178</v>
      </c>
      <c r="R1895" s="3">
        <v>3</v>
      </c>
      <c r="S1895" s="3">
        <v>494</v>
      </c>
      <c r="T1895" s="3">
        <v>25.7</v>
      </c>
      <c r="U1895" s="3" t="s">
        <v>32</v>
      </c>
      <c r="V1895" s="18" t="s">
        <v>33</v>
      </c>
    </row>
    <row r="1896" spans="1:22" ht="15" customHeight="1" x14ac:dyDescent="0.25">
      <c r="A1896" s="15" t="s">
        <v>3397</v>
      </c>
      <c r="B1896" s="1" t="s">
        <v>446</v>
      </c>
      <c r="C1896">
        <v>68</v>
      </c>
      <c r="D1896" s="1" t="s">
        <v>82</v>
      </c>
      <c r="E1896" s="1" t="s">
        <v>23</v>
      </c>
      <c r="F1896" s="1" t="s">
        <v>76</v>
      </c>
      <c r="G1896" s="1" t="s">
        <v>77</v>
      </c>
      <c r="H1896" s="1" t="s">
        <v>51</v>
      </c>
      <c r="I1896" s="7">
        <v>44308</v>
      </c>
      <c r="J1896" s="7">
        <v>44316</v>
      </c>
      <c r="K1896" s="1">
        <v>8</v>
      </c>
      <c r="L1896" s="1" t="s">
        <v>52</v>
      </c>
      <c r="M1896" s="1" t="s">
        <v>53</v>
      </c>
      <c r="N1896" s="1" t="s">
        <v>79</v>
      </c>
      <c r="O1896" s="1" t="s">
        <v>30</v>
      </c>
      <c r="P1896" s="29">
        <v>37920.1</v>
      </c>
      <c r="Q1896" s="1" t="s">
        <v>85</v>
      </c>
      <c r="R1896" s="1">
        <v>10</v>
      </c>
      <c r="S1896" s="1">
        <v>105</v>
      </c>
      <c r="T1896" s="1">
        <v>16.399999999999999</v>
      </c>
      <c r="U1896" s="1" t="s">
        <v>86</v>
      </c>
      <c r="V1896" s="17" t="s">
        <v>33</v>
      </c>
    </row>
    <row r="1897" spans="1:22" ht="15" customHeight="1" x14ac:dyDescent="0.25">
      <c r="A1897" s="16" t="s">
        <v>3398</v>
      </c>
      <c r="B1897" s="3" t="s">
        <v>3399</v>
      </c>
      <c r="C1897">
        <v>56</v>
      </c>
      <c r="D1897" s="3" t="s">
        <v>59</v>
      </c>
      <c r="E1897" s="3" t="s">
        <v>48</v>
      </c>
      <c r="F1897" s="3" t="s">
        <v>155</v>
      </c>
      <c r="G1897" s="3" t="s">
        <v>25</v>
      </c>
      <c r="H1897" s="3" t="s">
        <v>156</v>
      </c>
      <c r="I1897" s="8">
        <v>44236</v>
      </c>
      <c r="J1897" s="8">
        <v>44251</v>
      </c>
      <c r="K1897" s="3">
        <v>15</v>
      </c>
      <c r="L1897" s="3" t="s">
        <v>89</v>
      </c>
      <c r="M1897" s="3" t="s">
        <v>90</v>
      </c>
      <c r="N1897" s="3" t="s">
        <v>29</v>
      </c>
      <c r="O1897" s="3" t="s">
        <v>30</v>
      </c>
      <c r="P1897" s="30">
        <v>69925.47</v>
      </c>
      <c r="Q1897" s="3" t="s">
        <v>31</v>
      </c>
      <c r="R1897" s="3">
        <v>12</v>
      </c>
      <c r="S1897" s="3">
        <v>192</v>
      </c>
      <c r="T1897" s="3">
        <v>22.2</v>
      </c>
      <c r="U1897" s="3" t="s">
        <v>44</v>
      </c>
      <c r="V1897" s="18" t="s">
        <v>33</v>
      </c>
    </row>
    <row r="1898" spans="1:22" ht="15" customHeight="1" x14ac:dyDescent="0.25">
      <c r="A1898" s="15" t="s">
        <v>3400</v>
      </c>
      <c r="B1898" s="1" t="s">
        <v>3401</v>
      </c>
      <c r="C1898">
        <v>62</v>
      </c>
      <c r="D1898" s="1" t="s">
        <v>59</v>
      </c>
      <c r="E1898" s="1" t="s">
        <v>48</v>
      </c>
      <c r="F1898" s="1" t="s">
        <v>49</v>
      </c>
      <c r="G1898" s="1" t="s">
        <v>38</v>
      </c>
      <c r="H1898" s="1" t="s">
        <v>26</v>
      </c>
      <c r="I1898" s="7">
        <v>45433</v>
      </c>
      <c r="J1898" s="7">
        <v>45438</v>
      </c>
      <c r="K1898" s="1">
        <v>5</v>
      </c>
      <c r="L1898" s="1" t="s">
        <v>52</v>
      </c>
      <c r="M1898" s="1" t="s">
        <v>53</v>
      </c>
      <c r="N1898" s="1" t="s">
        <v>173</v>
      </c>
      <c r="O1898" s="1" t="s">
        <v>42</v>
      </c>
      <c r="P1898" s="29">
        <v>57155.3</v>
      </c>
      <c r="Q1898" s="1" t="s">
        <v>305</v>
      </c>
      <c r="R1898" s="1">
        <v>7</v>
      </c>
      <c r="S1898" s="1">
        <v>367</v>
      </c>
      <c r="T1898" s="1">
        <v>36.1</v>
      </c>
      <c r="U1898" s="1" t="s">
        <v>44</v>
      </c>
      <c r="V1898" s="17" t="s">
        <v>33</v>
      </c>
    </row>
    <row r="1899" spans="1:22" ht="15" customHeight="1" x14ac:dyDescent="0.25">
      <c r="A1899" s="16" t="s">
        <v>3402</v>
      </c>
      <c r="B1899" s="3" t="s">
        <v>2750</v>
      </c>
      <c r="C1899">
        <v>71</v>
      </c>
      <c r="D1899" s="3" t="s">
        <v>82</v>
      </c>
      <c r="E1899" s="3" t="s">
        <v>23</v>
      </c>
      <c r="F1899" s="3" t="s">
        <v>24</v>
      </c>
      <c r="G1899" s="3" t="s">
        <v>38</v>
      </c>
      <c r="H1899" s="3" t="s">
        <v>26</v>
      </c>
      <c r="I1899" s="6">
        <v>45266</v>
      </c>
      <c r="J1899" s="8">
        <v>45097</v>
      </c>
      <c r="K1899" s="3">
        <v>8</v>
      </c>
      <c r="L1899" s="3" t="s">
        <v>89</v>
      </c>
      <c r="M1899" s="3" t="s">
        <v>90</v>
      </c>
      <c r="N1899" s="3" t="s">
        <v>173</v>
      </c>
      <c r="O1899" s="3" t="s">
        <v>104</v>
      </c>
      <c r="P1899" s="30">
        <v>20663</v>
      </c>
      <c r="Q1899" s="3" t="s">
        <v>204</v>
      </c>
      <c r="R1899" s="3">
        <v>8</v>
      </c>
      <c r="S1899" s="3">
        <v>110</v>
      </c>
      <c r="T1899" s="3">
        <v>32.5</v>
      </c>
      <c r="U1899" s="3" t="s">
        <v>44</v>
      </c>
      <c r="V1899" s="18" t="s">
        <v>33</v>
      </c>
    </row>
    <row r="1900" spans="1:22" ht="15" customHeight="1" x14ac:dyDescent="0.25">
      <c r="A1900" s="15" t="s">
        <v>3403</v>
      </c>
      <c r="B1900" s="2" t="s">
        <v>2279</v>
      </c>
      <c r="C1900">
        <v>18</v>
      </c>
      <c r="D1900" s="1" t="s">
        <v>47</v>
      </c>
      <c r="E1900" s="1" t="s">
        <v>23</v>
      </c>
      <c r="F1900" s="1" t="s">
        <v>49</v>
      </c>
      <c r="G1900" s="1" t="s">
        <v>665</v>
      </c>
      <c r="H1900" s="1" t="s">
        <v>51</v>
      </c>
      <c r="I1900" s="6">
        <v>44647</v>
      </c>
      <c r="J1900" s="7">
        <v>44746</v>
      </c>
      <c r="K1900" s="1">
        <v>11</v>
      </c>
      <c r="L1900" s="1" t="s">
        <v>52</v>
      </c>
      <c r="M1900" s="1" t="s">
        <v>53</v>
      </c>
      <c r="N1900" s="1" t="s">
        <v>116</v>
      </c>
      <c r="O1900" s="1" t="s">
        <v>42</v>
      </c>
      <c r="P1900" s="29">
        <v>25206.45</v>
      </c>
      <c r="Q1900" s="1" t="s">
        <v>85</v>
      </c>
      <c r="R1900" s="1">
        <v>9</v>
      </c>
      <c r="S1900" s="1">
        <v>135</v>
      </c>
      <c r="T1900" s="1">
        <v>29.2</v>
      </c>
      <c r="U1900" s="1" t="s">
        <v>32</v>
      </c>
      <c r="V1900" s="17" t="s">
        <v>33</v>
      </c>
    </row>
    <row r="1901" spans="1:22" ht="15" customHeight="1" x14ac:dyDescent="0.25">
      <c r="A1901" s="16" t="s">
        <v>3404</v>
      </c>
      <c r="B1901" s="3" t="s">
        <v>251</v>
      </c>
      <c r="C1901">
        <v>39</v>
      </c>
      <c r="D1901" s="3" t="s">
        <v>98</v>
      </c>
      <c r="E1901" s="3" t="s">
        <v>23</v>
      </c>
      <c r="F1901" s="3" t="s">
        <v>83</v>
      </c>
      <c r="G1901" s="3" t="s">
        <v>38</v>
      </c>
      <c r="H1901" s="3" t="s">
        <v>78</v>
      </c>
      <c r="I1901" s="6">
        <v>44338</v>
      </c>
      <c r="J1901" s="8">
        <v>44340</v>
      </c>
      <c r="K1901" s="3">
        <v>2</v>
      </c>
      <c r="L1901" s="3" t="s">
        <v>231</v>
      </c>
      <c r="M1901" s="3" t="s">
        <v>53</v>
      </c>
      <c r="N1901" s="3" t="s">
        <v>203</v>
      </c>
      <c r="O1901" s="3" t="s">
        <v>42</v>
      </c>
      <c r="P1901" s="30">
        <v>12981.77</v>
      </c>
      <c r="Q1901" s="3" t="s">
        <v>119</v>
      </c>
      <c r="R1901" s="3">
        <v>8</v>
      </c>
      <c r="S1901" s="3">
        <v>181</v>
      </c>
      <c r="T1901" s="3">
        <v>37.4</v>
      </c>
      <c r="U1901" s="3" t="s">
        <v>44</v>
      </c>
      <c r="V1901" s="18" t="s">
        <v>33</v>
      </c>
    </row>
    <row r="1902" spans="1:22" ht="15" customHeight="1" x14ac:dyDescent="0.25">
      <c r="A1902" s="15" t="s">
        <v>3405</v>
      </c>
      <c r="B1902" s="1" t="s">
        <v>3406</v>
      </c>
      <c r="C1902">
        <v>39</v>
      </c>
      <c r="D1902" s="1" t="s">
        <v>98</v>
      </c>
      <c r="E1902" s="1" t="s">
        <v>23</v>
      </c>
      <c r="F1902" s="1" t="s">
        <v>37</v>
      </c>
      <c r="G1902" s="1" t="s">
        <v>163</v>
      </c>
      <c r="H1902" s="1" t="s">
        <v>78</v>
      </c>
      <c r="I1902" s="7">
        <v>45627</v>
      </c>
      <c r="J1902" s="7">
        <v>45629</v>
      </c>
      <c r="K1902" s="1">
        <v>2</v>
      </c>
      <c r="L1902" s="1" t="s">
        <v>132</v>
      </c>
      <c r="M1902" s="1" t="s">
        <v>53</v>
      </c>
      <c r="N1902" s="1" t="s">
        <v>164</v>
      </c>
      <c r="O1902" s="1" t="s">
        <v>42</v>
      </c>
      <c r="P1902" s="29">
        <v>28596</v>
      </c>
      <c r="Q1902" s="1" t="s">
        <v>165</v>
      </c>
      <c r="R1902" s="1">
        <v>4</v>
      </c>
      <c r="S1902" s="1">
        <v>406</v>
      </c>
      <c r="T1902" s="1">
        <v>14</v>
      </c>
      <c r="U1902" s="1" t="s">
        <v>32</v>
      </c>
      <c r="V1902" s="17" t="s">
        <v>33</v>
      </c>
    </row>
    <row r="1903" spans="1:22" ht="15" customHeight="1" x14ac:dyDescent="0.25">
      <c r="A1903" s="16" t="s">
        <v>3407</v>
      </c>
      <c r="B1903" s="2" t="s">
        <v>3706</v>
      </c>
      <c r="C1903">
        <v>51</v>
      </c>
      <c r="D1903" s="3" t="s">
        <v>98</v>
      </c>
      <c r="E1903" s="3" t="s">
        <v>48</v>
      </c>
      <c r="F1903" s="3" t="s">
        <v>76</v>
      </c>
      <c r="G1903" s="3" t="s">
        <v>38</v>
      </c>
      <c r="H1903" s="3" t="s">
        <v>26</v>
      </c>
      <c r="I1903" s="8">
        <v>43613</v>
      </c>
      <c r="J1903" s="8">
        <v>43620</v>
      </c>
      <c r="K1903" s="3">
        <v>7</v>
      </c>
      <c r="L1903" s="3" t="s">
        <v>52</v>
      </c>
      <c r="M1903" s="3" t="s">
        <v>53</v>
      </c>
      <c r="N1903" s="3" t="s">
        <v>41</v>
      </c>
      <c r="O1903" s="3" t="s">
        <v>30</v>
      </c>
      <c r="P1903" s="30">
        <v>18746</v>
      </c>
      <c r="Q1903" s="3" t="s">
        <v>305</v>
      </c>
      <c r="R1903" s="3">
        <v>8</v>
      </c>
      <c r="S1903" s="3">
        <v>175</v>
      </c>
      <c r="T1903" s="3">
        <v>29.1</v>
      </c>
      <c r="U1903" s="3" t="s">
        <v>44</v>
      </c>
      <c r="V1903" s="18" t="s">
        <v>33</v>
      </c>
    </row>
    <row r="1904" spans="1:22" ht="15" customHeight="1" x14ac:dyDescent="0.25">
      <c r="A1904" s="15" t="s">
        <v>3408</v>
      </c>
      <c r="B1904" s="1" t="s">
        <v>3409</v>
      </c>
      <c r="C1904">
        <v>73</v>
      </c>
      <c r="D1904" s="1" t="s">
        <v>82</v>
      </c>
      <c r="E1904" s="1" t="s">
        <v>23</v>
      </c>
      <c r="F1904" s="1" t="s">
        <v>49</v>
      </c>
      <c r="G1904" s="1" t="s">
        <v>77</v>
      </c>
      <c r="H1904" s="1" t="s">
        <v>78</v>
      </c>
      <c r="I1904" s="7">
        <v>44859</v>
      </c>
      <c r="J1904" s="7">
        <v>44866</v>
      </c>
      <c r="K1904" s="1">
        <v>7</v>
      </c>
      <c r="L1904" s="1" t="s">
        <v>132</v>
      </c>
      <c r="M1904" s="1" t="s">
        <v>53</v>
      </c>
      <c r="N1904" s="1" t="s">
        <v>84</v>
      </c>
      <c r="O1904" s="1" t="s">
        <v>42</v>
      </c>
      <c r="P1904" s="29">
        <v>76386.03</v>
      </c>
      <c r="Q1904" s="1" t="s">
        <v>80</v>
      </c>
      <c r="R1904" s="1">
        <v>10</v>
      </c>
      <c r="S1904" s="1">
        <v>215</v>
      </c>
      <c r="T1904" s="1">
        <v>32.9</v>
      </c>
      <c r="U1904" s="1" t="s">
        <v>44</v>
      </c>
      <c r="V1904" s="17" t="s">
        <v>33</v>
      </c>
    </row>
    <row r="1905" spans="1:22" ht="15" customHeight="1" x14ac:dyDescent="0.25">
      <c r="A1905" s="16" t="s">
        <v>3410</v>
      </c>
      <c r="B1905" s="3" t="s">
        <v>3411</v>
      </c>
      <c r="C1905">
        <v>55</v>
      </c>
      <c r="D1905" s="3" t="s">
        <v>59</v>
      </c>
      <c r="E1905" s="3" t="s">
        <v>23</v>
      </c>
      <c r="F1905" s="3" t="s">
        <v>155</v>
      </c>
      <c r="G1905" s="3" t="s">
        <v>25</v>
      </c>
      <c r="H1905" s="3" t="s">
        <v>51</v>
      </c>
      <c r="I1905" s="8">
        <v>43785</v>
      </c>
      <c r="J1905" s="8">
        <v>43798</v>
      </c>
      <c r="K1905" s="3">
        <v>13</v>
      </c>
      <c r="L1905" s="3" t="s">
        <v>122</v>
      </c>
      <c r="M1905" s="3" t="s">
        <v>40</v>
      </c>
      <c r="N1905" s="3" t="s">
        <v>29</v>
      </c>
      <c r="O1905" s="3" t="s">
        <v>42</v>
      </c>
      <c r="P1905" s="30">
        <v>69974</v>
      </c>
      <c r="Q1905" s="3" t="s">
        <v>198</v>
      </c>
      <c r="R1905" s="3">
        <v>12</v>
      </c>
      <c r="S1905" s="3">
        <v>180</v>
      </c>
      <c r="T1905" s="3">
        <v>22.3</v>
      </c>
      <c r="U1905" s="3" t="s">
        <v>86</v>
      </c>
      <c r="V1905" s="18" t="s">
        <v>33</v>
      </c>
    </row>
    <row r="1906" spans="1:22" ht="15" customHeight="1" x14ac:dyDescent="0.25">
      <c r="A1906" s="15" t="s">
        <v>3412</v>
      </c>
      <c r="B1906" s="1" t="s">
        <v>3413</v>
      </c>
      <c r="C1906">
        <v>55</v>
      </c>
      <c r="D1906" s="1" t="s">
        <v>59</v>
      </c>
      <c r="E1906" s="1" t="s">
        <v>48</v>
      </c>
      <c r="F1906" s="1" t="s">
        <v>83</v>
      </c>
      <c r="G1906" s="1" t="s">
        <v>25</v>
      </c>
      <c r="H1906" s="1" t="s">
        <v>51</v>
      </c>
      <c r="I1906" s="7">
        <v>44401</v>
      </c>
      <c r="J1906" s="7">
        <v>44263</v>
      </c>
      <c r="K1906" s="1">
        <v>10</v>
      </c>
      <c r="L1906" s="1" t="s">
        <v>102</v>
      </c>
      <c r="M1906" s="1" t="s">
        <v>28</v>
      </c>
      <c r="N1906" s="1" t="s">
        <v>65</v>
      </c>
      <c r="O1906" s="1" t="s">
        <v>55</v>
      </c>
      <c r="P1906" s="29">
        <v>31788.77</v>
      </c>
      <c r="Q1906" s="1" t="s">
        <v>515</v>
      </c>
      <c r="R1906" s="1">
        <v>11</v>
      </c>
      <c r="S1906" s="1">
        <v>172</v>
      </c>
      <c r="T1906" s="1">
        <v>18.7</v>
      </c>
      <c r="U1906" s="1" t="s">
        <v>44</v>
      </c>
      <c r="V1906" s="17" t="s">
        <v>45</v>
      </c>
    </row>
    <row r="1907" spans="1:22" ht="15" customHeight="1" x14ac:dyDescent="0.25">
      <c r="A1907" s="16" t="s">
        <v>3414</v>
      </c>
      <c r="B1907" s="3" t="s">
        <v>3415</v>
      </c>
      <c r="C1907">
        <v>74</v>
      </c>
      <c r="D1907" s="3" t="s">
        <v>82</v>
      </c>
      <c r="E1907" s="3" t="s">
        <v>23</v>
      </c>
      <c r="F1907" s="3" t="s">
        <v>49</v>
      </c>
      <c r="G1907" s="3" t="s">
        <v>77</v>
      </c>
      <c r="H1907" s="3" t="s">
        <v>78</v>
      </c>
      <c r="I1907" s="8">
        <v>43519</v>
      </c>
      <c r="J1907" s="8">
        <v>43531</v>
      </c>
      <c r="K1907" s="3">
        <v>12</v>
      </c>
      <c r="L1907" s="3" t="s">
        <v>112</v>
      </c>
      <c r="M1907" s="3" t="s">
        <v>40</v>
      </c>
      <c r="N1907" s="3" t="s">
        <v>79</v>
      </c>
      <c r="O1907" s="3" t="s">
        <v>30</v>
      </c>
      <c r="P1907" s="30">
        <v>62490.35</v>
      </c>
      <c r="Q1907" s="3" t="s">
        <v>109</v>
      </c>
      <c r="R1907" s="3">
        <v>7</v>
      </c>
      <c r="S1907" s="3">
        <v>483</v>
      </c>
      <c r="T1907" s="3">
        <v>22.5</v>
      </c>
      <c r="U1907" s="3" t="s">
        <v>44</v>
      </c>
      <c r="V1907" s="18" t="s">
        <v>45</v>
      </c>
    </row>
    <row r="1908" spans="1:22" ht="15" customHeight="1" x14ac:dyDescent="0.25">
      <c r="A1908" s="15" t="s">
        <v>3416</v>
      </c>
      <c r="B1908" s="1" t="s">
        <v>3417</v>
      </c>
      <c r="C1908">
        <v>85</v>
      </c>
      <c r="D1908" s="1" t="s">
        <v>36</v>
      </c>
      <c r="E1908" s="1" t="s">
        <v>48</v>
      </c>
      <c r="F1908" s="1" t="s">
        <v>49</v>
      </c>
      <c r="G1908" s="1" t="s">
        <v>50</v>
      </c>
      <c r="H1908" s="1" t="s">
        <v>51</v>
      </c>
      <c r="I1908" s="7">
        <v>45237</v>
      </c>
      <c r="J1908" s="10"/>
      <c r="K1908" s="1"/>
      <c r="L1908" s="1" t="s">
        <v>39</v>
      </c>
      <c r="M1908" s="1" t="s">
        <v>40</v>
      </c>
      <c r="N1908" s="1" t="s">
        <v>116</v>
      </c>
      <c r="O1908" s="1" t="s">
        <v>66</v>
      </c>
      <c r="P1908" s="29">
        <v>41661.97</v>
      </c>
      <c r="Q1908" s="1" t="s">
        <v>144</v>
      </c>
      <c r="R1908" s="1">
        <v>9</v>
      </c>
      <c r="S1908" s="1">
        <v>179</v>
      </c>
      <c r="T1908" s="1">
        <v>21.2</v>
      </c>
      <c r="U1908" s="1" t="s">
        <v>44</v>
      </c>
      <c r="V1908" s="17" t="s">
        <v>33</v>
      </c>
    </row>
    <row r="1909" spans="1:22" ht="15" customHeight="1" x14ac:dyDescent="0.25">
      <c r="A1909" s="16" t="s">
        <v>3418</v>
      </c>
      <c r="B1909" s="3" t="s">
        <v>761</v>
      </c>
      <c r="C1909">
        <v>13</v>
      </c>
      <c r="D1909" s="3" t="s">
        <v>22</v>
      </c>
      <c r="E1909" s="3" t="s">
        <v>23</v>
      </c>
      <c r="F1909" s="3" t="s">
        <v>76</v>
      </c>
      <c r="G1909" s="3" t="s">
        <v>71</v>
      </c>
      <c r="H1909" s="3" t="s">
        <v>51</v>
      </c>
      <c r="I1909" s="6">
        <v>43526</v>
      </c>
      <c r="J1909" s="8">
        <v>43501</v>
      </c>
      <c r="K1909" s="3">
        <v>2</v>
      </c>
      <c r="L1909" s="3" t="s">
        <v>52</v>
      </c>
      <c r="M1909" s="3" t="s">
        <v>53</v>
      </c>
      <c r="N1909" s="3" t="s">
        <v>177</v>
      </c>
      <c r="O1909" s="3" t="s">
        <v>30</v>
      </c>
      <c r="P1909" s="30">
        <v>6541.8</v>
      </c>
      <c r="Q1909" s="3" t="s">
        <v>73</v>
      </c>
      <c r="R1909" s="3">
        <v>5</v>
      </c>
      <c r="S1909" s="3">
        <v>179</v>
      </c>
      <c r="T1909" s="3">
        <v>23.2</v>
      </c>
      <c r="U1909" s="3" t="s">
        <v>32</v>
      </c>
      <c r="V1909" s="18" t="s">
        <v>45</v>
      </c>
    </row>
    <row r="1910" spans="1:22" ht="15" customHeight="1" x14ac:dyDescent="0.25">
      <c r="A1910" s="15" t="s">
        <v>3419</v>
      </c>
      <c r="B1910" s="2" t="s">
        <v>3707</v>
      </c>
      <c r="C1910">
        <v>78</v>
      </c>
      <c r="D1910" s="1" t="s">
        <v>36</v>
      </c>
      <c r="E1910" s="1" t="s">
        <v>23</v>
      </c>
      <c r="F1910" s="1" t="s">
        <v>155</v>
      </c>
      <c r="G1910" s="1" t="s">
        <v>77</v>
      </c>
      <c r="H1910" s="1" t="s">
        <v>51</v>
      </c>
      <c r="I1910" s="6">
        <v>44704</v>
      </c>
      <c r="J1910" s="7">
        <v>44709</v>
      </c>
      <c r="K1910" s="1">
        <v>5</v>
      </c>
      <c r="L1910" s="1" t="s">
        <v>102</v>
      </c>
      <c r="M1910" s="1" t="s">
        <v>28</v>
      </c>
      <c r="N1910" s="1" t="s">
        <v>79</v>
      </c>
      <c r="O1910" s="1" t="s">
        <v>66</v>
      </c>
      <c r="P1910" s="29">
        <v>44149.79</v>
      </c>
      <c r="Q1910" s="1" t="s">
        <v>80</v>
      </c>
      <c r="R1910" s="1">
        <v>10</v>
      </c>
      <c r="S1910" s="1">
        <v>109</v>
      </c>
      <c r="T1910" s="1">
        <v>37.6</v>
      </c>
      <c r="U1910" s="1" t="s">
        <v>86</v>
      </c>
      <c r="V1910" s="17" t="s">
        <v>33</v>
      </c>
    </row>
    <row r="1911" spans="1:22" ht="15" customHeight="1" x14ac:dyDescent="0.25">
      <c r="A1911" s="16" t="s">
        <v>3420</v>
      </c>
      <c r="B1911" s="3" t="s">
        <v>3006</v>
      </c>
      <c r="C1911">
        <v>41</v>
      </c>
      <c r="D1911" s="3" t="s">
        <v>98</v>
      </c>
      <c r="E1911" s="3" t="s">
        <v>23</v>
      </c>
      <c r="F1911" s="3" t="s">
        <v>49</v>
      </c>
      <c r="G1911" s="3" t="s">
        <v>25</v>
      </c>
      <c r="H1911" s="3" t="s">
        <v>78</v>
      </c>
      <c r="I1911" s="6">
        <v>44883</v>
      </c>
      <c r="J1911" s="8">
        <v>44896</v>
      </c>
      <c r="K1911" s="3">
        <v>13</v>
      </c>
      <c r="L1911" s="3" t="s">
        <v>89</v>
      </c>
      <c r="M1911" s="3" t="s">
        <v>90</v>
      </c>
      <c r="N1911" s="3" t="s">
        <v>248</v>
      </c>
      <c r="O1911" s="3" t="s">
        <v>55</v>
      </c>
      <c r="P1911" s="30">
        <v>119005.01</v>
      </c>
      <c r="Q1911" s="3" t="s">
        <v>249</v>
      </c>
      <c r="R1911" s="3">
        <v>12</v>
      </c>
      <c r="S1911" s="3">
        <v>246</v>
      </c>
      <c r="T1911" s="3">
        <v>24.9</v>
      </c>
      <c r="U1911" s="3" t="s">
        <v>32</v>
      </c>
      <c r="V1911" s="18" t="s">
        <v>33</v>
      </c>
    </row>
    <row r="1912" spans="1:22" ht="15" customHeight="1" x14ac:dyDescent="0.25">
      <c r="A1912" s="15" t="s">
        <v>3421</v>
      </c>
      <c r="B1912" s="1" t="s">
        <v>3422</v>
      </c>
      <c r="C1912">
        <v>66</v>
      </c>
      <c r="D1912" s="1" t="s">
        <v>82</v>
      </c>
      <c r="E1912" s="1" t="s">
        <v>23</v>
      </c>
      <c r="F1912" s="1" t="s">
        <v>83</v>
      </c>
      <c r="G1912" s="1" t="s">
        <v>38</v>
      </c>
      <c r="H1912" s="1" t="s">
        <v>26</v>
      </c>
      <c r="I1912" s="7">
        <v>44132</v>
      </c>
      <c r="J1912" s="7">
        <v>44138</v>
      </c>
      <c r="K1912" s="1">
        <v>6</v>
      </c>
      <c r="L1912" s="1" t="s">
        <v>102</v>
      </c>
      <c r="M1912" s="1" t="s">
        <v>28</v>
      </c>
      <c r="N1912" s="1" t="s">
        <v>203</v>
      </c>
      <c r="O1912" s="1" t="s">
        <v>30</v>
      </c>
      <c r="P1912" s="29">
        <v>20393.89</v>
      </c>
      <c r="Q1912" s="1" t="s">
        <v>43</v>
      </c>
      <c r="R1912" s="1">
        <v>8</v>
      </c>
      <c r="S1912" s="1">
        <v>446</v>
      </c>
      <c r="T1912" s="1">
        <v>34.299999999999997</v>
      </c>
      <c r="U1912" s="1" t="s">
        <v>44</v>
      </c>
      <c r="V1912" s="17" t="s">
        <v>33</v>
      </c>
    </row>
    <row r="1913" spans="1:22" ht="15" customHeight="1" x14ac:dyDescent="0.25">
      <c r="A1913" s="16" t="s">
        <v>3423</v>
      </c>
      <c r="B1913" s="3" t="s">
        <v>247</v>
      </c>
      <c r="C1913">
        <v>58</v>
      </c>
      <c r="D1913" s="3" t="s">
        <v>59</v>
      </c>
      <c r="E1913" s="3" t="s">
        <v>23</v>
      </c>
      <c r="F1913" s="3" t="s">
        <v>37</v>
      </c>
      <c r="G1913" s="3" t="s">
        <v>131</v>
      </c>
      <c r="H1913" s="3" t="s">
        <v>26</v>
      </c>
      <c r="I1913" s="8">
        <v>44490</v>
      </c>
      <c r="J1913" s="8">
        <v>44493</v>
      </c>
      <c r="K1913" s="3">
        <v>3</v>
      </c>
      <c r="L1913" s="3" t="s">
        <v>89</v>
      </c>
      <c r="M1913" s="3" t="s">
        <v>90</v>
      </c>
      <c r="N1913" s="3" t="s">
        <v>133</v>
      </c>
      <c r="O1913" s="3" t="s">
        <v>55</v>
      </c>
      <c r="P1913" s="30">
        <v>21236.67</v>
      </c>
      <c r="Q1913" s="3" t="s">
        <v>695</v>
      </c>
      <c r="R1913" s="3">
        <v>6</v>
      </c>
      <c r="S1913" s="3">
        <v>362</v>
      </c>
      <c r="T1913" s="3">
        <v>33.5</v>
      </c>
      <c r="U1913" s="3" t="s">
        <v>44</v>
      </c>
      <c r="V1913" s="18" t="s">
        <v>33</v>
      </c>
    </row>
    <row r="1914" spans="1:22" ht="15" customHeight="1" x14ac:dyDescent="0.25">
      <c r="A1914" s="15" t="s">
        <v>3424</v>
      </c>
      <c r="B1914" s="1" t="s">
        <v>2970</v>
      </c>
      <c r="C1914">
        <v>54</v>
      </c>
      <c r="D1914" s="1" t="s">
        <v>98</v>
      </c>
      <c r="E1914" s="1" t="s">
        <v>48</v>
      </c>
      <c r="F1914" s="1" t="s">
        <v>70</v>
      </c>
      <c r="G1914" s="1" t="s">
        <v>25</v>
      </c>
      <c r="H1914" s="1" t="s">
        <v>51</v>
      </c>
      <c r="I1914" s="7">
        <v>45153</v>
      </c>
      <c r="J1914" s="7">
        <v>45161</v>
      </c>
      <c r="K1914" s="1">
        <v>8</v>
      </c>
      <c r="L1914" s="1" t="s">
        <v>52</v>
      </c>
      <c r="M1914" s="1" t="s">
        <v>53</v>
      </c>
      <c r="N1914" s="1" t="s">
        <v>248</v>
      </c>
      <c r="O1914" s="1" t="s">
        <v>30</v>
      </c>
      <c r="P1914" s="29">
        <v>88407.16</v>
      </c>
      <c r="Q1914" s="1" t="s">
        <v>484</v>
      </c>
      <c r="R1914" s="1">
        <v>12</v>
      </c>
      <c r="S1914" s="1">
        <v>189</v>
      </c>
      <c r="T1914" s="1">
        <v>28.4</v>
      </c>
      <c r="U1914" s="1" t="s">
        <v>44</v>
      </c>
      <c r="V1914" s="17" t="s">
        <v>33</v>
      </c>
    </row>
    <row r="1915" spans="1:22" ht="15" customHeight="1" x14ac:dyDescent="0.25">
      <c r="A1915" s="16" t="s">
        <v>3425</v>
      </c>
      <c r="B1915" s="3" t="s">
        <v>2054</v>
      </c>
      <c r="C1915">
        <v>73</v>
      </c>
      <c r="D1915" s="3" t="s">
        <v>82</v>
      </c>
      <c r="E1915" s="3" t="s">
        <v>23</v>
      </c>
      <c r="F1915" s="2" t="s">
        <v>155</v>
      </c>
      <c r="G1915" s="3" t="s">
        <v>50</v>
      </c>
      <c r="H1915" s="3" t="s">
        <v>26</v>
      </c>
      <c r="I1915" s="6">
        <v>43630</v>
      </c>
      <c r="J1915" s="8">
        <v>43637</v>
      </c>
      <c r="K1915" s="3">
        <v>7</v>
      </c>
      <c r="L1915" s="3" t="s">
        <v>102</v>
      </c>
      <c r="M1915" s="3" t="s">
        <v>28</v>
      </c>
      <c r="N1915" s="3" t="s">
        <v>54</v>
      </c>
      <c r="O1915" s="3" t="s">
        <v>42</v>
      </c>
      <c r="P1915" s="30">
        <v>46587.9</v>
      </c>
      <c r="Q1915" s="3" t="s">
        <v>552</v>
      </c>
      <c r="R1915" s="3">
        <v>8</v>
      </c>
      <c r="S1915" s="3">
        <v>362</v>
      </c>
      <c r="T1915" s="3">
        <v>16.100000000000001</v>
      </c>
      <c r="U1915" s="3" t="s">
        <v>44</v>
      </c>
      <c r="V1915" s="18" t="s">
        <v>45</v>
      </c>
    </row>
    <row r="1916" spans="1:22" ht="15" customHeight="1" x14ac:dyDescent="0.25">
      <c r="A1916" s="15" t="s">
        <v>3426</v>
      </c>
      <c r="B1916" s="1" t="s">
        <v>3427</v>
      </c>
      <c r="C1916">
        <v>51</v>
      </c>
      <c r="D1916" s="1" t="s">
        <v>98</v>
      </c>
      <c r="E1916" s="1" t="s">
        <v>23</v>
      </c>
      <c r="F1916" s="1" t="s">
        <v>155</v>
      </c>
      <c r="G1916" s="1" t="s">
        <v>71</v>
      </c>
      <c r="H1916" s="1" t="s">
        <v>51</v>
      </c>
      <c r="I1916" s="7">
        <v>44967</v>
      </c>
      <c r="J1916" s="7">
        <v>45232</v>
      </c>
      <c r="K1916" s="1">
        <v>1</v>
      </c>
      <c r="L1916" s="1" t="s">
        <v>112</v>
      </c>
      <c r="M1916" s="1" t="s">
        <v>40</v>
      </c>
      <c r="N1916" s="1" t="s">
        <v>312</v>
      </c>
      <c r="O1916" s="1" t="s">
        <v>55</v>
      </c>
      <c r="P1916" s="29">
        <v>13988.89</v>
      </c>
      <c r="Q1916" s="1" t="s">
        <v>178</v>
      </c>
      <c r="R1916" s="1">
        <v>1</v>
      </c>
      <c r="S1916" s="1">
        <v>124</v>
      </c>
      <c r="T1916" s="1">
        <v>35.4</v>
      </c>
      <c r="U1916" s="1" t="s">
        <v>32</v>
      </c>
      <c r="V1916" s="17" t="s">
        <v>33</v>
      </c>
    </row>
    <row r="1917" spans="1:22" ht="15" customHeight="1" x14ac:dyDescent="0.25">
      <c r="A1917" s="16" t="s">
        <v>3428</v>
      </c>
      <c r="B1917" s="3" t="s">
        <v>3429</v>
      </c>
      <c r="C1917">
        <v>2</v>
      </c>
      <c r="D1917" s="3" t="s">
        <v>22</v>
      </c>
      <c r="E1917" s="3" t="s">
        <v>48</v>
      </c>
      <c r="F1917" s="3" t="s">
        <v>70</v>
      </c>
      <c r="G1917" s="3" t="s">
        <v>25</v>
      </c>
      <c r="H1917" s="3" t="s">
        <v>51</v>
      </c>
      <c r="I1917" s="8">
        <v>44853</v>
      </c>
      <c r="J1917" s="8">
        <v>44865</v>
      </c>
      <c r="K1917" s="3">
        <v>12</v>
      </c>
      <c r="L1917" s="3" t="s">
        <v>231</v>
      </c>
      <c r="M1917" s="3" t="s">
        <v>53</v>
      </c>
      <c r="N1917" s="3" t="s">
        <v>248</v>
      </c>
      <c r="O1917" s="3" t="s">
        <v>30</v>
      </c>
      <c r="P1917" s="30">
        <v>15680.73</v>
      </c>
      <c r="Q1917" s="3" t="s">
        <v>706</v>
      </c>
      <c r="R1917" s="3">
        <v>12</v>
      </c>
      <c r="S1917" s="3">
        <v>187</v>
      </c>
      <c r="T1917" s="3">
        <v>29.2</v>
      </c>
      <c r="U1917" s="3" t="s">
        <v>44</v>
      </c>
      <c r="V1917" s="18" t="s">
        <v>33</v>
      </c>
    </row>
    <row r="1918" spans="1:22" ht="15" customHeight="1" x14ac:dyDescent="0.25">
      <c r="A1918" s="15" t="s">
        <v>3430</v>
      </c>
      <c r="B1918" s="1" t="s">
        <v>2161</v>
      </c>
      <c r="C1918">
        <v>61</v>
      </c>
      <c r="D1918" s="1" t="s">
        <v>59</v>
      </c>
      <c r="E1918" s="1" t="s">
        <v>23</v>
      </c>
      <c r="F1918" s="1" t="s">
        <v>24</v>
      </c>
      <c r="G1918" s="1" t="s">
        <v>163</v>
      </c>
      <c r="H1918" s="1" t="s">
        <v>51</v>
      </c>
      <c r="I1918" s="7">
        <v>44582</v>
      </c>
      <c r="J1918" s="7">
        <v>44583</v>
      </c>
      <c r="K1918" s="1">
        <v>1</v>
      </c>
      <c r="L1918" s="1" t="s">
        <v>89</v>
      </c>
      <c r="M1918" s="1" t="s">
        <v>90</v>
      </c>
      <c r="N1918" s="1" t="s">
        <v>346</v>
      </c>
      <c r="O1918" s="1" t="s">
        <v>66</v>
      </c>
      <c r="P1918" s="29">
        <v>37014.18</v>
      </c>
      <c r="Q1918" s="1" t="s">
        <v>165</v>
      </c>
      <c r="R1918" s="1">
        <v>4</v>
      </c>
      <c r="S1918" s="1">
        <v>176</v>
      </c>
      <c r="T1918" s="1">
        <v>34.6</v>
      </c>
      <c r="U1918" s="1" t="s">
        <v>32</v>
      </c>
      <c r="V1918" s="17" t="s">
        <v>45</v>
      </c>
    </row>
    <row r="1919" spans="1:22" ht="15" customHeight="1" x14ac:dyDescent="0.25">
      <c r="A1919" s="16" t="s">
        <v>3431</v>
      </c>
      <c r="B1919" s="3" t="s">
        <v>3432</v>
      </c>
      <c r="C1919">
        <v>38</v>
      </c>
      <c r="D1919" s="3" t="s">
        <v>98</v>
      </c>
      <c r="E1919" s="3" t="s">
        <v>23</v>
      </c>
      <c r="F1919" s="3" t="s">
        <v>76</v>
      </c>
      <c r="G1919" s="3" t="s">
        <v>131</v>
      </c>
      <c r="H1919" s="3" t="s">
        <v>26</v>
      </c>
      <c r="I1919" s="6">
        <v>44099</v>
      </c>
      <c r="J1919" s="8">
        <v>44103</v>
      </c>
      <c r="K1919" s="3">
        <v>4</v>
      </c>
      <c r="L1919" s="3" t="s">
        <v>231</v>
      </c>
      <c r="M1919" s="3" t="s">
        <v>53</v>
      </c>
      <c r="N1919" s="3" t="s">
        <v>147</v>
      </c>
      <c r="O1919" s="3" t="s">
        <v>66</v>
      </c>
      <c r="P1919" s="30">
        <v>42192.51</v>
      </c>
      <c r="Q1919" s="3" t="s">
        <v>158</v>
      </c>
      <c r="R1919" s="3">
        <v>7</v>
      </c>
      <c r="S1919" s="3">
        <v>391</v>
      </c>
      <c r="T1919" s="3">
        <v>34</v>
      </c>
      <c r="U1919" s="3" t="s">
        <v>32</v>
      </c>
      <c r="V1919" s="18" t="s">
        <v>33</v>
      </c>
    </row>
    <row r="1920" spans="1:22" ht="15" customHeight="1" x14ac:dyDescent="0.25">
      <c r="A1920" s="15" t="s">
        <v>3433</v>
      </c>
      <c r="B1920" s="1" t="s">
        <v>3434</v>
      </c>
      <c r="C1920">
        <v>28</v>
      </c>
      <c r="D1920" s="1" t="s">
        <v>47</v>
      </c>
      <c r="E1920" s="1" t="s">
        <v>48</v>
      </c>
      <c r="F1920" s="1" t="s">
        <v>99</v>
      </c>
      <c r="G1920" s="1" t="s">
        <v>38</v>
      </c>
      <c r="H1920" s="1" t="s">
        <v>26</v>
      </c>
      <c r="I1920" s="7">
        <v>43565</v>
      </c>
      <c r="J1920" s="7">
        <v>43748</v>
      </c>
      <c r="K1920" s="1">
        <v>6</v>
      </c>
      <c r="L1920" s="1" t="s">
        <v>89</v>
      </c>
      <c r="M1920" s="1" t="s">
        <v>90</v>
      </c>
      <c r="N1920" s="1" t="s">
        <v>203</v>
      </c>
      <c r="O1920" s="1" t="s">
        <v>42</v>
      </c>
      <c r="P1920" s="29">
        <v>16687.25</v>
      </c>
      <c r="Q1920" s="1" t="s">
        <v>437</v>
      </c>
      <c r="R1920" s="1">
        <v>8</v>
      </c>
      <c r="S1920" s="1">
        <v>417</v>
      </c>
      <c r="T1920" s="1">
        <v>24.5</v>
      </c>
      <c r="U1920" s="1" t="s">
        <v>32</v>
      </c>
      <c r="V1920" s="17" t="s">
        <v>33</v>
      </c>
    </row>
    <row r="1921" spans="1:22" ht="15" customHeight="1" x14ac:dyDescent="0.25">
      <c r="A1921" s="16" t="s">
        <v>3435</v>
      </c>
      <c r="B1921" s="3" t="s">
        <v>584</v>
      </c>
      <c r="C1921">
        <v>19</v>
      </c>
      <c r="D1921" s="3" t="s">
        <v>47</v>
      </c>
      <c r="E1921" s="3" t="s">
        <v>23</v>
      </c>
      <c r="F1921" s="3" t="s">
        <v>37</v>
      </c>
      <c r="G1921" s="3" t="s">
        <v>60</v>
      </c>
      <c r="H1921" s="3" t="s">
        <v>78</v>
      </c>
      <c r="I1921" s="8">
        <v>45025</v>
      </c>
      <c r="J1921" s="8">
        <v>45032</v>
      </c>
      <c r="K1921" s="3">
        <v>7</v>
      </c>
      <c r="L1921" s="3" t="s">
        <v>89</v>
      </c>
      <c r="M1921" s="3" t="s">
        <v>90</v>
      </c>
      <c r="N1921" s="3" t="s">
        <v>210</v>
      </c>
      <c r="O1921" s="3" t="s">
        <v>30</v>
      </c>
      <c r="P1921" s="30">
        <v>22862.720000000001</v>
      </c>
      <c r="Q1921" s="3" t="s">
        <v>170</v>
      </c>
      <c r="R1921" s="3">
        <v>5</v>
      </c>
      <c r="S1921" s="3">
        <v>231</v>
      </c>
      <c r="T1921" s="3">
        <v>36.5</v>
      </c>
      <c r="U1921" s="3" t="s">
        <v>32</v>
      </c>
      <c r="V1921" s="18" t="s">
        <v>33</v>
      </c>
    </row>
    <row r="1922" spans="1:22" ht="15" customHeight="1" x14ac:dyDescent="0.25">
      <c r="A1922" s="15" t="s">
        <v>3436</v>
      </c>
      <c r="B1922" s="1" t="s">
        <v>3437</v>
      </c>
      <c r="C1922">
        <v>59</v>
      </c>
      <c r="D1922" s="1" t="s">
        <v>59</v>
      </c>
      <c r="E1922" s="1" t="s">
        <v>23</v>
      </c>
      <c r="F1922" s="1" t="s">
        <v>49</v>
      </c>
      <c r="G1922" s="1" t="s">
        <v>77</v>
      </c>
      <c r="H1922" s="1" t="s">
        <v>78</v>
      </c>
      <c r="I1922" s="7">
        <v>44947</v>
      </c>
      <c r="J1922" s="7">
        <v>44955</v>
      </c>
      <c r="K1922" s="1">
        <v>8</v>
      </c>
      <c r="L1922" s="1" t="s">
        <v>27</v>
      </c>
      <c r="M1922" s="1" t="s">
        <v>28</v>
      </c>
      <c r="N1922" s="1" t="s">
        <v>79</v>
      </c>
      <c r="O1922" s="1" t="s">
        <v>104</v>
      </c>
      <c r="P1922" s="29">
        <v>44306.82</v>
      </c>
      <c r="Q1922" s="1" t="s">
        <v>223</v>
      </c>
      <c r="R1922" s="1">
        <v>7</v>
      </c>
      <c r="S1922" s="1">
        <v>301</v>
      </c>
      <c r="T1922" s="1">
        <v>40.799999999999997</v>
      </c>
      <c r="U1922" s="1" t="s">
        <v>86</v>
      </c>
      <c r="V1922" s="17" t="s">
        <v>45</v>
      </c>
    </row>
    <row r="1923" spans="1:22" ht="15" customHeight="1" x14ac:dyDescent="0.25">
      <c r="A1923" s="16" t="s">
        <v>3438</v>
      </c>
      <c r="B1923" s="3" t="s">
        <v>3439</v>
      </c>
      <c r="C1923">
        <v>52</v>
      </c>
      <c r="D1923" s="3" t="s">
        <v>98</v>
      </c>
      <c r="E1923" s="3" t="s">
        <v>23</v>
      </c>
      <c r="F1923" s="3" t="s">
        <v>99</v>
      </c>
      <c r="G1923" s="3" t="s">
        <v>77</v>
      </c>
      <c r="H1923" s="3" t="s">
        <v>51</v>
      </c>
      <c r="I1923" s="8">
        <v>43600</v>
      </c>
      <c r="J1923" s="8">
        <v>43608</v>
      </c>
      <c r="K1923" s="3">
        <v>8</v>
      </c>
      <c r="L1923" s="3" t="s">
        <v>122</v>
      </c>
      <c r="M1923" s="3" t="s">
        <v>40</v>
      </c>
      <c r="N1923" s="3" t="s">
        <v>79</v>
      </c>
      <c r="O1923" s="3" t="s">
        <v>66</v>
      </c>
      <c r="P1923" s="30">
        <v>27699.94</v>
      </c>
      <c r="Q1923" s="3" t="s">
        <v>181</v>
      </c>
      <c r="R1923" s="3">
        <v>7</v>
      </c>
      <c r="S1923" s="3">
        <v>110</v>
      </c>
      <c r="T1923" s="4"/>
      <c r="U1923" s="3" t="s">
        <v>44</v>
      </c>
      <c r="V1923" s="18" t="s">
        <v>33</v>
      </c>
    </row>
    <row r="1924" spans="1:22" ht="15" customHeight="1" x14ac:dyDescent="0.25">
      <c r="A1924" s="15" t="s">
        <v>3440</v>
      </c>
      <c r="B1924" s="1" t="s">
        <v>2101</v>
      </c>
      <c r="C1924">
        <v>48</v>
      </c>
      <c r="D1924" s="1" t="s">
        <v>98</v>
      </c>
      <c r="E1924" s="1" t="s">
        <v>48</v>
      </c>
      <c r="F1924" s="1" t="s">
        <v>70</v>
      </c>
      <c r="G1924" s="1" t="s">
        <v>417</v>
      </c>
      <c r="H1924" s="1" t="s">
        <v>78</v>
      </c>
      <c r="I1924" s="7">
        <v>45521</v>
      </c>
      <c r="J1924" s="7">
        <v>45526</v>
      </c>
      <c r="K1924" s="1">
        <v>5</v>
      </c>
      <c r="L1924" s="1" t="s">
        <v>39</v>
      </c>
      <c r="M1924" s="1" t="s">
        <v>40</v>
      </c>
      <c r="N1924" s="1" t="s">
        <v>203</v>
      </c>
      <c r="O1924" s="1" t="s">
        <v>30</v>
      </c>
      <c r="P1924" s="29">
        <v>8183.57</v>
      </c>
      <c r="Q1924" s="1" t="s">
        <v>305</v>
      </c>
      <c r="R1924" s="1">
        <v>5</v>
      </c>
      <c r="S1924" s="1">
        <v>410</v>
      </c>
      <c r="T1924" s="1">
        <v>25.2</v>
      </c>
      <c r="U1924" s="1" t="s">
        <v>44</v>
      </c>
      <c r="V1924" s="17" t="s">
        <v>33</v>
      </c>
    </row>
    <row r="1925" spans="1:22" ht="15" customHeight="1" x14ac:dyDescent="0.25">
      <c r="A1925" s="16" t="s">
        <v>3441</v>
      </c>
      <c r="B1925" s="3" t="s">
        <v>3442</v>
      </c>
      <c r="C1925">
        <v>68</v>
      </c>
      <c r="D1925" s="3" t="s">
        <v>82</v>
      </c>
      <c r="E1925" s="3" t="s">
        <v>48</v>
      </c>
      <c r="F1925" s="3" t="s">
        <v>49</v>
      </c>
      <c r="G1925" s="3" t="s">
        <v>131</v>
      </c>
      <c r="H1925" s="3" t="s">
        <v>78</v>
      </c>
      <c r="I1925" s="6">
        <v>45383</v>
      </c>
      <c r="J1925" s="8">
        <v>45298</v>
      </c>
      <c r="K1925" s="3">
        <v>3</v>
      </c>
      <c r="L1925" s="3" t="s">
        <v>112</v>
      </c>
      <c r="M1925" s="3" t="s">
        <v>40</v>
      </c>
      <c r="N1925" s="3" t="s">
        <v>157</v>
      </c>
      <c r="O1925" s="3" t="s">
        <v>66</v>
      </c>
      <c r="P1925" s="30">
        <v>24696.66</v>
      </c>
      <c r="Q1925" s="3" t="s">
        <v>266</v>
      </c>
      <c r="R1925" s="3">
        <v>5</v>
      </c>
      <c r="S1925" s="3">
        <v>254</v>
      </c>
      <c r="T1925" s="3">
        <v>32.6</v>
      </c>
      <c r="U1925" s="3" t="s">
        <v>44</v>
      </c>
      <c r="V1925" s="18" t="s">
        <v>33</v>
      </c>
    </row>
    <row r="1926" spans="1:22" ht="15" customHeight="1" x14ac:dyDescent="0.25">
      <c r="A1926" s="15" t="s">
        <v>3443</v>
      </c>
      <c r="B1926" s="1" t="s">
        <v>21</v>
      </c>
      <c r="C1926">
        <v>64</v>
      </c>
      <c r="D1926" s="1" t="s">
        <v>59</v>
      </c>
      <c r="E1926" s="1" t="s">
        <v>23</v>
      </c>
      <c r="F1926" s="1" t="s">
        <v>83</v>
      </c>
      <c r="G1926" s="1" t="s">
        <v>77</v>
      </c>
      <c r="H1926" s="1" t="s">
        <v>26</v>
      </c>
      <c r="I1926" s="7">
        <v>44359</v>
      </c>
      <c r="J1926" s="7">
        <v>44366</v>
      </c>
      <c r="K1926" s="1">
        <v>7</v>
      </c>
      <c r="L1926" s="1" t="s">
        <v>231</v>
      </c>
      <c r="M1926" s="1" t="s">
        <v>53</v>
      </c>
      <c r="N1926" s="1" t="s">
        <v>94</v>
      </c>
      <c r="O1926" s="1" t="s">
        <v>42</v>
      </c>
      <c r="P1926" s="29">
        <v>127848.21</v>
      </c>
      <c r="Q1926" s="1" t="s">
        <v>95</v>
      </c>
      <c r="R1926" s="1">
        <v>10</v>
      </c>
      <c r="S1926" s="1">
        <v>302</v>
      </c>
      <c r="T1926" s="1">
        <v>25.1</v>
      </c>
      <c r="U1926" s="1" t="s">
        <v>44</v>
      </c>
      <c r="V1926" s="17" t="s">
        <v>33</v>
      </c>
    </row>
    <row r="1927" spans="1:22" ht="15" customHeight="1" x14ac:dyDescent="0.25">
      <c r="A1927" s="16" t="s">
        <v>3444</v>
      </c>
      <c r="B1927" s="3" t="s">
        <v>2095</v>
      </c>
      <c r="C1927">
        <v>84</v>
      </c>
      <c r="D1927" s="3" t="s">
        <v>36</v>
      </c>
      <c r="E1927" s="3" t="s">
        <v>23</v>
      </c>
      <c r="F1927" s="2" t="s">
        <v>155</v>
      </c>
      <c r="G1927" s="3" t="s">
        <v>25</v>
      </c>
      <c r="H1927" s="3" t="s">
        <v>51</v>
      </c>
      <c r="I1927" s="8">
        <v>44322</v>
      </c>
      <c r="J1927" s="8">
        <v>44329</v>
      </c>
      <c r="K1927" s="3">
        <v>7</v>
      </c>
      <c r="L1927" s="3" t="s">
        <v>185</v>
      </c>
      <c r="M1927" s="3" t="s">
        <v>186</v>
      </c>
      <c r="N1927" s="3" t="s">
        <v>248</v>
      </c>
      <c r="O1927" s="3" t="s">
        <v>66</v>
      </c>
      <c r="P1927" s="30">
        <v>81239.58</v>
      </c>
      <c r="Q1927" s="3" t="s">
        <v>198</v>
      </c>
      <c r="R1927" s="3">
        <v>11</v>
      </c>
      <c r="S1927" s="3">
        <v>121</v>
      </c>
      <c r="T1927" s="3">
        <v>21.5</v>
      </c>
      <c r="U1927" s="3" t="s">
        <v>44</v>
      </c>
      <c r="V1927" s="18" t="s">
        <v>33</v>
      </c>
    </row>
    <row r="1928" spans="1:22" ht="15" customHeight="1" x14ac:dyDescent="0.25">
      <c r="A1928" s="15" t="s">
        <v>3445</v>
      </c>
      <c r="B1928" s="1" t="s">
        <v>1789</v>
      </c>
      <c r="C1928">
        <v>31</v>
      </c>
      <c r="D1928" s="1" t="s">
        <v>47</v>
      </c>
      <c r="E1928" s="1" t="s">
        <v>48</v>
      </c>
      <c r="F1928" s="1" t="s">
        <v>37</v>
      </c>
      <c r="G1928" s="1" t="s">
        <v>71</v>
      </c>
      <c r="H1928" s="1" t="s">
        <v>26</v>
      </c>
      <c r="I1928" s="7">
        <v>45011</v>
      </c>
      <c r="J1928" s="7">
        <v>45016</v>
      </c>
      <c r="K1928" s="1">
        <v>5</v>
      </c>
      <c r="L1928" s="1" t="s">
        <v>52</v>
      </c>
      <c r="M1928" s="1" t="s">
        <v>53</v>
      </c>
      <c r="N1928" s="1" t="s">
        <v>177</v>
      </c>
      <c r="O1928" s="1" t="s">
        <v>30</v>
      </c>
      <c r="P1928" s="29">
        <v>10024.870000000001</v>
      </c>
      <c r="Q1928" s="1" t="s">
        <v>503</v>
      </c>
      <c r="R1928" s="1">
        <v>5</v>
      </c>
      <c r="S1928" s="1">
        <v>417</v>
      </c>
      <c r="T1928" s="1">
        <v>20.8</v>
      </c>
      <c r="U1928" s="1" t="s">
        <v>32</v>
      </c>
      <c r="V1928" s="17" t="s">
        <v>33</v>
      </c>
    </row>
    <row r="1929" spans="1:22" ht="15" customHeight="1" x14ac:dyDescent="0.25">
      <c r="A1929" s="16" t="s">
        <v>3446</v>
      </c>
      <c r="B1929" s="3" t="s">
        <v>1365</v>
      </c>
      <c r="C1929">
        <v>28</v>
      </c>
      <c r="D1929" s="3" t="s">
        <v>47</v>
      </c>
      <c r="E1929" s="3" t="s">
        <v>23</v>
      </c>
      <c r="F1929" s="3" t="s">
        <v>49</v>
      </c>
      <c r="G1929" s="3" t="s">
        <v>131</v>
      </c>
      <c r="H1929" s="3" t="s">
        <v>51</v>
      </c>
      <c r="I1929" s="6">
        <v>45153</v>
      </c>
      <c r="J1929" s="8">
        <v>45158</v>
      </c>
      <c r="K1929" s="3">
        <v>5</v>
      </c>
      <c r="L1929" s="3" t="s">
        <v>122</v>
      </c>
      <c r="M1929" s="3" t="s">
        <v>40</v>
      </c>
      <c r="N1929" s="3" t="s">
        <v>157</v>
      </c>
      <c r="O1929" s="3" t="s">
        <v>30</v>
      </c>
      <c r="P1929" s="30">
        <v>7623</v>
      </c>
      <c r="Q1929" s="3" t="s">
        <v>148</v>
      </c>
      <c r="R1929" s="3">
        <v>5</v>
      </c>
      <c r="S1929" s="3">
        <v>122</v>
      </c>
      <c r="T1929" s="3">
        <v>22.2</v>
      </c>
      <c r="U1929" s="3" t="s">
        <v>86</v>
      </c>
      <c r="V1929" s="18" t="s">
        <v>33</v>
      </c>
    </row>
    <row r="1930" spans="1:22" ht="15" customHeight="1" x14ac:dyDescent="0.25">
      <c r="A1930" s="15" t="s">
        <v>3447</v>
      </c>
      <c r="B1930" s="1" t="s">
        <v>3448</v>
      </c>
      <c r="C1930">
        <v>76</v>
      </c>
      <c r="D1930" s="1" t="s">
        <v>36</v>
      </c>
      <c r="E1930" s="1" t="s">
        <v>48</v>
      </c>
      <c r="F1930" s="1" t="s">
        <v>70</v>
      </c>
      <c r="G1930" s="1" t="s">
        <v>77</v>
      </c>
      <c r="H1930" s="1" t="s">
        <v>26</v>
      </c>
      <c r="I1930" s="6">
        <v>45383</v>
      </c>
      <c r="J1930" s="7">
        <v>45396</v>
      </c>
      <c r="K1930" s="1">
        <v>13</v>
      </c>
      <c r="L1930" s="1" t="s">
        <v>52</v>
      </c>
      <c r="M1930" s="1" t="s">
        <v>53</v>
      </c>
      <c r="N1930" s="1" t="s">
        <v>79</v>
      </c>
      <c r="O1930" s="1" t="s">
        <v>30</v>
      </c>
      <c r="P1930" s="29">
        <v>79836</v>
      </c>
      <c r="Q1930" s="1" t="s">
        <v>95</v>
      </c>
      <c r="R1930" s="1">
        <v>7</v>
      </c>
      <c r="S1930" s="1">
        <v>360</v>
      </c>
      <c r="T1930" s="1">
        <v>39.9</v>
      </c>
      <c r="U1930" s="1" t="s">
        <v>86</v>
      </c>
      <c r="V1930" s="17" t="s">
        <v>45</v>
      </c>
    </row>
    <row r="1931" spans="1:22" ht="15" customHeight="1" x14ac:dyDescent="0.25">
      <c r="A1931" s="16" t="s">
        <v>3449</v>
      </c>
      <c r="B1931" s="3" t="s">
        <v>2413</v>
      </c>
      <c r="C1931">
        <v>36</v>
      </c>
      <c r="D1931" s="3" t="s">
        <v>98</v>
      </c>
      <c r="E1931" s="3" t="s">
        <v>23</v>
      </c>
      <c r="F1931" s="3" t="s">
        <v>24</v>
      </c>
      <c r="G1931" s="3" t="s">
        <v>131</v>
      </c>
      <c r="H1931" s="3" t="s">
        <v>78</v>
      </c>
      <c r="I1931" s="6">
        <v>44408</v>
      </c>
      <c r="J1931" s="8">
        <v>44294</v>
      </c>
      <c r="K1931" s="3">
        <v>4</v>
      </c>
      <c r="L1931" s="3" t="s">
        <v>102</v>
      </c>
      <c r="M1931" s="3" t="s">
        <v>28</v>
      </c>
      <c r="N1931" s="3" t="s">
        <v>133</v>
      </c>
      <c r="O1931" s="3" t="s">
        <v>55</v>
      </c>
      <c r="P1931" s="30">
        <v>14845.75</v>
      </c>
      <c r="Q1931" s="3" t="s">
        <v>152</v>
      </c>
      <c r="R1931" s="3">
        <v>6</v>
      </c>
      <c r="S1931" s="3">
        <v>115</v>
      </c>
      <c r="T1931" s="3">
        <v>30.5</v>
      </c>
      <c r="U1931" s="3" t="s">
        <v>32</v>
      </c>
      <c r="V1931" s="18" t="s">
        <v>33</v>
      </c>
    </row>
    <row r="1932" spans="1:22" ht="15" customHeight="1" x14ac:dyDescent="0.25">
      <c r="A1932" s="15" t="s">
        <v>3450</v>
      </c>
      <c r="B1932" s="1" t="s">
        <v>3451</v>
      </c>
      <c r="C1932">
        <v>67</v>
      </c>
      <c r="D1932" s="1" t="s">
        <v>82</v>
      </c>
      <c r="E1932" s="1" t="s">
        <v>48</v>
      </c>
      <c r="F1932" s="1" t="s">
        <v>99</v>
      </c>
      <c r="G1932" s="1" t="s">
        <v>25</v>
      </c>
      <c r="H1932" s="1" t="s">
        <v>26</v>
      </c>
      <c r="I1932" s="6">
        <v>44244</v>
      </c>
      <c r="J1932" s="7">
        <v>44254</v>
      </c>
      <c r="K1932" s="1">
        <v>10</v>
      </c>
      <c r="L1932" s="1" t="s">
        <v>102</v>
      </c>
      <c r="M1932" s="1" t="s">
        <v>28</v>
      </c>
      <c r="N1932" s="1" t="s">
        <v>29</v>
      </c>
      <c r="O1932" s="1" t="s">
        <v>30</v>
      </c>
      <c r="P1932" s="29">
        <v>74440.45</v>
      </c>
      <c r="Q1932" s="1" t="s">
        <v>105</v>
      </c>
      <c r="R1932" s="1">
        <v>11</v>
      </c>
      <c r="S1932" s="1">
        <v>300</v>
      </c>
      <c r="T1932" s="1">
        <v>14</v>
      </c>
      <c r="U1932" s="1" t="s">
        <v>44</v>
      </c>
      <c r="V1932" s="17" t="s">
        <v>33</v>
      </c>
    </row>
    <row r="1933" spans="1:22" ht="15" customHeight="1" x14ac:dyDescent="0.25">
      <c r="A1933" s="16" t="s">
        <v>3452</v>
      </c>
      <c r="B1933" s="3" t="s">
        <v>3453</v>
      </c>
      <c r="C1933">
        <v>36</v>
      </c>
      <c r="D1933" s="3" t="s">
        <v>98</v>
      </c>
      <c r="E1933" s="3" t="s">
        <v>23</v>
      </c>
      <c r="F1933" s="3" t="s">
        <v>70</v>
      </c>
      <c r="G1933" s="3" t="s">
        <v>77</v>
      </c>
      <c r="H1933" s="3" t="s">
        <v>78</v>
      </c>
      <c r="I1933" s="8">
        <v>43612</v>
      </c>
      <c r="J1933" s="8">
        <v>43619</v>
      </c>
      <c r="K1933" s="3">
        <v>7</v>
      </c>
      <c r="L1933" s="3" t="s">
        <v>132</v>
      </c>
      <c r="M1933" s="3" t="s">
        <v>53</v>
      </c>
      <c r="N1933" s="3" t="s">
        <v>94</v>
      </c>
      <c r="O1933" s="3" t="s">
        <v>42</v>
      </c>
      <c r="P1933" s="30">
        <v>104972.05</v>
      </c>
      <c r="Q1933" s="3" t="s">
        <v>109</v>
      </c>
      <c r="R1933" s="3">
        <v>10</v>
      </c>
      <c r="S1933" s="3">
        <v>255</v>
      </c>
      <c r="T1933" s="3">
        <v>23.8</v>
      </c>
      <c r="U1933" s="3" t="s">
        <v>44</v>
      </c>
      <c r="V1933" s="18" t="s">
        <v>33</v>
      </c>
    </row>
    <row r="1934" spans="1:22" ht="15" customHeight="1" x14ac:dyDescent="0.25">
      <c r="A1934" s="15" t="s">
        <v>3454</v>
      </c>
      <c r="B1934" s="1" t="s">
        <v>605</v>
      </c>
      <c r="C1934">
        <v>58</v>
      </c>
      <c r="D1934" s="1" t="s">
        <v>59</v>
      </c>
      <c r="E1934" s="1" t="s">
        <v>23</v>
      </c>
      <c r="F1934" s="1" t="s">
        <v>99</v>
      </c>
      <c r="G1934" s="1" t="s">
        <v>60</v>
      </c>
      <c r="H1934" s="1" t="s">
        <v>51</v>
      </c>
      <c r="I1934" s="6">
        <v>44214</v>
      </c>
      <c r="J1934" s="7">
        <v>44217</v>
      </c>
      <c r="K1934" s="1">
        <v>3</v>
      </c>
      <c r="L1934" s="1" t="s">
        <v>102</v>
      </c>
      <c r="M1934" s="1" t="s">
        <v>28</v>
      </c>
      <c r="N1934" s="1" t="s">
        <v>61</v>
      </c>
      <c r="O1934" s="1" t="s">
        <v>66</v>
      </c>
      <c r="P1934" s="29">
        <v>28902</v>
      </c>
      <c r="Q1934" s="1" t="s">
        <v>511</v>
      </c>
      <c r="R1934" s="1">
        <v>6</v>
      </c>
      <c r="S1934" s="1">
        <v>108</v>
      </c>
      <c r="T1934" s="1">
        <v>29</v>
      </c>
      <c r="U1934" s="1" t="s">
        <v>32</v>
      </c>
      <c r="V1934" s="17" t="s">
        <v>33</v>
      </c>
    </row>
    <row r="1935" spans="1:22" ht="15" customHeight="1" x14ac:dyDescent="0.25">
      <c r="A1935" s="16" t="s">
        <v>3455</v>
      </c>
      <c r="B1935" s="3" t="s">
        <v>3456</v>
      </c>
      <c r="C1935">
        <v>88</v>
      </c>
      <c r="D1935" s="3" t="s">
        <v>36</v>
      </c>
      <c r="E1935" s="3" t="s">
        <v>48</v>
      </c>
      <c r="F1935" s="3" t="s">
        <v>37</v>
      </c>
      <c r="G1935" s="3" t="s">
        <v>25</v>
      </c>
      <c r="H1935" s="3" t="s">
        <v>51</v>
      </c>
      <c r="I1935" s="8">
        <v>44159</v>
      </c>
      <c r="J1935" s="8">
        <v>43963</v>
      </c>
      <c r="K1935" s="3">
        <v>11</v>
      </c>
      <c r="L1935" s="3" t="s">
        <v>132</v>
      </c>
      <c r="M1935" s="3" t="s">
        <v>53</v>
      </c>
      <c r="N1935" s="3" t="s">
        <v>248</v>
      </c>
      <c r="O1935" s="3" t="s">
        <v>55</v>
      </c>
      <c r="P1935" s="30">
        <v>107847</v>
      </c>
      <c r="Q1935" s="3" t="s">
        <v>198</v>
      </c>
      <c r="R1935" s="3">
        <v>12</v>
      </c>
      <c r="S1935" s="3">
        <v>174</v>
      </c>
      <c r="T1935" s="3">
        <v>19.899999999999999</v>
      </c>
      <c r="U1935" s="3" t="s">
        <v>32</v>
      </c>
      <c r="V1935" s="18" t="s">
        <v>33</v>
      </c>
    </row>
    <row r="1936" spans="1:22" ht="15" customHeight="1" x14ac:dyDescent="0.25">
      <c r="A1936" s="15" t="s">
        <v>3457</v>
      </c>
      <c r="B1936" s="1" t="s">
        <v>247</v>
      </c>
      <c r="C1936">
        <v>55</v>
      </c>
      <c r="D1936" s="1" t="s">
        <v>59</v>
      </c>
      <c r="E1936" s="1" t="s">
        <v>23</v>
      </c>
      <c r="F1936" s="2" t="s">
        <v>3714</v>
      </c>
      <c r="G1936" s="1" t="s">
        <v>163</v>
      </c>
      <c r="H1936" s="1" t="s">
        <v>51</v>
      </c>
      <c r="I1936" s="6">
        <v>43695</v>
      </c>
      <c r="J1936" s="7">
        <v>43698</v>
      </c>
      <c r="K1936" s="1">
        <v>3</v>
      </c>
      <c r="L1936" s="1" t="s">
        <v>89</v>
      </c>
      <c r="M1936" s="1" t="s">
        <v>90</v>
      </c>
      <c r="N1936" s="1" t="s">
        <v>213</v>
      </c>
      <c r="O1936" s="1" t="s">
        <v>30</v>
      </c>
      <c r="P1936" s="29">
        <v>29036.03</v>
      </c>
      <c r="Q1936" s="1" t="s">
        <v>165</v>
      </c>
      <c r="R1936" s="1">
        <v>5</v>
      </c>
      <c r="S1936" s="1">
        <v>189</v>
      </c>
      <c r="T1936" s="1">
        <v>32.1</v>
      </c>
      <c r="U1936" s="1" t="s">
        <v>44</v>
      </c>
      <c r="V1936" s="17" t="s">
        <v>33</v>
      </c>
    </row>
    <row r="1937" spans="1:22" ht="15" customHeight="1" x14ac:dyDescent="0.25">
      <c r="A1937" s="16" t="s">
        <v>3458</v>
      </c>
      <c r="B1937" s="3" t="s">
        <v>3459</v>
      </c>
      <c r="C1937">
        <v>56</v>
      </c>
      <c r="D1937" s="3" t="s">
        <v>59</v>
      </c>
      <c r="E1937" s="3" t="s">
        <v>23</v>
      </c>
      <c r="F1937" s="3" t="s">
        <v>76</v>
      </c>
      <c r="G1937" s="3" t="s">
        <v>77</v>
      </c>
      <c r="H1937" s="3" t="s">
        <v>51</v>
      </c>
      <c r="I1937" s="6">
        <v>45629</v>
      </c>
      <c r="J1937" s="8">
        <v>45369</v>
      </c>
      <c r="K1937" s="3">
        <v>6</v>
      </c>
      <c r="L1937" s="3" t="s">
        <v>231</v>
      </c>
      <c r="M1937" s="3" t="s">
        <v>53</v>
      </c>
      <c r="N1937" s="3" t="s">
        <v>84</v>
      </c>
      <c r="O1937" s="3" t="s">
        <v>55</v>
      </c>
      <c r="P1937" s="30">
        <v>61694.75</v>
      </c>
      <c r="Q1937" s="3" t="s">
        <v>80</v>
      </c>
      <c r="R1937" s="3">
        <v>10</v>
      </c>
      <c r="S1937" s="3">
        <v>174</v>
      </c>
      <c r="T1937" s="3">
        <v>25.9</v>
      </c>
      <c r="U1937" s="3" t="s">
        <v>44</v>
      </c>
      <c r="V1937" s="18" t="s">
        <v>33</v>
      </c>
    </row>
    <row r="1938" spans="1:22" ht="15" customHeight="1" x14ac:dyDescent="0.25">
      <c r="A1938" s="15" t="s">
        <v>3460</v>
      </c>
      <c r="B1938" s="1" t="s">
        <v>2827</v>
      </c>
      <c r="C1938">
        <v>65</v>
      </c>
      <c r="D1938" s="1" t="s">
        <v>82</v>
      </c>
      <c r="E1938" s="1" t="s">
        <v>23</v>
      </c>
      <c r="F1938" s="1" t="s">
        <v>76</v>
      </c>
      <c r="G1938" s="1" t="s">
        <v>50</v>
      </c>
      <c r="H1938" s="1" t="s">
        <v>78</v>
      </c>
      <c r="I1938" s="7">
        <v>44699</v>
      </c>
      <c r="J1938" s="7">
        <v>44707</v>
      </c>
      <c r="K1938" s="1">
        <v>8</v>
      </c>
      <c r="L1938" s="1" t="s">
        <v>102</v>
      </c>
      <c r="M1938" s="1" t="s">
        <v>28</v>
      </c>
      <c r="N1938" s="1" t="s">
        <v>116</v>
      </c>
      <c r="O1938" s="1" t="s">
        <v>30</v>
      </c>
      <c r="P1938" s="29">
        <v>62923</v>
      </c>
      <c r="Q1938" s="1" t="s">
        <v>351</v>
      </c>
      <c r="R1938" s="1">
        <v>9</v>
      </c>
      <c r="S1938" s="1">
        <v>248</v>
      </c>
      <c r="T1938" s="1">
        <v>25.9</v>
      </c>
      <c r="U1938" s="1" t="s">
        <v>86</v>
      </c>
      <c r="V1938" s="17" t="s">
        <v>33</v>
      </c>
    </row>
    <row r="1939" spans="1:22" ht="15" customHeight="1" x14ac:dyDescent="0.25">
      <c r="A1939" s="16" t="s">
        <v>3461</v>
      </c>
      <c r="B1939" s="3" t="s">
        <v>3462</v>
      </c>
      <c r="C1939">
        <v>46</v>
      </c>
      <c r="D1939" s="3" t="s">
        <v>98</v>
      </c>
      <c r="E1939" s="3" t="s">
        <v>48</v>
      </c>
      <c r="F1939" s="3" t="s">
        <v>155</v>
      </c>
      <c r="G1939" s="3" t="s">
        <v>71</v>
      </c>
      <c r="H1939" s="3" t="s">
        <v>51</v>
      </c>
      <c r="I1939" s="8">
        <v>44061</v>
      </c>
      <c r="J1939" s="8">
        <v>44064</v>
      </c>
      <c r="K1939" s="3">
        <v>3</v>
      </c>
      <c r="L1939" s="3" t="s">
        <v>112</v>
      </c>
      <c r="M1939" s="3" t="s">
        <v>40</v>
      </c>
      <c r="N1939" s="3" t="s">
        <v>72</v>
      </c>
      <c r="O1939" s="3" t="s">
        <v>30</v>
      </c>
      <c r="P1939" s="30">
        <v>6912.8</v>
      </c>
      <c r="Q1939" s="3" t="s">
        <v>178</v>
      </c>
      <c r="R1939" s="3">
        <v>2</v>
      </c>
      <c r="S1939" s="3">
        <v>165</v>
      </c>
      <c r="T1939" s="3">
        <v>33.4</v>
      </c>
      <c r="U1939" s="3" t="s">
        <v>86</v>
      </c>
      <c r="V1939" s="18" t="s">
        <v>45</v>
      </c>
    </row>
    <row r="1940" spans="1:22" ht="15" customHeight="1" x14ac:dyDescent="0.25">
      <c r="A1940" s="15" t="s">
        <v>3463</v>
      </c>
      <c r="B1940" s="1" t="s">
        <v>3464</v>
      </c>
      <c r="C1940">
        <v>64</v>
      </c>
      <c r="D1940" s="1" t="s">
        <v>59</v>
      </c>
      <c r="E1940" s="1" t="s">
        <v>48</v>
      </c>
      <c r="F1940" s="1" t="s">
        <v>37</v>
      </c>
      <c r="G1940" s="1" t="s">
        <v>50</v>
      </c>
      <c r="H1940" s="1" t="s">
        <v>26</v>
      </c>
      <c r="I1940" s="7">
        <v>43900</v>
      </c>
      <c r="J1940" s="7">
        <v>43905</v>
      </c>
      <c r="K1940" s="1">
        <v>5</v>
      </c>
      <c r="L1940" s="1" t="s">
        <v>39</v>
      </c>
      <c r="M1940" s="1" t="s">
        <v>40</v>
      </c>
      <c r="N1940" s="1" t="s">
        <v>54</v>
      </c>
      <c r="O1940" s="1" t="s">
        <v>66</v>
      </c>
      <c r="P1940" s="29">
        <v>157600.60999999999</v>
      </c>
      <c r="Q1940" s="1" t="s">
        <v>623</v>
      </c>
      <c r="R1940" s="1">
        <v>9</v>
      </c>
      <c r="S1940" s="1">
        <v>349</v>
      </c>
      <c r="T1940" s="1">
        <v>29.6</v>
      </c>
      <c r="U1940" s="1" t="s">
        <v>44</v>
      </c>
      <c r="V1940" s="17" t="s">
        <v>33</v>
      </c>
    </row>
    <row r="1941" spans="1:22" ht="15" customHeight="1" x14ac:dyDescent="0.25">
      <c r="A1941" s="16" t="s">
        <v>3465</v>
      </c>
      <c r="B1941" s="3" t="s">
        <v>3466</v>
      </c>
      <c r="C1941">
        <v>74</v>
      </c>
      <c r="D1941" s="3" t="s">
        <v>82</v>
      </c>
      <c r="E1941" s="3" t="s">
        <v>48</v>
      </c>
      <c r="F1941" s="3" t="s">
        <v>70</v>
      </c>
      <c r="G1941" s="3" t="s">
        <v>50</v>
      </c>
      <c r="H1941" s="3" t="s">
        <v>26</v>
      </c>
      <c r="I1941" s="8">
        <v>45410</v>
      </c>
      <c r="J1941" s="8">
        <v>45415</v>
      </c>
      <c r="K1941" s="3">
        <v>5</v>
      </c>
      <c r="L1941" s="3" t="s">
        <v>185</v>
      </c>
      <c r="M1941" s="3" t="s">
        <v>186</v>
      </c>
      <c r="N1941" s="3" t="s">
        <v>116</v>
      </c>
      <c r="O1941" s="3" t="s">
        <v>55</v>
      </c>
      <c r="P1941" s="30">
        <v>124028.92</v>
      </c>
      <c r="Q1941" s="3" t="s">
        <v>56</v>
      </c>
      <c r="R1941" s="3">
        <v>9</v>
      </c>
      <c r="S1941" s="3">
        <v>362</v>
      </c>
      <c r="T1941" s="3">
        <v>21.4</v>
      </c>
      <c r="U1941" s="3" t="s">
        <v>32</v>
      </c>
      <c r="V1941" s="18" t="s">
        <v>33</v>
      </c>
    </row>
    <row r="1942" spans="1:22" ht="15" customHeight="1" x14ac:dyDescent="0.25">
      <c r="A1942" s="15" t="s">
        <v>3467</v>
      </c>
      <c r="B1942" s="1" t="s">
        <v>3468</v>
      </c>
      <c r="C1942">
        <v>60</v>
      </c>
      <c r="D1942" s="1" t="s">
        <v>59</v>
      </c>
      <c r="E1942" s="1" t="s">
        <v>48</v>
      </c>
      <c r="F1942" s="1" t="s">
        <v>76</v>
      </c>
      <c r="G1942" s="1" t="s">
        <v>25</v>
      </c>
      <c r="H1942" s="1" t="s">
        <v>156</v>
      </c>
      <c r="I1942" s="7">
        <v>44031</v>
      </c>
      <c r="J1942" s="7">
        <v>44038</v>
      </c>
      <c r="K1942" s="1">
        <v>7</v>
      </c>
      <c r="L1942" s="1" t="s">
        <v>112</v>
      </c>
      <c r="M1942" s="1" t="s">
        <v>40</v>
      </c>
      <c r="N1942" s="1" t="s">
        <v>29</v>
      </c>
      <c r="O1942" s="1" t="s">
        <v>66</v>
      </c>
      <c r="P1942" s="29">
        <v>271786.5</v>
      </c>
      <c r="Q1942" s="1" t="s">
        <v>31</v>
      </c>
      <c r="R1942" s="1">
        <v>12</v>
      </c>
      <c r="S1942" s="1">
        <v>417</v>
      </c>
      <c r="T1942" s="1">
        <v>25.1</v>
      </c>
      <c r="U1942" s="1" t="s">
        <v>32</v>
      </c>
      <c r="V1942" s="17" t="s">
        <v>33</v>
      </c>
    </row>
    <row r="1943" spans="1:22" ht="15" customHeight="1" x14ac:dyDescent="0.25">
      <c r="A1943" s="16" t="s">
        <v>3469</v>
      </c>
      <c r="B1943" s="2" t="s">
        <v>3708</v>
      </c>
      <c r="C1943">
        <v>56</v>
      </c>
      <c r="D1943" s="3" t="s">
        <v>59</v>
      </c>
      <c r="E1943" s="3" t="s">
        <v>48</v>
      </c>
      <c r="F1943" s="3" t="s">
        <v>37</v>
      </c>
      <c r="G1943" s="3" t="s">
        <v>38</v>
      </c>
      <c r="H1943" s="3" t="s">
        <v>51</v>
      </c>
      <c r="I1943" s="6">
        <v>44049</v>
      </c>
      <c r="J1943" s="8">
        <v>44171</v>
      </c>
      <c r="K1943" s="3">
        <v>4</v>
      </c>
      <c r="L1943" s="3" t="s">
        <v>89</v>
      </c>
      <c r="M1943" s="3" t="s">
        <v>90</v>
      </c>
      <c r="N1943" s="3" t="s">
        <v>41</v>
      </c>
      <c r="O1943" s="3" t="s">
        <v>42</v>
      </c>
      <c r="P1943" s="30">
        <v>11801.19</v>
      </c>
      <c r="Q1943" s="3" t="s">
        <v>43</v>
      </c>
      <c r="R1943" s="3">
        <v>8</v>
      </c>
      <c r="S1943" s="3">
        <v>171</v>
      </c>
      <c r="T1943" s="3">
        <v>25</v>
      </c>
      <c r="U1943" s="3" t="s">
        <v>86</v>
      </c>
      <c r="V1943" s="18" t="s">
        <v>33</v>
      </c>
    </row>
    <row r="1944" spans="1:22" ht="15" customHeight="1" x14ac:dyDescent="0.25">
      <c r="A1944" s="15" t="s">
        <v>3470</v>
      </c>
      <c r="B1944" s="1" t="s">
        <v>1351</v>
      </c>
      <c r="C1944">
        <v>58</v>
      </c>
      <c r="D1944" s="1" t="s">
        <v>59</v>
      </c>
      <c r="E1944" s="1" t="s">
        <v>48</v>
      </c>
      <c r="F1944" s="1" t="s">
        <v>83</v>
      </c>
      <c r="G1944" s="1" t="s">
        <v>131</v>
      </c>
      <c r="H1944" s="1" t="s">
        <v>78</v>
      </c>
      <c r="I1944" s="6">
        <v>44265</v>
      </c>
      <c r="J1944" s="7">
        <v>44480</v>
      </c>
      <c r="K1944" s="1">
        <v>8</v>
      </c>
      <c r="L1944" s="1" t="s">
        <v>52</v>
      </c>
      <c r="M1944" s="1" t="s">
        <v>53</v>
      </c>
      <c r="N1944" s="1" t="s">
        <v>147</v>
      </c>
      <c r="O1944" s="1" t="s">
        <v>30</v>
      </c>
      <c r="P1944" s="29">
        <v>7927.26</v>
      </c>
      <c r="Q1944" s="1" t="s">
        <v>134</v>
      </c>
      <c r="R1944" s="1">
        <v>7</v>
      </c>
      <c r="S1944" s="1">
        <v>466</v>
      </c>
      <c r="T1944" s="1">
        <v>30.9</v>
      </c>
      <c r="U1944" s="1" t="s">
        <v>44</v>
      </c>
      <c r="V1944" s="17" t="s">
        <v>33</v>
      </c>
    </row>
    <row r="1945" spans="1:22" ht="15" customHeight="1" x14ac:dyDescent="0.25">
      <c r="A1945" s="16" t="s">
        <v>3471</v>
      </c>
      <c r="B1945" s="3" t="s">
        <v>3472</v>
      </c>
      <c r="C1945">
        <v>69</v>
      </c>
      <c r="D1945" s="3" t="s">
        <v>82</v>
      </c>
      <c r="E1945" s="3" t="s">
        <v>48</v>
      </c>
      <c r="F1945" s="3" t="s">
        <v>99</v>
      </c>
      <c r="G1945" s="3" t="s">
        <v>77</v>
      </c>
      <c r="H1945" s="3" t="s">
        <v>78</v>
      </c>
      <c r="I1945" s="6">
        <v>44859</v>
      </c>
      <c r="J1945" s="8">
        <v>44870</v>
      </c>
      <c r="K1945" s="3">
        <v>11</v>
      </c>
      <c r="L1945" s="3" t="s">
        <v>132</v>
      </c>
      <c r="M1945" s="3" t="s">
        <v>53</v>
      </c>
      <c r="N1945" s="3" t="s">
        <v>94</v>
      </c>
      <c r="O1945" s="3" t="s">
        <v>104</v>
      </c>
      <c r="P1945" s="30">
        <v>35964.550000000003</v>
      </c>
      <c r="Q1945" s="3" t="s">
        <v>181</v>
      </c>
      <c r="R1945" s="3">
        <v>7</v>
      </c>
      <c r="S1945" s="3">
        <v>257</v>
      </c>
      <c r="T1945" s="3">
        <v>32.4</v>
      </c>
      <c r="U1945" s="3" t="s">
        <v>44</v>
      </c>
      <c r="V1945" s="18" t="s">
        <v>33</v>
      </c>
    </row>
    <row r="1946" spans="1:22" ht="15" customHeight="1" x14ac:dyDescent="0.25">
      <c r="A1946" s="15" t="s">
        <v>3473</v>
      </c>
      <c r="B1946" s="1" t="s">
        <v>3474</v>
      </c>
      <c r="C1946">
        <v>82</v>
      </c>
      <c r="D1946" s="1" t="s">
        <v>36</v>
      </c>
      <c r="E1946" s="1" t="s">
        <v>23</v>
      </c>
      <c r="F1946" s="1" t="s">
        <v>24</v>
      </c>
      <c r="G1946" s="1" t="s">
        <v>131</v>
      </c>
      <c r="H1946" s="1" t="s">
        <v>78</v>
      </c>
      <c r="I1946" s="7">
        <v>44504</v>
      </c>
      <c r="J1946" s="7">
        <v>44507</v>
      </c>
      <c r="K1946" s="1">
        <v>3</v>
      </c>
      <c r="L1946" s="1" t="s">
        <v>122</v>
      </c>
      <c r="M1946" s="1" t="s">
        <v>40</v>
      </c>
      <c r="N1946" s="1" t="s">
        <v>133</v>
      </c>
      <c r="O1946" s="1" t="s">
        <v>42</v>
      </c>
      <c r="P1946" s="29">
        <v>20794.54</v>
      </c>
      <c r="Q1946" s="1" t="s">
        <v>695</v>
      </c>
      <c r="R1946" s="1">
        <v>7</v>
      </c>
      <c r="S1946" s="1">
        <v>428</v>
      </c>
      <c r="T1946" s="1">
        <v>22.6</v>
      </c>
      <c r="U1946" s="1" t="s">
        <v>44</v>
      </c>
      <c r="V1946" s="17" t="s">
        <v>45</v>
      </c>
    </row>
    <row r="1947" spans="1:22" ht="15" customHeight="1" x14ac:dyDescent="0.25">
      <c r="A1947" s="16" t="s">
        <v>3475</v>
      </c>
      <c r="B1947" s="3" t="s">
        <v>3476</v>
      </c>
      <c r="C1947">
        <v>90</v>
      </c>
      <c r="D1947" s="3" t="s">
        <v>36</v>
      </c>
      <c r="E1947" s="3" t="s">
        <v>23</v>
      </c>
      <c r="F1947" s="3" t="s">
        <v>99</v>
      </c>
      <c r="G1947" s="3" t="s">
        <v>38</v>
      </c>
      <c r="H1947" s="3" t="s">
        <v>26</v>
      </c>
      <c r="I1947" s="6">
        <v>44114</v>
      </c>
      <c r="J1947" s="8">
        <v>44118</v>
      </c>
      <c r="K1947" s="3">
        <v>4</v>
      </c>
      <c r="L1947" s="3" t="s">
        <v>112</v>
      </c>
      <c r="M1947" s="3" t="s">
        <v>40</v>
      </c>
      <c r="N1947" s="3" t="s">
        <v>173</v>
      </c>
      <c r="O1947" s="3" t="s">
        <v>66</v>
      </c>
      <c r="P1947" s="30">
        <v>57241.27</v>
      </c>
      <c r="Q1947" s="3" t="s">
        <v>236</v>
      </c>
      <c r="R1947" s="3">
        <v>6</v>
      </c>
      <c r="S1947" s="3">
        <v>347</v>
      </c>
      <c r="T1947" s="3">
        <v>37.799999999999997</v>
      </c>
      <c r="U1947" s="3" t="s">
        <v>86</v>
      </c>
      <c r="V1947" s="18" t="s">
        <v>33</v>
      </c>
    </row>
    <row r="1948" spans="1:22" ht="15" customHeight="1" x14ac:dyDescent="0.25">
      <c r="A1948" s="15" t="s">
        <v>3477</v>
      </c>
      <c r="B1948" s="1" t="s">
        <v>3478</v>
      </c>
      <c r="C1948">
        <v>56</v>
      </c>
      <c r="D1948" s="1" t="s">
        <v>59</v>
      </c>
      <c r="E1948" s="1" t="s">
        <v>23</v>
      </c>
      <c r="F1948" s="1" t="s">
        <v>76</v>
      </c>
      <c r="G1948" s="1" t="s">
        <v>163</v>
      </c>
      <c r="H1948" s="1" t="s">
        <v>26</v>
      </c>
      <c r="I1948" s="7">
        <v>45615</v>
      </c>
      <c r="J1948" s="10"/>
      <c r="K1948" s="1"/>
      <c r="L1948" s="1" t="s">
        <v>122</v>
      </c>
      <c r="M1948" s="1" t="s">
        <v>40</v>
      </c>
      <c r="N1948" s="1" t="s">
        <v>213</v>
      </c>
      <c r="O1948" s="1" t="s">
        <v>104</v>
      </c>
      <c r="P1948" s="29">
        <v>37477.120000000003</v>
      </c>
      <c r="Q1948" s="1" t="s">
        <v>62</v>
      </c>
      <c r="R1948" s="1">
        <v>4</v>
      </c>
      <c r="S1948" s="1">
        <v>232</v>
      </c>
      <c r="T1948" s="1">
        <v>30.3</v>
      </c>
      <c r="U1948" s="1" t="s">
        <v>32</v>
      </c>
      <c r="V1948" s="17" t="s">
        <v>33</v>
      </c>
    </row>
    <row r="1949" spans="1:22" ht="15" customHeight="1" x14ac:dyDescent="0.25">
      <c r="A1949" s="16" t="s">
        <v>3479</v>
      </c>
      <c r="B1949" s="3" t="s">
        <v>3480</v>
      </c>
      <c r="C1949">
        <v>67</v>
      </c>
      <c r="D1949" s="3" t="s">
        <v>82</v>
      </c>
      <c r="E1949" s="3" t="s">
        <v>23</v>
      </c>
      <c r="F1949" s="3" t="s">
        <v>37</v>
      </c>
      <c r="G1949" s="3" t="s">
        <v>131</v>
      </c>
      <c r="H1949" s="3" t="s">
        <v>26</v>
      </c>
      <c r="I1949" s="8">
        <v>44846</v>
      </c>
      <c r="J1949" s="8">
        <v>44850</v>
      </c>
      <c r="K1949" s="3">
        <v>4</v>
      </c>
      <c r="L1949" s="3" t="s">
        <v>112</v>
      </c>
      <c r="M1949" s="3" t="s">
        <v>40</v>
      </c>
      <c r="N1949" s="3" t="s">
        <v>133</v>
      </c>
      <c r="O1949" s="3" t="s">
        <v>55</v>
      </c>
      <c r="P1949" s="30">
        <v>39127.839999999997</v>
      </c>
      <c r="Q1949" s="3" t="s">
        <v>134</v>
      </c>
      <c r="R1949" s="3">
        <v>7</v>
      </c>
      <c r="S1949" s="3">
        <v>338</v>
      </c>
      <c r="T1949" s="3">
        <v>32</v>
      </c>
      <c r="U1949" s="3" t="s">
        <v>86</v>
      </c>
      <c r="V1949" s="18" t="s">
        <v>33</v>
      </c>
    </row>
    <row r="1950" spans="1:22" ht="15" customHeight="1" x14ac:dyDescent="0.25">
      <c r="A1950" s="15" t="s">
        <v>3481</v>
      </c>
      <c r="B1950" s="1" t="s">
        <v>3482</v>
      </c>
      <c r="C1950">
        <v>92</v>
      </c>
      <c r="D1950" s="1" t="s">
        <v>36</v>
      </c>
      <c r="E1950" s="1" t="s">
        <v>48</v>
      </c>
      <c r="F1950" s="1" t="s">
        <v>76</v>
      </c>
      <c r="G1950" s="1" t="s">
        <v>163</v>
      </c>
      <c r="H1950" s="1" t="s">
        <v>51</v>
      </c>
      <c r="I1950" s="7">
        <v>45030</v>
      </c>
      <c r="J1950" s="7">
        <v>45033</v>
      </c>
      <c r="K1950" s="1">
        <v>3</v>
      </c>
      <c r="L1950" s="1" t="s">
        <v>122</v>
      </c>
      <c r="M1950" s="1" t="s">
        <v>40</v>
      </c>
      <c r="N1950" s="1" t="s">
        <v>164</v>
      </c>
      <c r="O1950" s="1" t="s">
        <v>42</v>
      </c>
      <c r="P1950" s="29">
        <v>45647.97</v>
      </c>
      <c r="Q1950" s="1" t="s">
        <v>234</v>
      </c>
      <c r="R1950" s="1">
        <v>6</v>
      </c>
      <c r="S1950" s="1">
        <v>186</v>
      </c>
      <c r="T1950" s="1">
        <v>30.1</v>
      </c>
      <c r="U1950" s="1" t="s">
        <v>32</v>
      </c>
      <c r="V1950" s="17" t="s">
        <v>33</v>
      </c>
    </row>
    <row r="1951" spans="1:22" ht="15" customHeight="1" x14ac:dyDescent="0.25">
      <c r="A1951" s="16" t="s">
        <v>3483</v>
      </c>
      <c r="B1951" s="2" t="s">
        <v>3244</v>
      </c>
      <c r="C1951">
        <v>59</v>
      </c>
      <c r="D1951" s="3" t="s">
        <v>59</v>
      </c>
      <c r="E1951" s="3" t="s">
        <v>48</v>
      </c>
      <c r="F1951" s="3" t="s">
        <v>49</v>
      </c>
      <c r="G1951" s="3" t="s">
        <v>77</v>
      </c>
      <c r="H1951" s="3" t="s">
        <v>26</v>
      </c>
      <c r="I1951" s="8">
        <v>45598</v>
      </c>
      <c r="J1951" s="8">
        <v>45614</v>
      </c>
      <c r="K1951" s="3">
        <v>16</v>
      </c>
      <c r="L1951" s="3" t="s">
        <v>122</v>
      </c>
      <c r="M1951" s="3" t="s">
        <v>40</v>
      </c>
      <c r="N1951" s="3" t="s">
        <v>94</v>
      </c>
      <c r="O1951" s="3" t="s">
        <v>42</v>
      </c>
      <c r="P1951" s="30">
        <v>130607</v>
      </c>
      <c r="Q1951" s="3" t="s">
        <v>592</v>
      </c>
      <c r="R1951" s="3">
        <v>10</v>
      </c>
      <c r="S1951" s="3">
        <v>342</v>
      </c>
      <c r="T1951" s="3">
        <v>32.200000000000003</v>
      </c>
      <c r="U1951" s="3" t="s">
        <v>86</v>
      </c>
      <c r="V1951" s="18" t="s">
        <v>33</v>
      </c>
    </row>
    <row r="1952" spans="1:22" ht="15" customHeight="1" x14ac:dyDescent="0.25">
      <c r="A1952" s="15" t="s">
        <v>3484</v>
      </c>
      <c r="B1952" s="1" t="s">
        <v>1092</v>
      </c>
      <c r="C1952">
        <v>57</v>
      </c>
      <c r="D1952" s="1" t="s">
        <v>59</v>
      </c>
      <c r="E1952" s="1" t="s">
        <v>48</v>
      </c>
      <c r="F1952" s="1" t="s">
        <v>99</v>
      </c>
      <c r="G1952" s="1" t="s">
        <v>163</v>
      </c>
      <c r="H1952" s="1" t="s">
        <v>51</v>
      </c>
      <c r="I1952" s="7">
        <v>43643</v>
      </c>
      <c r="J1952" s="7">
        <v>43648</v>
      </c>
      <c r="K1952" s="1">
        <v>5</v>
      </c>
      <c r="L1952" s="1" t="s">
        <v>122</v>
      </c>
      <c r="M1952" s="1" t="s">
        <v>40</v>
      </c>
      <c r="N1952" s="1" t="s">
        <v>213</v>
      </c>
      <c r="O1952" s="1" t="s">
        <v>104</v>
      </c>
      <c r="P1952" s="29">
        <v>20572.18</v>
      </c>
      <c r="Q1952" s="1" t="s">
        <v>257</v>
      </c>
      <c r="R1952" s="1">
        <v>6</v>
      </c>
      <c r="S1952" s="1">
        <v>188</v>
      </c>
      <c r="T1952" s="1">
        <v>30.8</v>
      </c>
      <c r="U1952" s="1" t="s">
        <v>32</v>
      </c>
      <c r="V1952" s="17" t="s">
        <v>33</v>
      </c>
    </row>
    <row r="1953" spans="1:22" ht="15" customHeight="1" x14ac:dyDescent="0.25">
      <c r="A1953" s="16" t="s">
        <v>3485</v>
      </c>
      <c r="B1953" s="3" t="s">
        <v>2409</v>
      </c>
      <c r="C1953">
        <v>29</v>
      </c>
      <c r="D1953" s="3" t="s">
        <v>47</v>
      </c>
      <c r="E1953" s="3" t="s">
        <v>23</v>
      </c>
      <c r="F1953" s="3" t="s">
        <v>70</v>
      </c>
      <c r="G1953" s="3" t="s">
        <v>77</v>
      </c>
      <c r="H1953" s="3" t="s">
        <v>26</v>
      </c>
      <c r="I1953" s="8">
        <v>43569</v>
      </c>
      <c r="J1953" s="8">
        <v>43580</v>
      </c>
      <c r="K1953" s="3">
        <v>11</v>
      </c>
      <c r="L1953" s="3" t="s">
        <v>89</v>
      </c>
      <c r="M1953" s="3" t="s">
        <v>90</v>
      </c>
      <c r="N1953" s="3" t="s">
        <v>84</v>
      </c>
      <c r="O1953" s="3" t="s">
        <v>42</v>
      </c>
      <c r="P1953" s="30">
        <v>44626.400000000001</v>
      </c>
      <c r="Q1953" s="3" t="s">
        <v>109</v>
      </c>
      <c r="R1953" s="3">
        <v>10</v>
      </c>
      <c r="S1953" s="3">
        <v>362</v>
      </c>
      <c r="T1953" s="3">
        <v>19.3</v>
      </c>
      <c r="U1953" s="3" t="s">
        <v>86</v>
      </c>
      <c r="V1953" s="18" t="s">
        <v>33</v>
      </c>
    </row>
    <row r="1954" spans="1:22" ht="15" customHeight="1" x14ac:dyDescent="0.25">
      <c r="A1954" s="15" t="s">
        <v>3486</v>
      </c>
      <c r="B1954" s="1" t="s">
        <v>3487</v>
      </c>
      <c r="C1954">
        <v>44</v>
      </c>
      <c r="D1954" s="1" t="s">
        <v>98</v>
      </c>
      <c r="E1954" s="1" t="s">
        <v>23</v>
      </c>
      <c r="F1954" s="1" t="s">
        <v>83</v>
      </c>
      <c r="G1954" s="1" t="s">
        <v>77</v>
      </c>
      <c r="H1954" s="1" t="s">
        <v>26</v>
      </c>
      <c r="I1954" s="6">
        <v>44753</v>
      </c>
      <c r="J1954" s="7">
        <v>44896</v>
      </c>
      <c r="K1954" s="1">
        <v>24</v>
      </c>
      <c r="L1954" s="1" t="s">
        <v>27</v>
      </c>
      <c r="M1954" s="1" t="s">
        <v>28</v>
      </c>
      <c r="N1954" s="1" t="s">
        <v>84</v>
      </c>
      <c r="O1954" s="1" t="s">
        <v>30</v>
      </c>
      <c r="P1954" s="29">
        <v>83965.21</v>
      </c>
      <c r="Q1954" s="1" t="s">
        <v>80</v>
      </c>
      <c r="R1954" s="1">
        <v>6</v>
      </c>
      <c r="S1954" s="1">
        <v>304</v>
      </c>
      <c r="T1954" s="1">
        <v>24.4</v>
      </c>
      <c r="U1954" s="1" t="s">
        <v>44</v>
      </c>
      <c r="V1954" s="17" t="s">
        <v>45</v>
      </c>
    </row>
    <row r="1955" spans="1:22" ht="15" customHeight="1" x14ac:dyDescent="0.25">
      <c r="A1955" s="16" t="s">
        <v>3488</v>
      </c>
      <c r="B1955" s="3" t="s">
        <v>3489</v>
      </c>
      <c r="C1955">
        <v>31</v>
      </c>
      <c r="D1955" s="3" t="s">
        <v>47</v>
      </c>
      <c r="E1955" s="3" t="s">
        <v>23</v>
      </c>
      <c r="F1955" s="3" t="s">
        <v>83</v>
      </c>
      <c r="G1955" s="3" t="s">
        <v>77</v>
      </c>
      <c r="H1955" s="3" t="s">
        <v>26</v>
      </c>
      <c r="I1955" s="6">
        <v>44120</v>
      </c>
      <c r="J1955" s="8">
        <v>44129</v>
      </c>
      <c r="K1955" s="3">
        <v>9</v>
      </c>
      <c r="L1955" s="3" t="s">
        <v>102</v>
      </c>
      <c r="M1955" s="3" t="s">
        <v>28</v>
      </c>
      <c r="N1955" s="3" t="s">
        <v>79</v>
      </c>
      <c r="O1955" s="3" t="s">
        <v>30</v>
      </c>
      <c r="P1955" s="30">
        <v>54064.83</v>
      </c>
      <c r="Q1955" s="3" t="s">
        <v>85</v>
      </c>
      <c r="R1955" s="3">
        <v>8</v>
      </c>
      <c r="S1955" s="3">
        <v>339</v>
      </c>
      <c r="T1955" s="3">
        <v>43.3</v>
      </c>
      <c r="U1955" s="3" t="s">
        <v>44</v>
      </c>
      <c r="V1955" s="18" t="s">
        <v>33</v>
      </c>
    </row>
    <row r="1956" spans="1:22" ht="15" customHeight="1" x14ac:dyDescent="0.25">
      <c r="A1956" s="15" t="s">
        <v>3490</v>
      </c>
      <c r="B1956" s="1" t="s">
        <v>3491</v>
      </c>
      <c r="C1956">
        <v>60</v>
      </c>
      <c r="D1956" s="1" t="s">
        <v>59</v>
      </c>
      <c r="E1956" s="1" t="s">
        <v>23</v>
      </c>
      <c r="F1956" s="2" t="s">
        <v>99</v>
      </c>
      <c r="G1956" s="1" t="s">
        <v>77</v>
      </c>
      <c r="H1956" s="1" t="s">
        <v>51</v>
      </c>
      <c r="I1956" s="6">
        <v>43584</v>
      </c>
      <c r="J1956" s="7">
        <v>43592</v>
      </c>
      <c r="K1956" s="1">
        <v>8</v>
      </c>
      <c r="L1956" s="1" t="s">
        <v>122</v>
      </c>
      <c r="M1956" s="1" t="s">
        <v>40</v>
      </c>
      <c r="N1956" s="1" t="s">
        <v>84</v>
      </c>
      <c r="O1956" s="1" t="s">
        <v>42</v>
      </c>
      <c r="P1956" s="29">
        <v>27577.200000000001</v>
      </c>
      <c r="Q1956" s="1" t="s">
        <v>91</v>
      </c>
      <c r="R1956" s="1">
        <v>9</v>
      </c>
      <c r="S1956" s="1">
        <v>100</v>
      </c>
      <c r="T1956" s="1">
        <v>34.5</v>
      </c>
      <c r="U1956" s="1" t="s">
        <v>32</v>
      </c>
      <c r="V1956" s="17" t="s">
        <v>33</v>
      </c>
    </row>
    <row r="1957" spans="1:22" ht="15" customHeight="1" x14ac:dyDescent="0.25">
      <c r="A1957" s="16" t="s">
        <v>3492</v>
      </c>
      <c r="B1957" s="3" t="s">
        <v>3493</v>
      </c>
      <c r="C1957">
        <v>64</v>
      </c>
      <c r="D1957" s="3" t="s">
        <v>59</v>
      </c>
      <c r="E1957" s="3" t="s">
        <v>48</v>
      </c>
      <c r="F1957" s="3" t="s">
        <v>99</v>
      </c>
      <c r="G1957" s="3" t="s">
        <v>373</v>
      </c>
      <c r="H1957" s="3" t="s">
        <v>156</v>
      </c>
      <c r="I1957" s="6">
        <v>43737</v>
      </c>
      <c r="J1957" s="8">
        <v>43744</v>
      </c>
      <c r="K1957" s="3">
        <v>7</v>
      </c>
      <c r="L1957" s="3" t="s">
        <v>89</v>
      </c>
      <c r="M1957" s="3" t="s">
        <v>90</v>
      </c>
      <c r="N1957" s="3" t="s">
        <v>72</v>
      </c>
      <c r="O1957" s="3" t="s">
        <v>30</v>
      </c>
      <c r="P1957" s="30">
        <v>9585.6</v>
      </c>
      <c r="Q1957" s="3" t="s">
        <v>178</v>
      </c>
      <c r="R1957" s="3">
        <v>5</v>
      </c>
      <c r="S1957" s="3">
        <v>324</v>
      </c>
      <c r="T1957" s="3">
        <v>27.9</v>
      </c>
      <c r="U1957" s="3" t="s">
        <v>44</v>
      </c>
      <c r="V1957" s="18" t="s">
        <v>33</v>
      </c>
    </row>
    <row r="1958" spans="1:22" ht="15" customHeight="1" x14ac:dyDescent="0.25">
      <c r="A1958" s="15" t="s">
        <v>3494</v>
      </c>
      <c r="B1958" s="1" t="s">
        <v>1216</v>
      </c>
      <c r="C1958">
        <v>70</v>
      </c>
      <c r="D1958" s="1" t="s">
        <v>82</v>
      </c>
      <c r="E1958" s="1" t="s">
        <v>48</v>
      </c>
      <c r="F1958" s="1" t="s">
        <v>83</v>
      </c>
      <c r="G1958" s="1" t="s">
        <v>77</v>
      </c>
      <c r="H1958" s="1" t="s">
        <v>51</v>
      </c>
      <c r="I1958" s="6">
        <v>44616</v>
      </c>
      <c r="J1958" s="7">
        <v>44620</v>
      </c>
      <c r="K1958" s="1">
        <v>4</v>
      </c>
      <c r="L1958" s="1" t="s">
        <v>231</v>
      </c>
      <c r="M1958" s="1" t="s">
        <v>53</v>
      </c>
      <c r="N1958" s="1" t="s">
        <v>94</v>
      </c>
      <c r="O1958" s="1" t="s">
        <v>42</v>
      </c>
      <c r="P1958" s="29">
        <v>33318.050000000003</v>
      </c>
      <c r="Q1958" s="1" t="s">
        <v>91</v>
      </c>
      <c r="R1958" s="1">
        <v>10</v>
      </c>
      <c r="S1958" s="1">
        <v>108</v>
      </c>
      <c r="T1958" s="1">
        <v>24.1</v>
      </c>
      <c r="U1958" s="1" t="s">
        <v>44</v>
      </c>
      <c r="V1958" s="17" t="s">
        <v>33</v>
      </c>
    </row>
    <row r="1959" spans="1:22" ht="15" customHeight="1" x14ac:dyDescent="0.25">
      <c r="A1959" s="16" t="s">
        <v>3495</v>
      </c>
      <c r="B1959" s="3" t="s">
        <v>3496</v>
      </c>
      <c r="C1959">
        <v>70</v>
      </c>
      <c r="D1959" s="3" t="s">
        <v>82</v>
      </c>
      <c r="E1959" s="3" t="s">
        <v>48</v>
      </c>
      <c r="F1959" s="3" t="s">
        <v>37</v>
      </c>
      <c r="G1959" s="3" t="s">
        <v>50</v>
      </c>
      <c r="H1959" s="3" t="s">
        <v>26</v>
      </c>
      <c r="I1959" s="6">
        <v>45121</v>
      </c>
      <c r="J1959" s="8">
        <v>45131</v>
      </c>
      <c r="K1959" s="3">
        <v>10</v>
      </c>
      <c r="L1959" s="3" t="s">
        <v>231</v>
      </c>
      <c r="M1959" s="3" t="s">
        <v>53</v>
      </c>
      <c r="N1959" s="3" t="s">
        <v>54</v>
      </c>
      <c r="O1959" s="3" t="s">
        <v>55</v>
      </c>
      <c r="P1959" s="30">
        <v>84839.46</v>
      </c>
      <c r="Q1959" s="3" t="s">
        <v>623</v>
      </c>
      <c r="R1959" s="3">
        <v>9</v>
      </c>
      <c r="S1959" s="3">
        <v>335</v>
      </c>
      <c r="T1959" s="4"/>
      <c r="U1959" s="3" t="s">
        <v>86</v>
      </c>
      <c r="V1959" s="18" t="s">
        <v>33</v>
      </c>
    </row>
    <row r="1960" spans="1:22" ht="15" customHeight="1" x14ac:dyDescent="0.25">
      <c r="A1960" s="15" t="s">
        <v>3497</v>
      </c>
      <c r="B1960" s="1" t="s">
        <v>3498</v>
      </c>
      <c r="C1960">
        <v>58</v>
      </c>
      <c r="D1960" s="1" t="s">
        <v>59</v>
      </c>
      <c r="E1960" s="1" t="s">
        <v>23</v>
      </c>
      <c r="F1960" s="1" t="s">
        <v>83</v>
      </c>
      <c r="G1960" s="1" t="s">
        <v>77</v>
      </c>
      <c r="H1960" s="1" t="s">
        <v>51</v>
      </c>
      <c r="I1960" s="6">
        <v>43763</v>
      </c>
      <c r="J1960" s="7">
        <v>43749</v>
      </c>
      <c r="K1960" s="1">
        <v>16</v>
      </c>
      <c r="L1960" s="1" t="s">
        <v>132</v>
      </c>
      <c r="M1960" s="1" t="s">
        <v>53</v>
      </c>
      <c r="N1960" s="1" t="s">
        <v>84</v>
      </c>
      <c r="O1960" s="1" t="s">
        <v>55</v>
      </c>
      <c r="P1960" s="29">
        <v>51211</v>
      </c>
      <c r="Q1960" s="1" t="s">
        <v>223</v>
      </c>
      <c r="R1960" s="1">
        <v>10</v>
      </c>
      <c r="S1960" s="1">
        <v>172</v>
      </c>
      <c r="T1960" s="1">
        <v>36.5</v>
      </c>
      <c r="U1960" s="1" t="s">
        <v>44</v>
      </c>
      <c r="V1960" s="17" t="s">
        <v>33</v>
      </c>
    </row>
    <row r="1961" spans="1:22" ht="15" customHeight="1" x14ac:dyDescent="0.25">
      <c r="A1961" s="16" t="s">
        <v>3499</v>
      </c>
      <c r="B1961" s="2" t="s">
        <v>3709</v>
      </c>
      <c r="C1961">
        <v>54</v>
      </c>
      <c r="D1961" s="3" t="s">
        <v>98</v>
      </c>
      <c r="E1961" s="3" t="s">
        <v>23</v>
      </c>
      <c r="F1961" s="3" t="s">
        <v>49</v>
      </c>
      <c r="G1961" s="3" t="s">
        <v>50</v>
      </c>
      <c r="H1961" s="3" t="s">
        <v>26</v>
      </c>
      <c r="I1961" s="8">
        <v>44746</v>
      </c>
      <c r="J1961" s="8">
        <v>44902</v>
      </c>
      <c r="K1961" s="3">
        <v>8</v>
      </c>
      <c r="L1961" s="3" t="s">
        <v>132</v>
      </c>
      <c r="M1961" s="3" t="s">
        <v>53</v>
      </c>
      <c r="N1961" s="3" t="s">
        <v>54</v>
      </c>
      <c r="O1961" s="3" t="s">
        <v>55</v>
      </c>
      <c r="P1961" s="30">
        <v>38434.949999999997</v>
      </c>
      <c r="Q1961" s="3" t="s">
        <v>279</v>
      </c>
      <c r="R1961" s="3">
        <v>9</v>
      </c>
      <c r="S1961" s="3">
        <v>394</v>
      </c>
      <c r="T1961" s="4"/>
      <c r="U1961" s="3" t="s">
        <v>86</v>
      </c>
      <c r="V1961" s="18" t="s">
        <v>33</v>
      </c>
    </row>
    <row r="1962" spans="1:22" ht="15" customHeight="1" x14ac:dyDescent="0.25">
      <c r="A1962" s="15" t="s">
        <v>3500</v>
      </c>
      <c r="B1962" s="1" t="s">
        <v>3501</v>
      </c>
      <c r="C1962">
        <v>22</v>
      </c>
      <c r="D1962" s="1" t="s">
        <v>47</v>
      </c>
      <c r="E1962" s="1" t="s">
        <v>48</v>
      </c>
      <c r="F1962" s="1" t="s">
        <v>83</v>
      </c>
      <c r="G1962" s="1" t="s">
        <v>50</v>
      </c>
      <c r="H1962" s="1" t="s">
        <v>26</v>
      </c>
      <c r="I1962" s="6">
        <v>44036</v>
      </c>
      <c r="J1962" s="7">
        <v>44055</v>
      </c>
      <c r="K1962" s="1">
        <v>19</v>
      </c>
      <c r="L1962" s="1" t="s">
        <v>102</v>
      </c>
      <c r="M1962" s="1" t="s">
        <v>28</v>
      </c>
      <c r="N1962" s="1" t="s">
        <v>126</v>
      </c>
      <c r="O1962" s="1" t="s">
        <v>30</v>
      </c>
      <c r="P1962" s="29">
        <v>31501.01</v>
      </c>
      <c r="Q1962" s="1" t="s">
        <v>127</v>
      </c>
      <c r="R1962" s="1">
        <v>8</v>
      </c>
      <c r="S1962" s="1">
        <v>364</v>
      </c>
      <c r="T1962" s="1">
        <v>20.2</v>
      </c>
      <c r="U1962" s="1" t="s">
        <v>32</v>
      </c>
      <c r="V1962" s="17" t="s">
        <v>33</v>
      </c>
    </row>
    <row r="1963" spans="1:22" ht="15" customHeight="1" x14ac:dyDescent="0.25">
      <c r="A1963" s="16" t="s">
        <v>3502</v>
      </c>
      <c r="B1963" s="3" t="s">
        <v>3113</v>
      </c>
      <c r="C1963">
        <v>66</v>
      </c>
      <c r="D1963" s="3" t="s">
        <v>82</v>
      </c>
      <c r="E1963" s="3" t="s">
        <v>48</v>
      </c>
      <c r="F1963" s="3" t="s">
        <v>76</v>
      </c>
      <c r="G1963" s="3" t="s">
        <v>163</v>
      </c>
      <c r="H1963" s="3" t="s">
        <v>78</v>
      </c>
      <c r="I1963" s="6">
        <v>43578</v>
      </c>
      <c r="J1963" s="8">
        <v>43582</v>
      </c>
      <c r="K1963" s="3">
        <v>4</v>
      </c>
      <c r="L1963" s="3" t="s">
        <v>89</v>
      </c>
      <c r="M1963" s="3" t="s">
        <v>90</v>
      </c>
      <c r="N1963" s="3" t="s">
        <v>213</v>
      </c>
      <c r="O1963" s="3" t="s">
        <v>42</v>
      </c>
      <c r="P1963" s="30">
        <v>49620.54</v>
      </c>
      <c r="Q1963" s="3" t="s">
        <v>62</v>
      </c>
      <c r="R1963" s="3">
        <v>6</v>
      </c>
      <c r="S1963" s="3">
        <v>232</v>
      </c>
      <c r="T1963" s="3">
        <v>28</v>
      </c>
      <c r="U1963" s="3" t="s">
        <v>32</v>
      </c>
      <c r="V1963" s="18" t="s">
        <v>33</v>
      </c>
    </row>
    <row r="1964" spans="1:22" ht="15" customHeight="1" x14ac:dyDescent="0.25">
      <c r="A1964" s="15" t="s">
        <v>3503</v>
      </c>
      <c r="B1964" s="1" t="s">
        <v>3504</v>
      </c>
      <c r="C1964">
        <v>37</v>
      </c>
      <c r="D1964" s="1" t="s">
        <v>98</v>
      </c>
      <c r="E1964" s="1" t="s">
        <v>48</v>
      </c>
      <c r="F1964" s="1" t="s">
        <v>37</v>
      </c>
      <c r="G1964" s="1" t="s">
        <v>163</v>
      </c>
      <c r="H1964" s="1" t="s">
        <v>26</v>
      </c>
      <c r="I1964" s="7">
        <v>45277</v>
      </c>
      <c r="J1964" s="7">
        <v>45281</v>
      </c>
      <c r="K1964" s="1">
        <v>4</v>
      </c>
      <c r="L1964" s="1" t="s">
        <v>102</v>
      </c>
      <c r="M1964" s="1" t="s">
        <v>28</v>
      </c>
      <c r="N1964" s="1" t="s">
        <v>164</v>
      </c>
      <c r="O1964" s="1" t="s">
        <v>30</v>
      </c>
      <c r="P1964" s="29">
        <v>33963.57</v>
      </c>
      <c r="Q1964" s="1" t="s">
        <v>234</v>
      </c>
      <c r="R1964" s="1">
        <v>2</v>
      </c>
      <c r="S1964" s="1">
        <v>472</v>
      </c>
      <c r="T1964" s="1">
        <v>24.6</v>
      </c>
      <c r="U1964" s="1" t="s">
        <v>32</v>
      </c>
      <c r="V1964" s="17" t="s">
        <v>33</v>
      </c>
    </row>
    <row r="1965" spans="1:22" ht="15" customHeight="1" x14ac:dyDescent="0.25">
      <c r="A1965" s="16" t="s">
        <v>3505</v>
      </c>
      <c r="B1965" s="3" t="s">
        <v>3506</v>
      </c>
      <c r="C1965">
        <v>62</v>
      </c>
      <c r="D1965" s="3" t="s">
        <v>59</v>
      </c>
      <c r="E1965" s="3" t="s">
        <v>23</v>
      </c>
      <c r="F1965" s="3" t="s">
        <v>99</v>
      </c>
      <c r="G1965" s="3" t="s">
        <v>77</v>
      </c>
      <c r="H1965" s="3" t="s">
        <v>26</v>
      </c>
      <c r="I1965" s="6">
        <v>43928</v>
      </c>
      <c r="J1965" s="8">
        <v>44028</v>
      </c>
      <c r="K1965" s="3">
        <v>12</v>
      </c>
      <c r="L1965" s="3" t="s">
        <v>39</v>
      </c>
      <c r="M1965" s="3" t="s">
        <v>40</v>
      </c>
      <c r="N1965" s="3" t="s">
        <v>94</v>
      </c>
      <c r="O1965" s="3" t="s">
        <v>30</v>
      </c>
      <c r="P1965" s="30">
        <v>55187.28</v>
      </c>
      <c r="Q1965" s="3" t="s">
        <v>109</v>
      </c>
      <c r="R1965" s="3">
        <v>8</v>
      </c>
      <c r="S1965" s="3">
        <v>335</v>
      </c>
      <c r="T1965" s="3">
        <v>25.4</v>
      </c>
      <c r="U1965" s="3" t="s">
        <v>44</v>
      </c>
      <c r="V1965" s="18" t="s">
        <v>33</v>
      </c>
    </row>
    <row r="1966" spans="1:22" ht="15" customHeight="1" x14ac:dyDescent="0.25">
      <c r="A1966" s="15" t="s">
        <v>3507</v>
      </c>
      <c r="B1966" s="1" t="s">
        <v>3508</v>
      </c>
      <c r="C1966">
        <v>64</v>
      </c>
      <c r="D1966" s="1" t="s">
        <v>59</v>
      </c>
      <c r="E1966" s="1" t="s">
        <v>48</v>
      </c>
      <c r="F1966" s="1" t="s">
        <v>37</v>
      </c>
      <c r="G1966" s="1" t="s">
        <v>60</v>
      </c>
      <c r="H1966" s="1" t="s">
        <v>26</v>
      </c>
      <c r="I1966" s="7">
        <v>43801</v>
      </c>
      <c r="J1966" s="7">
        <v>43815</v>
      </c>
      <c r="K1966" s="1">
        <v>14</v>
      </c>
      <c r="L1966" s="1" t="s">
        <v>185</v>
      </c>
      <c r="M1966" s="1" t="s">
        <v>186</v>
      </c>
      <c r="N1966" s="1" t="s">
        <v>103</v>
      </c>
      <c r="O1966" s="1" t="s">
        <v>30</v>
      </c>
      <c r="P1966" s="29">
        <v>51727</v>
      </c>
      <c r="Q1966" s="1" t="s">
        <v>511</v>
      </c>
      <c r="R1966" s="1">
        <v>4</v>
      </c>
      <c r="S1966" s="1">
        <v>407</v>
      </c>
      <c r="T1966" s="1">
        <v>29.2</v>
      </c>
      <c r="U1966" s="1" t="s">
        <v>32</v>
      </c>
      <c r="V1966" s="17" t="s">
        <v>33</v>
      </c>
    </row>
    <row r="1967" spans="1:22" ht="15" customHeight="1" x14ac:dyDescent="0.25">
      <c r="A1967" s="16" t="s">
        <v>3509</v>
      </c>
      <c r="B1967" s="3" t="s">
        <v>2365</v>
      </c>
      <c r="C1967">
        <v>57</v>
      </c>
      <c r="D1967" s="3" t="s">
        <v>59</v>
      </c>
      <c r="E1967" s="3" t="s">
        <v>48</v>
      </c>
      <c r="F1967" s="3" t="s">
        <v>83</v>
      </c>
      <c r="G1967" s="3" t="s">
        <v>77</v>
      </c>
      <c r="H1967" s="3" t="s">
        <v>78</v>
      </c>
      <c r="I1967" s="6">
        <v>45428</v>
      </c>
      <c r="J1967" s="8">
        <v>45437</v>
      </c>
      <c r="K1967" s="3">
        <v>9</v>
      </c>
      <c r="L1967" s="3" t="s">
        <v>132</v>
      </c>
      <c r="M1967" s="3" t="s">
        <v>53</v>
      </c>
      <c r="N1967" s="3" t="s">
        <v>79</v>
      </c>
      <c r="O1967" s="3" t="s">
        <v>30</v>
      </c>
      <c r="P1967" s="30">
        <v>44794.11</v>
      </c>
      <c r="Q1967" s="3" t="s">
        <v>109</v>
      </c>
      <c r="R1967" s="3">
        <v>9</v>
      </c>
      <c r="S1967" s="3">
        <v>223</v>
      </c>
      <c r="T1967" s="3">
        <v>35.1</v>
      </c>
      <c r="U1967" s="3" t="s">
        <v>86</v>
      </c>
      <c r="V1967" s="18" t="s">
        <v>45</v>
      </c>
    </row>
    <row r="1968" spans="1:22" ht="15" customHeight="1" x14ac:dyDescent="0.25">
      <c r="A1968" s="15" t="s">
        <v>3510</v>
      </c>
      <c r="B1968" s="1" t="s">
        <v>461</v>
      </c>
      <c r="C1968">
        <v>74</v>
      </c>
      <c r="D1968" s="1" t="s">
        <v>82</v>
      </c>
      <c r="E1968" s="1" t="s">
        <v>23</v>
      </c>
      <c r="F1968" s="1" t="s">
        <v>83</v>
      </c>
      <c r="G1968" s="1" t="s">
        <v>131</v>
      </c>
      <c r="H1968" s="1" t="s">
        <v>26</v>
      </c>
      <c r="I1968" s="6">
        <v>45612</v>
      </c>
      <c r="J1968" s="7">
        <v>45618</v>
      </c>
      <c r="K1968" s="1">
        <v>6</v>
      </c>
      <c r="L1968" s="1" t="s">
        <v>52</v>
      </c>
      <c r="M1968" s="1" t="s">
        <v>53</v>
      </c>
      <c r="N1968" s="1" t="s">
        <v>133</v>
      </c>
      <c r="O1968" s="1" t="s">
        <v>55</v>
      </c>
      <c r="P1968" s="29">
        <v>34676.86</v>
      </c>
      <c r="Q1968" s="1" t="s">
        <v>148</v>
      </c>
      <c r="R1968" s="1">
        <v>7</v>
      </c>
      <c r="S1968" s="1">
        <v>377</v>
      </c>
      <c r="T1968" s="1">
        <v>31.4</v>
      </c>
      <c r="U1968" s="1" t="s">
        <v>86</v>
      </c>
      <c r="V1968" s="17" t="s">
        <v>33</v>
      </c>
    </row>
    <row r="1969" spans="1:22" ht="15" customHeight="1" x14ac:dyDescent="0.25">
      <c r="A1969" s="16" t="s">
        <v>3511</v>
      </c>
      <c r="B1969" s="2" t="s">
        <v>3710</v>
      </c>
      <c r="C1969">
        <v>85</v>
      </c>
      <c r="D1969" s="3" t="s">
        <v>36</v>
      </c>
      <c r="E1969" s="3" t="s">
        <v>48</v>
      </c>
      <c r="F1969" s="3" t="s">
        <v>76</v>
      </c>
      <c r="G1969" s="3" t="s">
        <v>60</v>
      </c>
      <c r="H1969" s="3" t="s">
        <v>26</v>
      </c>
      <c r="I1969" s="8">
        <v>44962</v>
      </c>
      <c r="J1969" s="8">
        <v>44979</v>
      </c>
      <c r="K1969" s="3">
        <v>17</v>
      </c>
      <c r="L1969" s="3" t="s">
        <v>122</v>
      </c>
      <c r="M1969" s="3" t="s">
        <v>40</v>
      </c>
      <c r="N1969" s="3" t="s">
        <v>61</v>
      </c>
      <c r="O1969" s="3" t="s">
        <v>30</v>
      </c>
      <c r="P1969" s="30">
        <v>44444.68</v>
      </c>
      <c r="Q1969" s="3" t="s">
        <v>511</v>
      </c>
      <c r="R1969" s="3">
        <v>5</v>
      </c>
      <c r="S1969" s="3">
        <v>279</v>
      </c>
      <c r="T1969" s="3">
        <v>33.1</v>
      </c>
      <c r="U1969" s="3" t="s">
        <v>32</v>
      </c>
      <c r="V1969" s="18" t="s">
        <v>33</v>
      </c>
    </row>
    <row r="1970" spans="1:22" ht="15" customHeight="1" x14ac:dyDescent="0.25">
      <c r="A1970" s="15" t="s">
        <v>3512</v>
      </c>
      <c r="B1970" s="1" t="s">
        <v>3513</v>
      </c>
      <c r="C1970">
        <v>55</v>
      </c>
      <c r="D1970" s="1" t="s">
        <v>59</v>
      </c>
      <c r="E1970" s="1" t="s">
        <v>48</v>
      </c>
      <c r="F1970" s="1" t="s">
        <v>37</v>
      </c>
      <c r="G1970" s="1" t="s">
        <v>163</v>
      </c>
      <c r="H1970" s="1" t="s">
        <v>51</v>
      </c>
      <c r="I1970" s="6">
        <v>43869</v>
      </c>
      <c r="J1970" s="7">
        <v>43929</v>
      </c>
      <c r="K1970" s="1">
        <v>2</v>
      </c>
      <c r="L1970" s="1" t="s">
        <v>132</v>
      </c>
      <c r="M1970" s="1" t="s">
        <v>53</v>
      </c>
      <c r="N1970" s="1" t="s">
        <v>164</v>
      </c>
      <c r="O1970" s="1" t="s">
        <v>42</v>
      </c>
      <c r="P1970" s="29">
        <v>30820.36</v>
      </c>
      <c r="Q1970" s="1" t="s">
        <v>234</v>
      </c>
      <c r="R1970" s="1">
        <v>6</v>
      </c>
      <c r="S1970" s="1">
        <v>181</v>
      </c>
      <c r="T1970" s="1">
        <v>30.7</v>
      </c>
      <c r="U1970" s="1" t="s">
        <v>32</v>
      </c>
      <c r="V1970" s="17" t="s">
        <v>33</v>
      </c>
    </row>
    <row r="1971" spans="1:22" ht="15" customHeight="1" x14ac:dyDescent="0.25">
      <c r="A1971" s="16" t="s">
        <v>3514</v>
      </c>
      <c r="B1971" s="3" t="s">
        <v>3515</v>
      </c>
      <c r="C1971">
        <v>25</v>
      </c>
      <c r="D1971" s="3" t="s">
        <v>47</v>
      </c>
      <c r="E1971" s="3" t="s">
        <v>23</v>
      </c>
      <c r="F1971" s="3" t="s">
        <v>155</v>
      </c>
      <c r="G1971" s="3" t="s">
        <v>38</v>
      </c>
      <c r="H1971" s="3" t="s">
        <v>51</v>
      </c>
      <c r="I1971" s="8">
        <v>43765</v>
      </c>
      <c r="J1971" s="8">
        <v>43767</v>
      </c>
      <c r="K1971" s="3">
        <v>2</v>
      </c>
      <c r="L1971" s="3" t="s">
        <v>52</v>
      </c>
      <c r="M1971" s="3" t="s">
        <v>53</v>
      </c>
      <c r="N1971" s="3" t="s">
        <v>203</v>
      </c>
      <c r="O1971" s="3" t="s">
        <v>104</v>
      </c>
      <c r="P1971" s="30">
        <v>6322.82</v>
      </c>
      <c r="Q1971" s="3" t="s">
        <v>236</v>
      </c>
      <c r="R1971" s="3">
        <v>8</v>
      </c>
      <c r="S1971" s="3">
        <v>121</v>
      </c>
      <c r="T1971" s="4"/>
      <c r="U1971" s="3" t="s">
        <v>44</v>
      </c>
      <c r="V1971" s="18" t="s">
        <v>33</v>
      </c>
    </row>
    <row r="1972" spans="1:22" ht="15" customHeight="1" x14ac:dyDescent="0.25">
      <c r="A1972" s="15" t="s">
        <v>3516</v>
      </c>
      <c r="B1972" s="1" t="s">
        <v>3517</v>
      </c>
      <c r="C1972">
        <v>66</v>
      </c>
      <c r="D1972" s="1" t="s">
        <v>82</v>
      </c>
      <c r="E1972" s="1" t="s">
        <v>23</v>
      </c>
      <c r="F1972" s="1" t="s">
        <v>49</v>
      </c>
      <c r="G1972" s="1" t="s">
        <v>163</v>
      </c>
      <c r="H1972" s="1" t="s">
        <v>78</v>
      </c>
      <c r="I1972" s="6">
        <v>44213</v>
      </c>
      <c r="J1972" s="7">
        <v>44218</v>
      </c>
      <c r="K1972" s="1">
        <v>5</v>
      </c>
      <c r="L1972" s="1" t="s">
        <v>39</v>
      </c>
      <c r="M1972" s="1" t="s">
        <v>40</v>
      </c>
      <c r="N1972" s="1" t="s">
        <v>213</v>
      </c>
      <c r="O1972" s="1" t="s">
        <v>55</v>
      </c>
      <c r="P1972" s="29">
        <v>32160.55</v>
      </c>
      <c r="Q1972" s="1" t="s">
        <v>165</v>
      </c>
      <c r="R1972" s="1">
        <v>3</v>
      </c>
      <c r="S1972" s="1">
        <v>356</v>
      </c>
      <c r="T1972" s="1">
        <v>30.8</v>
      </c>
      <c r="U1972" s="1" t="s">
        <v>32</v>
      </c>
      <c r="V1972" s="17" t="s">
        <v>33</v>
      </c>
    </row>
    <row r="1973" spans="1:22" ht="15" customHeight="1" x14ac:dyDescent="0.25">
      <c r="A1973" s="16" t="s">
        <v>3518</v>
      </c>
      <c r="B1973" s="3" t="s">
        <v>295</v>
      </c>
      <c r="C1973">
        <v>79</v>
      </c>
      <c r="D1973" s="3" t="s">
        <v>36</v>
      </c>
      <c r="E1973" s="3" t="s">
        <v>23</v>
      </c>
      <c r="F1973" s="3" t="s">
        <v>155</v>
      </c>
      <c r="G1973" s="3" t="s">
        <v>77</v>
      </c>
      <c r="H1973" s="3" t="s">
        <v>78</v>
      </c>
      <c r="I1973" s="8">
        <v>44838</v>
      </c>
      <c r="J1973" s="8">
        <v>44669</v>
      </c>
      <c r="K1973" s="3">
        <v>8</v>
      </c>
      <c r="L1973" s="3" t="s">
        <v>102</v>
      </c>
      <c r="M1973" s="3" t="s">
        <v>28</v>
      </c>
      <c r="N1973" s="3" t="s">
        <v>79</v>
      </c>
      <c r="O1973" s="3" t="s">
        <v>104</v>
      </c>
      <c r="P1973" s="30">
        <v>40273.65</v>
      </c>
      <c r="Q1973" s="3" t="s">
        <v>80</v>
      </c>
      <c r="R1973" s="3">
        <v>8</v>
      </c>
      <c r="S1973" s="3">
        <v>337</v>
      </c>
      <c r="T1973" s="3">
        <v>18.3</v>
      </c>
      <c r="U1973" s="3" t="s">
        <v>44</v>
      </c>
      <c r="V1973" s="18" t="s">
        <v>45</v>
      </c>
    </row>
    <row r="1974" spans="1:22" ht="15" customHeight="1" x14ac:dyDescent="0.25">
      <c r="A1974" s="15" t="s">
        <v>3519</v>
      </c>
      <c r="B1974" s="1" t="s">
        <v>2101</v>
      </c>
      <c r="C1974">
        <v>71</v>
      </c>
      <c r="D1974" s="1" t="s">
        <v>82</v>
      </c>
      <c r="E1974" s="1" t="s">
        <v>48</v>
      </c>
      <c r="F1974" s="1" t="s">
        <v>76</v>
      </c>
      <c r="G1974" s="1" t="s">
        <v>38</v>
      </c>
      <c r="H1974" s="1" t="s">
        <v>78</v>
      </c>
      <c r="I1974" s="7">
        <v>44135</v>
      </c>
      <c r="J1974" s="7">
        <v>44141</v>
      </c>
      <c r="K1974" s="1">
        <v>6</v>
      </c>
      <c r="L1974" s="1" t="s">
        <v>231</v>
      </c>
      <c r="M1974" s="1" t="s">
        <v>53</v>
      </c>
      <c r="N1974" s="1" t="s">
        <v>203</v>
      </c>
      <c r="O1974" s="1" t="s">
        <v>30</v>
      </c>
      <c r="P1974" s="29">
        <v>25526.46</v>
      </c>
      <c r="Q1974" s="1" t="s">
        <v>236</v>
      </c>
      <c r="R1974" s="1">
        <v>8</v>
      </c>
      <c r="S1974" s="1">
        <v>187</v>
      </c>
      <c r="T1974" s="1">
        <v>28.4</v>
      </c>
      <c r="U1974" s="1" t="s">
        <v>44</v>
      </c>
      <c r="V1974" s="17" t="s">
        <v>33</v>
      </c>
    </row>
    <row r="1975" spans="1:22" ht="15" customHeight="1" x14ac:dyDescent="0.25">
      <c r="A1975" s="16" t="s">
        <v>3520</v>
      </c>
      <c r="B1975" s="3" t="s">
        <v>3521</v>
      </c>
      <c r="C1975">
        <v>60</v>
      </c>
      <c r="D1975" s="3" t="s">
        <v>59</v>
      </c>
      <c r="E1975" s="3" t="s">
        <v>48</v>
      </c>
      <c r="F1975" s="3" t="s">
        <v>37</v>
      </c>
      <c r="G1975" s="3" t="s">
        <v>77</v>
      </c>
      <c r="H1975" s="3" t="s">
        <v>26</v>
      </c>
      <c r="I1975" s="6">
        <v>44490</v>
      </c>
      <c r="J1975" s="8">
        <v>44480</v>
      </c>
      <c r="K1975" s="3">
        <v>20</v>
      </c>
      <c r="L1975" s="3" t="s">
        <v>52</v>
      </c>
      <c r="M1975" s="3" t="s">
        <v>53</v>
      </c>
      <c r="N1975" s="3" t="s">
        <v>94</v>
      </c>
      <c r="O1975" s="3" t="s">
        <v>30</v>
      </c>
      <c r="P1975" s="30">
        <v>54016.639999999999</v>
      </c>
      <c r="Q1975" s="3" t="s">
        <v>80</v>
      </c>
      <c r="R1975" s="3">
        <v>10</v>
      </c>
      <c r="S1975" s="3">
        <v>362</v>
      </c>
      <c r="T1975" s="3">
        <v>28.1</v>
      </c>
      <c r="U1975" s="3" t="s">
        <v>44</v>
      </c>
      <c r="V1975" s="18" t="s">
        <v>45</v>
      </c>
    </row>
    <row r="1976" spans="1:22" ht="15" customHeight="1" x14ac:dyDescent="0.25">
      <c r="A1976" s="15" t="s">
        <v>3522</v>
      </c>
      <c r="B1976" s="1" t="s">
        <v>2972</v>
      </c>
      <c r="C1976">
        <v>70</v>
      </c>
      <c r="D1976" s="1" t="s">
        <v>82</v>
      </c>
      <c r="E1976" s="1" t="s">
        <v>48</v>
      </c>
      <c r="F1976" s="1" t="s">
        <v>83</v>
      </c>
      <c r="G1976" s="1" t="s">
        <v>131</v>
      </c>
      <c r="H1976" s="1" t="s">
        <v>26</v>
      </c>
      <c r="I1976" s="7">
        <v>45258</v>
      </c>
      <c r="J1976" s="7">
        <v>45264</v>
      </c>
      <c r="K1976" s="1">
        <v>6</v>
      </c>
      <c r="L1976" s="1" t="s">
        <v>39</v>
      </c>
      <c r="M1976" s="1" t="s">
        <v>40</v>
      </c>
      <c r="N1976" s="1" t="s">
        <v>133</v>
      </c>
      <c r="O1976" s="1" t="s">
        <v>104</v>
      </c>
      <c r="P1976" s="29">
        <v>30876.44</v>
      </c>
      <c r="Q1976" s="1" t="s">
        <v>695</v>
      </c>
      <c r="R1976" s="1">
        <v>7</v>
      </c>
      <c r="S1976" s="1">
        <v>382</v>
      </c>
      <c r="T1976" s="1">
        <v>31</v>
      </c>
      <c r="U1976" s="1" t="s">
        <v>44</v>
      </c>
      <c r="V1976" s="17" t="s">
        <v>33</v>
      </c>
    </row>
    <row r="1977" spans="1:22" ht="15" customHeight="1" x14ac:dyDescent="0.25">
      <c r="A1977" s="16" t="s">
        <v>3523</v>
      </c>
      <c r="B1977" s="3" t="s">
        <v>2540</v>
      </c>
      <c r="C1977">
        <v>66</v>
      </c>
      <c r="D1977" s="3" t="s">
        <v>82</v>
      </c>
      <c r="E1977" s="3" t="s">
        <v>23</v>
      </c>
      <c r="F1977" s="3" t="s">
        <v>155</v>
      </c>
      <c r="G1977" s="3" t="s">
        <v>131</v>
      </c>
      <c r="H1977" s="3" t="s">
        <v>26</v>
      </c>
      <c r="I1977" s="8">
        <v>44239</v>
      </c>
      <c r="J1977" s="8">
        <v>44247</v>
      </c>
      <c r="K1977" s="3">
        <v>8</v>
      </c>
      <c r="L1977" s="3" t="s">
        <v>52</v>
      </c>
      <c r="M1977" s="3" t="s">
        <v>53</v>
      </c>
      <c r="N1977" s="3" t="s">
        <v>133</v>
      </c>
      <c r="O1977" s="3" t="s">
        <v>55</v>
      </c>
      <c r="P1977" s="30">
        <v>49366.55</v>
      </c>
      <c r="Q1977" s="3" t="s">
        <v>148</v>
      </c>
      <c r="R1977" s="3">
        <v>7</v>
      </c>
      <c r="S1977" s="3">
        <v>336</v>
      </c>
      <c r="T1977" s="3">
        <v>28.5</v>
      </c>
      <c r="U1977" s="3" t="s">
        <v>86</v>
      </c>
      <c r="V1977" s="18" t="s">
        <v>33</v>
      </c>
    </row>
    <row r="1978" spans="1:22" ht="15" customHeight="1" x14ac:dyDescent="0.25">
      <c r="A1978" s="15" t="s">
        <v>3524</v>
      </c>
      <c r="B1978" s="1" t="s">
        <v>3525</v>
      </c>
      <c r="C1978">
        <v>56</v>
      </c>
      <c r="D1978" s="1" t="s">
        <v>59</v>
      </c>
      <c r="E1978" s="1" t="s">
        <v>23</v>
      </c>
      <c r="F1978" s="1" t="s">
        <v>76</v>
      </c>
      <c r="G1978" s="1" t="s">
        <v>38</v>
      </c>
      <c r="H1978" s="1" t="s">
        <v>26</v>
      </c>
      <c r="I1978" s="7">
        <v>44063</v>
      </c>
      <c r="J1978" s="7">
        <v>44071</v>
      </c>
      <c r="K1978" s="1">
        <v>8</v>
      </c>
      <c r="L1978" s="1" t="s">
        <v>112</v>
      </c>
      <c r="M1978" s="1" t="s">
        <v>40</v>
      </c>
      <c r="N1978" s="1" t="s">
        <v>41</v>
      </c>
      <c r="O1978" s="1" t="s">
        <v>30</v>
      </c>
      <c r="P1978" s="29">
        <v>26724.36</v>
      </c>
      <c r="Q1978" s="1" t="s">
        <v>43</v>
      </c>
      <c r="R1978" s="1">
        <v>5</v>
      </c>
      <c r="S1978" s="1">
        <v>317</v>
      </c>
      <c r="T1978" s="1">
        <v>25</v>
      </c>
      <c r="U1978" s="1" t="s">
        <v>32</v>
      </c>
      <c r="V1978" s="17" t="s">
        <v>33</v>
      </c>
    </row>
    <row r="1979" spans="1:22" ht="15" customHeight="1" x14ac:dyDescent="0.25">
      <c r="A1979" s="16" t="s">
        <v>3526</v>
      </c>
      <c r="B1979" s="3" t="s">
        <v>368</v>
      </c>
      <c r="C1979">
        <v>76</v>
      </c>
      <c r="D1979" s="3" t="s">
        <v>36</v>
      </c>
      <c r="E1979" s="3" t="s">
        <v>48</v>
      </c>
      <c r="F1979" s="3" t="s">
        <v>49</v>
      </c>
      <c r="G1979" s="3" t="s">
        <v>417</v>
      </c>
      <c r="H1979" s="3" t="s">
        <v>78</v>
      </c>
      <c r="I1979" s="8">
        <v>43749</v>
      </c>
      <c r="J1979" s="8">
        <v>43753</v>
      </c>
      <c r="K1979" s="3">
        <v>4</v>
      </c>
      <c r="L1979" s="3" t="s">
        <v>122</v>
      </c>
      <c r="M1979" s="3" t="s">
        <v>40</v>
      </c>
      <c r="N1979" s="3" t="s">
        <v>41</v>
      </c>
      <c r="O1979" s="3" t="s">
        <v>104</v>
      </c>
      <c r="P1979" s="30">
        <v>17106.349999999999</v>
      </c>
      <c r="Q1979" s="3" t="s">
        <v>567</v>
      </c>
      <c r="R1979" s="3">
        <v>8</v>
      </c>
      <c r="S1979" s="3">
        <v>308</v>
      </c>
      <c r="T1979" s="3">
        <v>32.9</v>
      </c>
      <c r="U1979" s="3" t="s">
        <v>32</v>
      </c>
      <c r="V1979" s="18" t="s">
        <v>45</v>
      </c>
    </row>
    <row r="1980" spans="1:22" ht="15" customHeight="1" x14ac:dyDescent="0.25">
      <c r="A1980" s="15" t="s">
        <v>3527</v>
      </c>
      <c r="B1980" s="1" t="s">
        <v>3528</v>
      </c>
      <c r="C1980">
        <v>72</v>
      </c>
      <c r="D1980" s="1" t="s">
        <v>82</v>
      </c>
      <c r="E1980" s="1" t="s">
        <v>23</v>
      </c>
      <c r="F1980" s="1" t="s">
        <v>37</v>
      </c>
      <c r="G1980" s="1" t="s">
        <v>77</v>
      </c>
      <c r="H1980" s="1" t="s">
        <v>51</v>
      </c>
      <c r="I1980" s="7">
        <v>44880</v>
      </c>
      <c r="J1980" s="7">
        <v>44890</v>
      </c>
      <c r="K1980" s="1">
        <v>10</v>
      </c>
      <c r="L1980" s="1" t="s">
        <v>112</v>
      </c>
      <c r="M1980" s="1" t="s">
        <v>40</v>
      </c>
      <c r="N1980" s="1" t="s">
        <v>79</v>
      </c>
      <c r="O1980" s="1" t="s">
        <v>42</v>
      </c>
      <c r="P1980" s="29">
        <v>95726.67</v>
      </c>
      <c r="Q1980" s="1" t="s">
        <v>80</v>
      </c>
      <c r="R1980" s="1">
        <v>9</v>
      </c>
      <c r="S1980" s="1">
        <v>144</v>
      </c>
      <c r="T1980" s="1">
        <v>28</v>
      </c>
      <c r="U1980" s="1" t="s">
        <v>44</v>
      </c>
      <c r="V1980" s="17" t="s">
        <v>45</v>
      </c>
    </row>
    <row r="1981" spans="1:22" ht="15" customHeight="1" x14ac:dyDescent="0.25">
      <c r="A1981" s="16" t="s">
        <v>3529</v>
      </c>
      <c r="B1981" s="3" t="s">
        <v>3530</v>
      </c>
      <c r="C1981">
        <v>17</v>
      </c>
      <c r="D1981" s="3" t="s">
        <v>22</v>
      </c>
      <c r="E1981" s="3" t="s">
        <v>23</v>
      </c>
      <c r="F1981" s="3" t="s">
        <v>99</v>
      </c>
      <c r="G1981" s="3" t="s">
        <v>131</v>
      </c>
      <c r="H1981" s="3" t="s">
        <v>26</v>
      </c>
      <c r="I1981" s="8">
        <v>43734</v>
      </c>
      <c r="J1981" s="8">
        <v>43740</v>
      </c>
      <c r="K1981" s="3">
        <v>6</v>
      </c>
      <c r="L1981" s="3" t="s">
        <v>27</v>
      </c>
      <c r="M1981" s="3" t="s">
        <v>28</v>
      </c>
      <c r="N1981" s="3" t="s">
        <v>157</v>
      </c>
      <c r="O1981" s="3" t="s">
        <v>42</v>
      </c>
      <c r="P1981" s="30">
        <v>30063.8</v>
      </c>
      <c r="Q1981" s="3" t="s">
        <v>266</v>
      </c>
      <c r="R1981" s="3">
        <v>7</v>
      </c>
      <c r="S1981" s="3">
        <v>376</v>
      </c>
      <c r="T1981" s="3">
        <v>34.4</v>
      </c>
      <c r="U1981" s="3" t="s">
        <v>32</v>
      </c>
      <c r="V1981" s="18" t="s">
        <v>33</v>
      </c>
    </row>
    <row r="1982" spans="1:22" ht="15" customHeight="1" x14ac:dyDescent="0.25">
      <c r="A1982" s="15" t="s">
        <v>3531</v>
      </c>
      <c r="B1982" s="1" t="s">
        <v>3532</v>
      </c>
      <c r="C1982">
        <v>48</v>
      </c>
      <c r="D1982" s="1" t="s">
        <v>98</v>
      </c>
      <c r="E1982" s="1" t="s">
        <v>48</v>
      </c>
      <c r="F1982" s="1" t="s">
        <v>70</v>
      </c>
      <c r="G1982" s="1" t="s">
        <v>25</v>
      </c>
      <c r="H1982" s="1" t="s">
        <v>51</v>
      </c>
      <c r="I1982" s="7">
        <v>43586</v>
      </c>
      <c r="J1982" s="7">
        <v>43599</v>
      </c>
      <c r="K1982" s="1">
        <v>13</v>
      </c>
      <c r="L1982" s="1" t="s">
        <v>27</v>
      </c>
      <c r="M1982" s="1" t="s">
        <v>28</v>
      </c>
      <c r="N1982" s="1" t="s">
        <v>248</v>
      </c>
      <c r="O1982" s="1" t="s">
        <v>30</v>
      </c>
      <c r="P1982" s="29">
        <v>24642.61</v>
      </c>
      <c r="Q1982" s="1" t="s">
        <v>269</v>
      </c>
      <c r="R1982" s="1">
        <v>12</v>
      </c>
      <c r="S1982" s="1">
        <v>181</v>
      </c>
      <c r="T1982" s="1">
        <v>27.6</v>
      </c>
      <c r="U1982" s="1" t="s">
        <v>32</v>
      </c>
      <c r="V1982" s="17" t="s">
        <v>33</v>
      </c>
    </row>
    <row r="1983" spans="1:22" ht="15" customHeight="1" x14ac:dyDescent="0.25">
      <c r="A1983" s="16" t="s">
        <v>3533</v>
      </c>
      <c r="B1983" s="3" t="s">
        <v>441</v>
      </c>
      <c r="C1983">
        <v>68</v>
      </c>
      <c r="D1983" s="3" t="s">
        <v>82</v>
      </c>
      <c r="E1983" s="3" t="s">
        <v>48</v>
      </c>
      <c r="F1983" s="3" t="s">
        <v>99</v>
      </c>
      <c r="G1983" s="3" t="s">
        <v>38</v>
      </c>
      <c r="H1983" s="3" t="s">
        <v>26</v>
      </c>
      <c r="I1983" s="6">
        <v>44654</v>
      </c>
      <c r="J1983" s="8">
        <v>44632</v>
      </c>
      <c r="K1983" s="3">
        <v>8</v>
      </c>
      <c r="L1983" s="3" t="s">
        <v>231</v>
      </c>
      <c r="M1983" s="3" t="s">
        <v>53</v>
      </c>
      <c r="N1983" s="3" t="s">
        <v>203</v>
      </c>
      <c r="O1983" s="3" t="s">
        <v>30</v>
      </c>
      <c r="P1983" s="30">
        <v>26392</v>
      </c>
      <c r="Q1983" s="3" t="s">
        <v>119</v>
      </c>
      <c r="R1983" s="3">
        <v>8</v>
      </c>
      <c r="S1983" s="3">
        <v>275</v>
      </c>
      <c r="T1983" s="3">
        <v>33.9</v>
      </c>
      <c r="U1983" s="3" t="s">
        <v>44</v>
      </c>
      <c r="V1983" s="18" t="s">
        <v>45</v>
      </c>
    </row>
    <row r="1984" spans="1:22" ht="15" customHeight="1" x14ac:dyDescent="0.25">
      <c r="A1984" s="15" t="s">
        <v>3534</v>
      </c>
      <c r="B1984" s="1" t="s">
        <v>3535</v>
      </c>
      <c r="C1984">
        <v>74</v>
      </c>
      <c r="D1984" s="1" t="s">
        <v>82</v>
      </c>
      <c r="E1984" s="1" t="s">
        <v>48</v>
      </c>
      <c r="F1984" s="1" t="s">
        <v>76</v>
      </c>
      <c r="G1984" s="1" t="s">
        <v>60</v>
      </c>
      <c r="H1984" s="1" t="s">
        <v>78</v>
      </c>
      <c r="I1984" s="6">
        <v>45291</v>
      </c>
      <c r="J1984" s="7">
        <v>45323</v>
      </c>
      <c r="K1984" s="1">
        <v>2</v>
      </c>
      <c r="L1984" s="1" t="s">
        <v>231</v>
      </c>
      <c r="M1984" s="1" t="s">
        <v>53</v>
      </c>
      <c r="N1984" s="1" t="s">
        <v>210</v>
      </c>
      <c r="O1984" s="1" t="s">
        <v>42</v>
      </c>
      <c r="P1984" s="29">
        <v>32535.65</v>
      </c>
      <c r="Q1984" s="1" t="s">
        <v>349</v>
      </c>
      <c r="R1984" s="1">
        <v>4</v>
      </c>
      <c r="S1984" s="1">
        <v>301</v>
      </c>
      <c r="T1984" s="1">
        <v>34.4</v>
      </c>
      <c r="U1984" s="1" t="s">
        <v>44</v>
      </c>
      <c r="V1984" s="17" t="s">
        <v>33</v>
      </c>
    </row>
    <row r="1985" spans="1:22" ht="15" customHeight="1" x14ac:dyDescent="0.25">
      <c r="A1985" s="16" t="s">
        <v>3536</v>
      </c>
      <c r="B1985" s="2" t="s">
        <v>3711</v>
      </c>
      <c r="C1985">
        <v>72</v>
      </c>
      <c r="D1985" s="3" t="s">
        <v>82</v>
      </c>
      <c r="E1985" s="3" t="s">
        <v>23</v>
      </c>
      <c r="F1985" s="3" t="s">
        <v>83</v>
      </c>
      <c r="G1985" s="3" t="s">
        <v>38</v>
      </c>
      <c r="H1985" s="3" t="s">
        <v>78</v>
      </c>
      <c r="I1985" s="8">
        <v>44011</v>
      </c>
      <c r="J1985" s="8">
        <v>44015</v>
      </c>
      <c r="K1985" s="3">
        <v>4</v>
      </c>
      <c r="L1985" s="3" t="s">
        <v>39</v>
      </c>
      <c r="M1985" s="3" t="s">
        <v>40</v>
      </c>
      <c r="N1985" s="3" t="s">
        <v>203</v>
      </c>
      <c r="O1985" s="3" t="s">
        <v>42</v>
      </c>
      <c r="P1985" s="30">
        <v>27680.39</v>
      </c>
      <c r="Q1985" s="3" t="s">
        <v>204</v>
      </c>
      <c r="R1985" s="3">
        <v>5</v>
      </c>
      <c r="S1985" s="3">
        <v>116</v>
      </c>
      <c r="T1985" s="3">
        <v>28.6</v>
      </c>
      <c r="U1985" s="3" t="s">
        <v>44</v>
      </c>
      <c r="V1985" s="18" t="s">
        <v>33</v>
      </c>
    </row>
    <row r="1986" spans="1:22" ht="15" customHeight="1" x14ac:dyDescent="0.25">
      <c r="A1986" s="15" t="s">
        <v>3537</v>
      </c>
      <c r="B1986" s="1" t="s">
        <v>3538</v>
      </c>
      <c r="C1986">
        <v>53</v>
      </c>
      <c r="D1986" s="1" t="s">
        <v>98</v>
      </c>
      <c r="E1986" s="1" t="s">
        <v>23</v>
      </c>
      <c r="F1986" s="1" t="s">
        <v>70</v>
      </c>
      <c r="G1986" s="1" t="s">
        <v>163</v>
      </c>
      <c r="H1986" s="1" t="s">
        <v>26</v>
      </c>
      <c r="I1986" s="7">
        <v>45488</v>
      </c>
      <c r="J1986" s="7">
        <v>45500</v>
      </c>
      <c r="K1986" s="1">
        <v>12</v>
      </c>
      <c r="L1986" s="1" t="s">
        <v>39</v>
      </c>
      <c r="M1986" s="1" t="s">
        <v>40</v>
      </c>
      <c r="N1986" s="1" t="s">
        <v>213</v>
      </c>
      <c r="O1986" s="1" t="s">
        <v>30</v>
      </c>
      <c r="P1986" s="29">
        <v>49908.93</v>
      </c>
      <c r="Q1986" s="1" t="s">
        <v>257</v>
      </c>
      <c r="R1986" s="1">
        <v>6</v>
      </c>
      <c r="S1986" s="1">
        <v>106</v>
      </c>
      <c r="T1986" s="4"/>
      <c r="U1986" s="1" t="s">
        <v>32</v>
      </c>
      <c r="V1986" s="17" t="s">
        <v>33</v>
      </c>
    </row>
    <row r="1987" spans="1:22" ht="15" customHeight="1" x14ac:dyDescent="0.25">
      <c r="A1987" s="16" t="s">
        <v>3539</v>
      </c>
      <c r="B1987" s="3" t="s">
        <v>3540</v>
      </c>
      <c r="C1987">
        <v>79</v>
      </c>
      <c r="D1987" s="3" t="s">
        <v>36</v>
      </c>
      <c r="E1987" s="3" t="s">
        <v>23</v>
      </c>
      <c r="F1987" s="3" t="s">
        <v>83</v>
      </c>
      <c r="G1987" s="3" t="s">
        <v>77</v>
      </c>
      <c r="H1987" s="3" t="s">
        <v>26</v>
      </c>
      <c r="I1987" s="6">
        <v>45570</v>
      </c>
      <c r="J1987" s="8">
        <v>45577</v>
      </c>
      <c r="K1987" s="3">
        <v>7</v>
      </c>
      <c r="L1987" s="3" t="s">
        <v>39</v>
      </c>
      <c r="M1987" s="3" t="s">
        <v>40</v>
      </c>
      <c r="N1987" s="3" t="s">
        <v>84</v>
      </c>
      <c r="O1987" s="3" t="s">
        <v>42</v>
      </c>
      <c r="P1987" s="30">
        <v>106069.21</v>
      </c>
      <c r="Q1987" s="3" t="s">
        <v>100</v>
      </c>
      <c r="R1987" s="3">
        <v>10</v>
      </c>
      <c r="S1987" s="3">
        <v>357</v>
      </c>
      <c r="T1987" s="3">
        <v>29.1</v>
      </c>
      <c r="U1987" s="3" t="s">
        <v>44</v>
      </c>
      <c r="V1987" s="18" t="s">
        <v>33</v>
      </c>
    </row>
    <row r="1988" spans="1:22" ht="15" customHeight="1" x14ac:dyDescent="0.25">
      <c r="A1988" s="15" t="s">
        <v>3541</v>
      </c>
      <c r="B1988" s="1" t="s">
        <v>3542</v>
      </c>
      <c r="C1988">
        <v>46</v>
      </c>
      <c r="D1988" s="1" t="s">
        <v>98</v>
      </c>
      <c r="E1988" s="1" t="s">
        <v>48</v>
      </c>
      <c r="F1988" s="1" t="s">
        <v>83</v>
      </c>
      <c r="G1988" s="1" t="s">
        <v>25</v>
      </c>
      <c r="H1988" s="1" t="s">
        <v>156</v>
      </c>
      <c r="I1988" s="7">
        <v>44477</v>
      </c>
      <c r="J1988" s="7">
        <v>44496</v>
      </c>
      <c r="K1988" s="1">
        <v>19</v>
      </c>
      <c r="L1988" s="1" t="s">
        <v>27</v>
      </c>
      <c r="M1988" s="1" t="s">
        <v>28</v>
      </c>
      <c r="N1988" s="1" t="s">
        <v>248</v>
      </c>
      <c r="O1988" s="1" t="s">
        <v>30</v>
      </c>
      <c r="P1988" s="29">
        <v>39256.46</v>
      </c>
      <c r="Q1988" s="1" t="s">
        <v>322</v>
      </c>
      <c r="R1988" s="1">
        <v>12</v>
      </c>
      <c r="S1988" s="1">
        <v>472</v>
      </c>
      <c r="T1988" s="1">
        <v>15</v>
      </c>
      <c r="U1988" s="1" t="s">
        <v>32</v>
      </c>
      <c r="V1988" s="17" t="s">
        <v>33</v>
      </c>
    </row>
    <row r="1989" spans="1:22" ht="15" customHeight="1" x14ac:dyDescent="0.25">
      <c r="A1989" s="16" t="s">
        <v>3543</v>
      </c>
      <c r="B1989" s="3" t="s">
        <v>3544</v>
      </c>
      <c r="C1989">
        <v>66</v>
      </c>
      <c r="D1989" s="3" t="s">
        <v>82</v>
      </c>
      <c r="E1989" s="3" t="s">
        <v>23</v>
      </c>
      <c r="F1989" s="3" t="s">
        <v>24</v>
      </c>
      <c r="G1989" s="3" t="s">
        <v>131</v>
      </c>
      <c r="H1989" s="3" t="s">
        <v>51</v>
      </c>
      <c r="I1989" s="8">
        <v>43492</v>
      </c>
      <c r="J1989" s="8">
        <v>43496</v>
      </c>
      <c r="K1989" s="3">
        <v>4</v>
      </c>
      <c r="L1989" s="3" t="s">
        <v>27</v>
      </c>
      <c r="M1989" s="3" t="s">
        <v>28</v>
      </c>
      <c r="N1989" s="3" t="s">
        <v>147</v>
      </c>
      <c r="O1989" s="3" t="s">
        <v>30</v>
      </c>
      <c r="P1989" s="30">
        <v>12854</v>
      </c>
      <c r="Q1989" s="3" t="s">
        <v>266</v>
      </c>
      <c r="R1989" s="3">
        <v>6</v>
      </c>
      <c r="S1989" s="3">
        <v>117</v>
      </c>
      <c r="T1989" s="3">
        <v>24</v>
      </c>
      <c r="U1989" s="3" t="s">
        <v>32</v>
      </c>
      <c r="V1989" s="18" t="s">
        <v>33</v>
      </c>
    </row>
    <row r="1990" spans="1:22" ht="15" customHeight="1" x14ac:dyDescent="0.25">
      <c r="A1990" s="15" t="s">
        <v>3545</v>
      </c>
      <c r="B1990" s="1" t="s">
        <v>2303</v>
      </c>
      <c r="C1990">
        <v>82</v>
      </c>
      <c r="D1990" s="1" t="s">
        <v>36</v>
      </c>
      <c r="E1990" s="1" t="s">
        <v>48</v>
      </c>
      <c r="F1990" s="1" t="s">
        <v>155</v>
      </c>
      <c r="G1990" s="1" t="s">
        <v>163</v>
      </c>
      <c r="H1990" s="1" t="s">
        <v>51</v>
      </c>
      <c r="I1990" s="7">
        <v>44407</v>
      </c>
      <c r="J1990" s="7">
        <v>44410</v>
      </c>
      <c r="K1990" s="1">
        <v>3</v>
      </c>
      <c r="L1990" s="1" t="s">
        <v>231</v>
      </c>
      <c r="M1990" s="1" t="s">
        <v>53</v>
      </c>
      <c r="N1990" s="1" t="s">
        <v>346</v>
      </c>
      <c r="O1990" s="1" t="s">
        <v>30</v>
      </c>
      <c r="P1990" s="29">
        <v>38765.53</v>
      </c>
      <c r="Q1990" s="1" t="s">
        <v>165</v>
      </c>
      <c r="R1990" s="1">
        <v>6</v>
      </c>
      <c r="S1990" s="1">
        <v>142</v>
      </c>
      <c r="T1990" s="1">
        <v>22.3</v>
      </c>
      <c r="U1990" s="1" t="s">
        <v>32</v>
      </c>
      <c r="V1990" s="17" t="s">
        <v>33</v>
      </c>
    </row>
    <row r="1991" spans="1:22" ht="15" customHeight="1" x14ac:dyDescent="0.25">
      <c r="A1991" s="16" t="s">
        <v>3546</v>
      </c>
      <c r="B1991" s="3" t="s">
        <v>3547</v>
      </c>
      <c r="C1991">
        <v>40</v>
      </c>
      <c r="D1991" s="3" t="s">
        <v>98</v>
      </c>
      <c r="E1991" s="3" t="s">
        <v>23</v>
      </c>
      <c r="F1991" s="3" t="s">
        <v>83</v>
      </c>
      <c r="G1991" s="3" t="s">
        <v>38</v>
      </c>
      <c r="H1991" s="3" t="s">
        <v>26</v>
      </c>
      <c r="I1991" s="6">
        <v>44041</v>
      </c>
      <c r="J1991" s="8">
        <v>43990</v>
      </c>
      <c r="K1991" s="3">
        <v>8</v>
      </c>
      <c r="L1991" s="3" t="s">
        <v>102</v>
      </c>
      <c r="M1991" s="3" t="s">
        <v>28</v>
      </c>
      <c r="N1991" s="3" t="s">
        <v>41</v>
      </c>
      <c r="O1991" s="3" t="s">
        <v>30</v>
      </c>
      <c r="P1991" s="30">
        <v>34112.120000000003</v>
      </c>
      <c r="Q1991" s="3" t="s">
        <v>305</v>
      </c>
      <c r="R1991" s="3">
        <v>8</v>
      </c>
      <c r="S1991" s="3">
        <v>350</v>
      </c>
      <c r="T1991" s="3">
        <v>33.799999999999997</v>
      </c>
      <c r="U1991" s="3" t="s">
        <v>86</v>
      </c>
      <c r="V1991" s="18" t="s">
        <v>33</v>
      </c>
    </row>
    <row r="1992" spans="1:22" ht="15" customHeight="1" x14ac:dyDescent="0.25">
      <c r="A1992" s="15" t="s">
        <v>3548</v>
      </c>
      <c r="B1992" s="1" t="s">
        <v>3549</v>
      </c>
      <c r="C1992">
        <v>49</v>
      </c>
      <c r="D1992" s="1" t="s">
        <v>98</v>
      </c>
      <c r="E1992" s="1" t="s">
        <v>48</v>
      </c>
      <c r="F1992" s="1" t="s">
        <v>70</v>
      </c>
      <c r="G1992" s="1" t="s">
        <v>77</v>
      </c>
      <c r="H1992" s="1" t="s">
        <v>26</v>
      </c>
      <c r="I1992" s="7">
        <v>45203</v>
      </c>
      <c r="J1992" s="7">
        <v>45212</v>
      </c>
      <c r="K1992" s="1">
        <v>9</v>
      </c>
      <c r="L1992" s="1" t="s">
        <v>231</v>
      </c>
      <c r="M1992" s="1" t="s">
        <v>53</v>
      </c>
      <c r="N1992" s="1" t="s">
        <v>84</v>
      </c>
      <c r="O1992" s="1" t="s">
        <v>66</v>
      </c>
      <c r="P1992" s="29">
        <v>219138.17</v>
      </c>
      <c r="Q1992" s="1" t="s">
        <v>95</v>
      </c>
      <c r="R1992" s="1">
        <v>10</v>
      </c>
      <c r="S1992" s="1">
        <v>347</v>
      </c>
      <c r="T1992" s="1">
        <v>28.5</v>
      </c>
      <c r="U1992" s="1" t="s">
        <v>44</v>
      </c>
      <c r="V1992" s="17" t="s">
        <v>33</v>
      </c>
    </row>
    <row r="1993" spans="1:22" ht="15" customHeight="1" x14ac:dyDescent="0.25">
      <c r="A1993" s="16" t="s">
        <v>3550</v>
      </c>
      <c r="B1993" s="3" t="s">
        <v>1653</v>
      </c>
      <c r="C1993">
        <v>39</v>
      </c>
      <c r="D1993" s="3" t="s">
        <v>98</v>
      </c>
      <c r="E1993" s="3" t="s">
        <v>23</v>
      </c>
      <c r="F1993" s="3" t="s">
        <v>49</v>
      </c>
      <c r="G1993" s="3" t="s">
        <v>77</v>
      </c>
      <c r="H1993" s="3" t="s">
        <v>26</v>
      </c>
      <c r="I1993" s="8">
        <v>43589</v>
      </c>
      <c r="J1993" s="8">
        <v>43601</v>
      </c>
      <c r="K1993" s="3">
        <v>12</v>
      </c>
      <c r="L1993" s="3" t="s">
        <v>102</v>
      </c>
      <c r="M1993" s="3" t="s">
        <v>28</v>
      </c>
      <c r="N1993" s="3" t="s">
        <v>79</v>
      </c>
      <c r="O1993" s="3" t="s">
        <v>42</v>
      </c>
      <c r="P1993" s="30">
        <v>55275.76</v>
      </c>
      <c r="Q1993" s="3" t="s">
        <v>100</v>
      </c>
      <c r="R1993" s="3">
        <v>7</v>
      </c>
      <c r="S1993" s="3">
        <v>339</v>
      </c>
      <c r="T1993" s="3">
        <v>27.2</v>
      </c>
      <c r="U1993" s="3" t="s">
        <v>44</v>
      </c>
      <c r="V1993" s="18" t="s">
        <v>33</v>
      </c>
    </row>
    <row r="1994" spans="1:22" ht="15" customHeight="1" x14ac:dyDescent="0.25">
      <c r="A1994" s="15" t="s">
        <v>3551</v>
      </c>
      <c r="B1994" s="1" t="s">
        <v>1302</v>
      </c>
      <c r="C1994">
        <v>41</v>
      </c>
      <c r="D1994" s="1" t="s">
        <v>98</v>
      </c>
      <c r="E1994" s="1" t="s">
        <v>23</v>
      </c>
      <c r="F1994" s="1" t="s">
        <v>49</v>
      </c>
      <c r="G1994" s="1" t="s">
        <v>131</v>
      </c>
      <c r="H1994" s="1" t="s">
        <v>26</v>
      </c>
      <c r="I1994" s="6">
        <v>45017</v>
      </c>
      <c r="J1994" s="7">
        <v>44934</v>
      </c>
      <c r="K1994" s="1">
        <v>4</v>
      </c>
      <c r="L1994" s="1" t="s">
        <v>52</v>
      </c>
      <c r="M1994" s="1" t="s">
        <v>53</v>
      </c>
      <c r="N1994" s="1" t="s">
        <v>157</v>
      </c>
      <c r="O1994" s="1" t="s">
        <v>42</v>
      </c>
      <c r="P1994" s="29">
        <v>21146.31</v>
      </c>
      <c r="Q1994" s="1" t="s">
        <v>291</v>
      </c>
      <c r="R1994" s="1">
        <v>4</v>
      </c>
      <c r="S1994" s="1">
        <v>303</v>
      </c>
      <c r="T1994" s="1">
        <v>27.3</v>
      </c>
      <c r="U1994" s="1" t="s">
        <v>86</v>
      </c>
      <c r="V1994" s="17" t="s">
        <v>33</v>
      </c>
    </row>
    <row r="1995" spans="1:22" ht="15" customHeight="1" x14ac:dyDescent="0.25">
      <c r="A1995" s="16" t="s">
        <v>3552</v>
      </c>
      <c r="B1995" s="3" t="s">
        <v>1380</v>
      </c>
      <c r="C1995">
        <v>89</v>
      </c>
      <c r="D1995" s="3" t="s">
        <v>36</v>
      </c>
      <c r="E1995" s="3" t="s">
        <v>23</v>
      </c>
      <c r="F1995" s="3" t="s">
        <v>155</v>
      </c>
      <c r="G1995" s="3" t="s">
        <v>131</v>
      </c>
      <c r="H1995" s="3" t="s">
        <v>78</v>
      </c>
      <c r="I1995" s="6">
        <v>43782</v>
      </c>
      <c r="J1995" s="8">
        <v>43786</v>
      </c>
      <c r="K1995" s="3">
        <v>4</v>
      </c>
      <c r="L1995" s="3" t="s">
        <v>231</v>
      </c>
      <c r="M1995" s="3" t="s">
        <v>53</v>
      </c>
      <c r="N1995" s="3" t="s">
        <v>147</v>
      </c>
      <c r="O1995" s="3" t="s">
        <v>55</v>
      </c>
      <c r="P1995" s="30">
        <v>39396</v>
      </c>
      <c r="Q1995" s="3" t="s">
        <v>158</v>
      </c>
      <c r="R1995" s="3">
        <v>6</v>
      </c>
      <c r="S1995" s="3">
        <v>429</v>
      </c>
      <c r="T1995" s="3">
        <v>27.5</v>
      </c>
      <c r="U1995" s="3" t="s">
        <v>44</v>
      </c>
      <c r="V1995" s="18" t="s">
        <v>33</v>
      </c>
    </row>
    <row r="1996" spans="1:22" ht="15" customHeight="1" x14ac:dyDescent="0.25">
      <c r="A1996" s="15" t="s">
        <v>3553</v>
      </c>
      <c r="B1996" s="1" t="s">
        <v>2349</v>
      </c>
      <c r="C1996">
        <v>81</v>
      </c>
      <c r="D1996" s="1" t="s">
        <v>36</v>
      </c>
      <c r="E1996" s="1" t="s">
        <v>48</v>
      </c>
      <c r="F1996" s="1" t="s">
        <v>155</v>
      </c>
      <c r="G1996" s="1" t="s">
        <v>256</v>
      </c>
      <c r="H1996" s="1" t="s">
        <v>51</v>
      </c>
      <c r="I1996" s="7">
        <v>43713</v>
      </c>
      <c r="J1996" s="7">
        <v>43655</v>
      </c>
      <c r="K1996" s="1">
        <v>2</v>
      </c>
      <c r="L1996" s="1" t="s">
        <v>102</v>
      </c>
      <c r="M1996" s="1" t="s">
        <v>28</v>
      </c>
      <c r="N1996" s="1" t="s">
        <v>164</v>
      </c>
      <c r="O1996" s="1" t="s">
        <v>30</v>
      </c>
      <c r="P1996" s="29">
        <v>34800.94</v>
      </c>
      <c r="Q1996" s="1" t="s">
        <v>165</v>
      </c>
      <c r="R1996" s="1">
        <v>5</v>
      </c>
      <c r="S1996" s="1">
        <v>101</v>
      </c>
      <c r="T1996" s="1">
        <v>21</v>
      </c>
      <c r="U1996" s="1" t="s">
        <v>44</v>
      </c>
      <c r="V1996" s="17" t="s">
        <v>45</v>
      </c>
    </row>
    <row r="1997" spans="1:22" ht="15" customHeight="1" x14ac:dyDescent="0.25">
      <c r="A1997" s="16" t="s">
        <v>3554</v>
      </c>
      <c r="B1997" s="2" t="s">
        <v>3712</v>
      </c>
      <c r="C1997">
        <v>70</v>
      </c>
      <c r="D1997" s="3" t="s">
        <v>82</v>
      </c>
      <c r="E1997" s="3" t="s">
        <v>48</v>
      </c>
      <c r="F1997" s="3" t="s">
        <v>155</v>
      </c>
      <c r="G1997" s="3" t="s">
        <v>38</v>
      </c>
      <c r="H1997" s="3" t="s">
        <v>26</v>
      </c>
      <c r="I1997" s="6">
        <v>44606</v>
      </c>
      <c r="J1997" s="8">
        <v>44611</v>
      </c>
      <c r="K1997" s="3">
        <v>5</v>
      </c>
      <c r="L1997" s="3" t="s">
        <v>112</v>
      </c>
      <c r="M1997" s="3" t="s">
        <v>40</v>
      </c>
      <c r="N1997" s="3" t="s">
        <v>203</v>
      </c>
      <c r="O1997" s="3" t="s">
        <v>55</v>
      </c>
      <c r="P1997" s="30">
        <v>68437.710000000006</v>
      </c>
      <c r="Q1997" s="3" t="s">
        <v>43</v>
      </c>
      <c r="R1997" s="3">
        <v>8</v>
      </c>
      <c r="S1997" s="3">
        <v>172</v>
      </c>
      <c r="T1997" s="3">
        <v>30.2</v>
      </c>
      <c r="U1997" s="3" t="s">
        <v>44</v>
      </c>
      <c r="V1997" s="18" t="s">
        <v>33</v>
      </c>
    </row>
    <row r="1998" spans="1:22" ht="15" customHeight="1" x14ac:dyDescent="0.25">
      <c r="A1998" s="15" t="s">
        <v>3555</v>
      </c>
      <c r="B1998" s="1" t="s">
        <v>3556</v>
      </c>
      <c r="C1998">
        <v>72</v>
      </c>
      <c r="D1998" s="1" t="s">
        <v>82</v>
      </c>
      <c r="E1998" s="1" t="s">
        <v>23</v>
      </c>
      <c r="F1998" s="1" t="s">
        <v>76</v>
      </c>
      <c r="G1998" s="1" t="s">
        <v>71</v>
      </c>
      <c r="H1998" s="1" t="s">
        <v>51</v>
      </c>
      <c r="I1998" s="7">
        <v>44365</v>
      </c>
      <c r="J1998" s="7">
        <v>44366</v>
      </c>
      <c r="K1998" s="1">
        <v>1</v>
      </c>
      <c r="L1998" s="1" t="s">
        <v>102</v>
      </c>
      <c r="M1998" s="1" t="s">
        <v>28</v>
      </c>
      <c r="N1998" s="1" t="s">
        <v>312</v>
      </c>
      <c r="O1998" s="1" t="s">
        <v>42</v>
      </c>
      <c r="P1998" s="29">
        <v>18830.939999999999</v>
      </c>
      <c r="Q1998" s="1" t="s">
        <v>178</v>
      </c>
      <c r="R1998" s="1">
        <v>5</v>
      </c>
      <c r="S1998" s="1">
        <v>178</v>
      </c>
      <c r="T1998" s="1">
        <v>29.1</v>
      </c>
      <c r="U1998" s="1" t="s">
        <v>86</v>
      </c>
      <c r="V1998" s="17" t="s">
        <v>33</v>
      </c>
    </row>
    <row r="1999" spans="1:22" ht="15" customHeight="1" x14ac:dyDescent="0.25">
      <c r="A1999" s="16" t="s">
        <v>3557</v>
      </c>
      <c r="B1999" s="2" t="s">
        <v>3713</v>
      </c>
      <c r="C1999">
        <v>10</v>
      </c>
      <c r="D1999" s="3" t="s">
        <v>22</v>
      </c>
      <c r="E1999" s="3" t="s">
        <v>23</v>
      </c>
      <c r="F1999" s="3" t="s">
        <v>83</v>
      </c>
      <c r="G1999" s="3" t="s">
        <v>131</v>
      </c>
      <c r="H1999" s="3" t="s">
        <v>51</v>
      </c>
      <c r="I1999" s="8">
        <v>43688</v>
      </c>
      <c r="J1999" s="8">
        <v>43784</v>
      </c>
      <c r="K1999" s="3">
        <v>7</v>
      </c>
      <c r="L1999" s="3" t="s">
        <v>132</v>
      </c>
      <c r="M1999" s="3" t="s">
        <v>53</v>
      </c>
      <c r="N1999" s="3" t="s">
        <v>157</v>
      </c>
      <c r="O1999" s="3" t="s">
        <v>104</v>
      </c>
      <c r="P1999" s="30">
        <v>5881.46</v>
      </c>
      <c r="Q1999" s="3" t="s">
        <v>695</v>
      </c>
      <c r="R1999" s="3">
        <v>6</v>
      </c>
      <c r="S1999" s="3">
        <v>183</v>
      </c>
      <c r="T1999" s="4"/>
      <c r="U1999" s="3" t="s">
        <v>32</v>
      </c>
      <c r="V1999" s="18" t="s">
        <v>33</v>
      </c>
    </row>
    <row r="2000" spans="1:22" ht="15" customHeight="1" x14ac:dyDescent="0.25">
      <c r="A2000" s="15" t="s">
        <v>3558</v>
      </c>
      <c r="B2000" s="1" t="s">
        <v>1474</v>
      </c>
      <c r="C2000">
        <v>61</v>
      </c>
      <c r="D2000" s="1" t="s">
        <v>59</v>
      </c>
      <c r="E2000" s="1" t="s">
        <v>23</v>
      </c>
      <c r="F2000" s="1" t="s">
        <v>99</v>
      </c>
      <c r="G2000" s="1" t="s">
        <v>77</v>
      </c>
      <c r="H2000" s="1" t="s">
        <v>26</v>
      </c>
      <c r="I2000" s="7">
        <v>43510</v>
      </c>
      <c r="J2000" s="7">
        <v>43517</v>
      </c>
      <c r="K2000" s="1">
        <v>7</v>
      </c>
      <c r="L2000" s="1" t="s">
        <v>89</v>
      </c>
      <c r="M2000" s="1" t="s">
        <v>90</v>
      </c>
      <c r="N2000" s="1" t="s">
        <v>84</v>
      </c>
      <c r="O2000" s="1" t="s">
        <v>55</v>
      </c>
      <c r="P2000" s="29">
        <v>74085.11</v>
      </c>
      <c r="Q2000" s="1" t="s">
        <v>109</v>
      </c>
      <c r="R2000" s="1">
        <v>10</v>
      </c>
      <c r="S2000" s="1">
        <v>370</v>
      </c>
      <c r="T2000" s="1">
        <v>25.4</v>
      </c>
      <c r="U2000" s="1" t="s">
        <v>32</v>
      </c>
      <c r="V2000" s="17" t="s">
        <v>33</v>
      </c>
    </row>
    <row r="2001" spans="1:22" ht="15" customHeight="1" x14ac:dyDescent="0.25">
      <c r="A2001" s="16" t="s">
        <v>3559</v>
      </c>
      <c r="B2001" s="3" t="s">
        <v>3560</v>
      </c>
      <c r="C2001">
        <v>30</v>
      </c>
      <c r="D2001" s="3" t="s">
        <v>47</v>
      </c>
      <c r="E2001" s="3" t="s">
        <v>23</v>
      </c>
      <c r="F2001" s="3" t="s">
        <v>83</v>
      </c>
      <c r="G2001" s="3" t="s">
        <v>77</v>
      </c>
      <c r="H2001" s="3" t="s">
        <v>51</v>
      </c>
      <c r="I2001" s="8">
        <v>45026</v>
      </c>
      <c r="J2001" s="8">
        <v>45209</v>
      </c>
      <c r="K2001" s="3">
        <v>6</v>
      </c>
      <c r="L2001" s="3" t="s">
        <v>132</v>
      </c>
      <c r="M2001" s="3" t="s">
        <v>53</v>
      </c>
      <c r="N2001" s="3" t="s">
        <v>79</v>
      </c>
      <c r="O2001" s="3" t="s">
        <v>104</v>
      </c>
      <c r="P2001" s="30">
        <v>15845.38</v>
      </c>
      <c r="Q2001" s="3" t="s">
        <v>80</v>
      </c>
      <c r="R2001" s="3">
        <v>6</v>
      </c>
      <c r="S2001" s="3">
        <v>188</v>
      </c>
      <c r="T2001" s="3">
        <v>21.7</v>
      </c>
      <c r="U2001" s="3" t="s">
        <v>44</v>
      </c>
      <c r="V2001" s="18" t="s">
        <v>33</v>
      </c>
    </row>
  </sheetData>
  <conditionalFormatting sqref="A1:A1048576">
    <cfRule type="duplicateValues" dxfId="156" priority="1"/>
  </conditionalFormatting>
  <pageMargins left="0.75" right="0.75" top="1" bottom="1" header="0.511811023622047" footer="0.511811023622047"/>
  <pageSetup paperSize="9"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5B41F-05C5-4CDB-B6CB-DDB6082A2187}">
  <dimension ref="A1:G16"/>
  <sheetViews>
    <sheetView zoomScale="115" zoomScaleNormal="115" workbookViewId="0">
      <selection activeCell="D7" sqref="D7"/>
    </sheetView>
  </sheetViews>
  <sheetFormatPr defaultRowHeight="15" x14ac:dyDescent="0.25"/>
  <sheetData>
    <row r="1" spans="1:7" x14ac:dyDescent="0.25">
      <c r="A1" t="s">
        <v>3563</v>
      </c>
      <c r="B1" t="s">
        <v>3564</v>
      </c>
      <c r="F1" t="s">
        <v>3563</v>
      </c>
      <c r="G1" t="s">
        <v>3564</v>
      </c>
    </row>
    <row r="2" spans="1:7" x14ac:dyDescent="0.25">
      <c r="A2" s="2" t="s">
        <v>426</v>
      </c>
      <c r="F2" s="11" t="s">
        <v>55</v>
      </c>
      <c r="G2" s="1" t="s">
        <v>55</v>
      </c>
    </row>
    <row r="3" spans="1:7" x14ac:dyDescent="0.25">
      <c r="A3" s="1" t="s">
        <v>49</v>
      </c>
      <c r="B3" s="1" t="s">
        <v>49</v>
      </c>
      <c r="F3" s="1" t="s">
        <v>151</v>
      </c>
      <c r="G3" s="1" t="s">
        <v>55</v>
      </c>
    </row>
    <row r="4" spans="1:7" x14ac:dyDescent="0.25">
      <c r="A4" s="2" t="s">
        <v>718</v>
      </c>
      <c r="B4" t="s">
        <v>155</v>
      </c>
      <c r="F4" s="3" t="s">
        <v>1780</v>
      </c>
      <c r="G4" s="1" t="s">
        <v>55</v>
      </c>
    </row>
    <row r="5" spans="1:7" x14ac:dyDescent="0.25">
      <c r="A5" s="5" t="s">
        <v>155</v>
      </c>
      <c r="B5" t="s">
        <v>155</v>
      </c>
      <c r="F5" s="3" t="s">
        <v>104</v>
      </c>
      <c r="G5" s="12" t="s">
        <v>104</v>
      </c>
    </row>
    <row r="6" spans="1:7" x14ac:dyDescent="0.25">
      <c r="A6" s="1" t="s">
        <v>24</v>
      </c>
      <c r="B6" t="s">
        <v>24</v>
      </c>
      <c r="F6" s="3" t="s">
        <v>397</v>
      </c>
      <c r="G6" s="12" t="s">
        <v>104</v>
      </c>
    </row>
    <row r="7" spans="1:7" x14ac:dyDescent="0.25">
      <c r="A7" s="1" t="s">
        <v>24</v>
      </c>
      <c r="B7" t="s">
        <v>24</v>
      </c>
      <c r="F7" s="1" t="s">
        <v>30</v>
      </c>
      <c r="G7" s="13" t="s">
        <v>30</v>
      </c>
    </row>
    <row r="8" spans="1:7" x14ac:dyDescent="0.25">
      <c r="A8" s="2" t="s">
        <v>854</v>
      </c>
      <c r="B8" t="s">
        <v>99</v>
      </c>
      <c r="F8" s="1" t="s">
        <v>514</v>
      </c>
      <c r="G8" s="13" t="s">
        <v>30</v>
      </c>
    </row>
    <row r="9" spans="1:7" x14ac:dyDescent="0.25">
      <c r="A9" s="1" t="s">
        <v>99</v>
      </c>
      <c r="B9" t="s">
        <v>99</v>
      </c>
      <c r="F9" s="1" t="s">
        <v>360</v>
      </c>
      <c r="G9" s="13" t="s">
        <v>30</v>
      </c>
    </row>
    <row r="10" spans="1:7" x14ac:dyDescent="0.25">
      <c r="A10" s="3" t="s">
        <v>83</v>
      </c>
      <c r="B10" t="s">
        <v>83</v>
      </c>
      <c r="F10" s="3" t="s">
        <v>42</v>
      </c>
      <c r="G10" s="13" t="s">
        <v>42</v>
      </c>
    </row>
    <row r="11" spans="1:7" x14ac:dyDescent="0.25">
      <c r="A11" s="3" t="s">
        <v>37</v>
      </c>
      <c r="B11" t="s">
        <v>37</v>
      </c>
      <c r="F11" s="3" t="s">
        <v>113</v>
      </c>
      <c r="G11" s="13" t="s">
        <v>42</v>
      </c>
    </row>
    <row r="12" spans="1:7" x14ac:dyDescent="0.25">
      <c r="A12" s="2" t="s">
        <v>343</v>
      </c>
      <c r="B12" t="s">
        <v>37</v>
      </c>
      <c r="F12" s="1" t="s">
        <v>108</v>
      </c>
      <c r="G12" s="13" t="s">
        <v>42</v>
      </c>
    </row>
    <row r="13" spans="1:7" x14ac:dyDescent="0.25">
      <c r="A13" s="1" t="s">
        <v>76</v>
      </c>
      <c r="B13" t="s">
        <v>76</v>
      </c>
      <c r="F13" s="1" t="s">
        <v>1753</v>
      </c>
      <c r="G13" s="11" t="s">
        <v>3565</v>
      </c>
    </row>
    <row r="14" spans="1:7" x14ac:dyDescent="0.25">
      <c r="A14" s="3" t="s">
        <v>70</v>
      </c>
      <c r="B14" t="s">
        <v>70</v>
      </c>
      <c r="F14" s="1" t="s">
        <v>66</v>
      </c>
      <c r="G14" s="13" t="s">
        <v>66</v>
      </c>
    </row>
    <row r="15" spans="1:7" x14ac:dyDescent="0.25">
      <c r="A15" s="2" t="s">
        <v>64</v>
      </c>
      <c r="B15" t="s">
        <v>76</v>
      </c>
      <c r="F15" s="1" t="s">
        <v>300</v>
      </c>
      <c r="G15" s="13" t="s">
        <v>66</v>
      </c>
    </row>
    <row r="16" spans="1:7" x14ac:dyDescent="0.25">
      <c r="A16" s="2" t="s">
        <v>284</v>
      </c>
    </row>
  </sheetData>
  <sortState xmlns:xlrd2="http://schemas.microsoft.com/office/spreadsheetml/2017/richdata2" ref="F2:F15">
    <sortCondition ref="F1:F1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Wrangler</vt:lpstr>
      <vt:lpstr>Dashboard</vt:lpstr>
      <vt:lpstr>RAW_DATA</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Samuel Somuyiwa</cp:lastModifiedBy>
  <cp:revision>0</cp:revision>
  <dcterms:created xsi:type="dcterms:W3CDTF">2026-04-29T17:20:46Z</dcterms:created>
  <dcterms:modified xsi:type="dcterms:W3CDTF">2026-09-07T08:23:01Z</dcterms:modified>
  <dc:language>en-US</dc:language>
</cp:coreProperties>
</file>